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итание" sheetId="1" state="visible" r:id="rId3"/>
    <sheet name="Тренировки" sheetId="2" state="visible" r:id="rId4"/>
    <sheet name="Программа тренировок" sheetId="3" state="visible" r:id="rId5"/>
    <sheet name="Программа питания" sheetId="4" state="visible" r:id="rId6"/>
    <sheet name="Прогресс" sheetId="5" state="visible" r:id="rId7"/>
    <sheet name="Настройки" sheetId="6" state="visible" r:id="rId8"/>
    <sheet name="Продукты" sheetId="7" state="visible" r:id="rId9"/>
    <sheet name="Расчёты" sheetId="8" state="visible" r:id="rId10"/>
  </sheets>
  <definedNames>
    <definedName function="false" hidden="true" localSheetId="0" name="_xlnm._FilterDatabase" vbProcedure="false">Питание!$A$13:$T$378</definedName>
    <definedName function="false" hidden="true" localSheetId="2" name="_xlnm._FilterDatabase" vbProcedure="false">'Программа тренировок'!$A$5:$W$25</definedName>
    <definedName function="false" hidden="true" localSheetId="1" name="_xlnm._FilterDatabase" vbProcedure="false">Тренировки!$A$5:$L$2005</definedName>
    <definedName function="false" hidden="false" name="ActFactor" vbProcedure="false">Настройки!$B$12</definedName>
    <definedName function="false" hidden="false" name="AdaptWeeks" vbProcedure="false">Настройки!$B$29</definedName>
    <definedName function="false" hidden="false" name="AdhMin" vbProcedure="false">Настройки!$B$37</definedName>
    <definedName function="false" hidden="false" name="AdhTol" vbProcedure="false">Настройки!$B$36</definedName>
    <definedName function="false" hidden="false" name="Age" vbProcedure="false">Настройки!$B$5</definedName>
    <definedName function="false" hidden="false" name="BMR" vbProcedure="false">Настройки!$B$13</definedName>
    <definedName function="false" hidden="false" name="ChartStart" vbProcedure="false">Расчёты!$B$6</definedName>
    <definedName function="false" hidden="false" name="Ex_1" vbProcedure="false">Настройки!$B$45</definedName>
    <definedName function="false" hidden="false" name="Ex_2" vbProcedure="false">Настройки!$B$46</definedName>
    <definedName function="false" hidden="false" name="Ex_3" vbProcedure="false">Настройки!$B$47</definedName>
    <definedName function="false" hidden="false" name="Ex_4" vbProcedure="false">Настройки!$B$48</definedName>
    <definedName function="false" hidden="false" name="Ex_5" vbProcedure="false">Настройки!$B$49</definedName>
    <definedName function="false" hidden="false" name="FastRate" vbProcedure="false">Настройки!$B$40</definedName>
    <definedName function="false" hidden="false" name="GoalLow" vbProcedure="false">Настройки!$B$39</definedName>
    <definedName function="false" hidden="false" name="GoalWeight" vbProcedure="false">Настройки!$B$9</definedName>
    <definedName function="false" hidden="false" name="Height" vbProcedure="false">Настройки!$B$6</definedName>
    <definedName function="false" hidden="false" name="LastFD" vbProcedure="false">Расчёты!$B$4</definedName>
    <definedName function="false" hidden="false" name="LastTD" vbProcedure="false">Расчёты!$B$5</definedName>
    <definedName function="false" hidden="false" name="LastWD" vbProcedure="false">Расчёты!$B$3</definedName>
    <definedName function="false" hidden="false" name="MinWeighIns" vbProcedure="false">Настройки!$B$35</definedName>
    <definedName function="false" hidden="false" name="PlanDeficit" vbProcedure="false">Настройки!$B$15</definedName>
    <definedName function="false" hidden="false" name="SlowStop" vbProcedure="false">Настройки!$B$38</definedName>
    <definedName function="false" hidden="false" name="StartDate" vbProcedure="false">Настройки!$B$8</definedName>
    <definedName function="false" hidden="false" name="StartKcalCalc" vbProcedure="false">Настройки!$B$16</definedName>
    <definedName function="false" hidden="false" name="StartWeight" vbProcedure="false">Настройки!$B$7</definedName>
    <definedName function="false" hidden="false" name="StepDown" vbProcedure="false">Настройки!$B$41</definedName>
    <definedName function="false" hidden="false" name="StepUp" vbProcedure="false">Настройки!$B$42</definedName>
    <definedName function="false" hidden="false" name="TargetCarb" vbProcedure="false">Настройки!$B$22</definedName>
    <definedName function="false" hidden="false" name="TargetFat" vbProcedure="false">Настройки!$B$21</definedName>
    <definedName function="false" hidden="false" name="TargetFiber" vbProcedure="false">Настройки!$B$23</definedName>
    <definedName function="false" hidden="false" name="TargetKcal" vbProcedure="false">Настройки!$B$19</definedName>
    <definedName function="false" hidden="false" name="TargetProtein" vbProcedure="false">Настройки!$B$20</definedName>
    <definedName function="false" hidden="false" name="TargetWater" vbProcedure="false">Настройки!$B$24</definedName>
    <definedName function="false" hidden="false" name="TDEE" vbProcedure="false">Настройки!$B$14</definedName>
    <definedName function="false" hidden="false" name="TrendDays" vbProcedure="false">Настройки!$B$34</definedName>
    <definedName function="false" hidden="false" name="WeekNo" vbProcedure="false">Настройки!$B$30</definedName>
    <definedName function="false" hidden="false" name="WeekStart0" vbProcedure="false">Расчёты!$B$7</definedName>
    <definedName function="false" hidden="false" name="WheyProt" vbProcedure="false">Настройки!$B$26</definedName>
    <definedName function="false" hidden="false" name="WheyServ" vbProcedure="false">Настройки!$B$25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<sst xmlns="http://schemas.openxmlformats.org/spreadsheetml/2006/main" count="885" uniqueCount="418">
  <si>
    <t xml:space="preserve">Дневник питания и веса</t>
  </si>
  <si>
    <t xml:space="preserve">Вноси каждый день: вес утром (натощак, после туалета), калории, белок, жиры, углеводы, клетчатку, воду (л). Синие ячейки на жёлтом фоне — ввод, остальное считается само. Взвешивайся ежедневно, оценивай по среднему за 7 дней, а не по одному числу.</t>
  </si>
  <si>
    <t xml:space="preserve">← пример строки (не считается)</t>
  </si>
  <si>
    <t xml:space="preserve">Сводка (последние 7 дней с записями)</t>
  </si>
  <si>
    <t xml:space="preserve">Ккал</t>
  </si>
  <si>
    <t xml:space="preserve">Белок, г</t>
  </si>
  <si>
    <t xml:space="preserve">Жиры, г</t>
  </si>
  <si>
    <t xml:space="preserve">Углеводы, г</t>
  </si>
  <si>
    <t xml:space="preserve">Клетчатка, г</t>
  </si>
  <si>
    <t xml:space="preserve">Вода, л</t>
  </si>
  <si>
    <t xml:space="preserve">Цель на день</t>
  </si>
  <si>
    <t xml:space="preserve">Факт: среднее за 7 дней</t>
  </si>
  <si>
    <t xml:space="preserve">Отклонение (факт − цель)</t>
  </si>
  <si>
    <t xml:space="preserve">Отклонение, %</t>
  </si>
  <si>
    <t xml:space="preserve">Вес</t>
  </si>
  <si>
    <t xml:space="preserve">Ср. вес 7 дн, кг</t>
  </si>
  <si>
    <t xml:space="preserve">Изм. за 7 дн, кг</t>
  </si>
  <si>
    <t xml:space="preserve">Темп, %/нед</t>
  </si>
  <si>
    <t xml:space="preserve">Δ к старту, кг</t>
  </si>
  <si>
    <t xml:space="preserve">Ср. вес 30 дн, кг</t>
  </si>
  <si>
    <t xml:space="preserve">Замеров веса</t>
  </si>
  <si>
    <t xml:space="preserve">По среднему за 7 дней</t>
  </si>
  <si>
    <t xml:space="preserve">Дата</t>
  </si>
  <si>
    <t xml:space="preserve">Вес утром, кг</t>
  </si>
  <si>
    <t xml:space="preserve">Комментарий</t>
  </si>
  <si>
    <t xml:space="preserve">Откл. ккал</t>
  </si>
  <si>
    <t xml:space="preserve">Откл. белок, г</t>
  </si>
  <si>
    <t xml:space="preserve">Откл. жиры, г</t>
  </si>
  <si>
    <t xml:space="preserve">Откл. углеводы, г</t>
  </si>
  <si>
    <t xml:space="preserve">Расхожд. ккал и макро</t>
  </si>
  <si>
    <t xml:space="preserve">Ср. ккал 7 дн</t>
  </si>
  <si>
    <t xml:space="preserve">Ср. белок 7 дн, г</t>
  </si>
  <si>
    <t xml:space="preserve">Изм. ср. веса за 7 дн, кг</t>
  </si>
  <si>
    <t xml:space="preserve">Δ к старту (ср.), кг</t>
  </si>
  <si>
    <t xml:space="preserve">abc</t>
  </si>
  <si>
    <t xml:space="preserve">Журнал тренировок</t>
  </si>
  <si>
    <t xml:space="preserve">Вноси каждый рабочий подход отдельной строкой: дата, тренировка, упражнение (список), номер подхода, вес, повторения, RIR. Разминку помечай типом «Разминка». Синие ячейки на жёлтом фоне — ввод. Столбцы J–L считаются сами. Подсказки на следующую тренировку — на листе «Программа тренировок».</t>
  </si>
  <si>
    <t xml:space="preserve">A</t>
  </si>
  <si>
    <t xml:space="preserve">Жим платформы ногами</t>
  </si>
  <si>
    <t xml:space="preserve">Рабочий</t>
  </si>
  <si>
    <t xml:space="preserve">← пример строки (в расчётах не участвует)</t>
  </si>
  <si>
    <t xml:space="preserve">Тренировка</t>
  </si>
  <si>
    <t xml:space="preserve">Упражнение</t>
  </si>
  <si>
    <t xml:space="preserve">Подход №</t>
  </si>
  <si>
    <t xml:space="preserve">Вес, кг</t>
  </si>
  <si>
    <t xml:space="preserve">Повторения</t>
  </si>
  <si>
    <t xml:space="preserve">RIR</t>
  </si>
  <si>
    <t xml:space="preserve">Тип подхода</t>
  </si>
  <si>
    <t xml:space="preserve">Объём, кг×повт.</t>
  </si>
  <si>
    <t xml:space="preserve">Диапазон по программе</t>
  </si>
  <si>
    <t xml:space="preserve">Оценка подхода</t>
  </si>
  <si>
    <t xml:space="preserve">Ноги</t>
  </si>
  <si>
    <t xml:space="preserve">Присед в Смитте</t>
  </si>
  <si>
    <t xml:space="preserve">Разгибание ног сидя в тренажере</t>
  </si>
  <si>
    <t xml:space="preserve">Сгибание ног лежа в тренажере</t>
  </si>
  <si>
    <t xml:space="preserve">Грудь, руки, плечи</t>
  </si>
  <si>
    <t xml:space="preserve">Жим лежа в тренажере Смитта</t>
  </si>
  <si>
    <t xml:space="preserve">Разминка</t>
  </si>
  <si>
    <t xml:space="preserve">Жим гантелей на скамье 30°</t>
  </si>
  <si>
    <t xml:space="preserve">Сведение рук в тренажере</t>
  </si>
  <si>
    <t xml:space="preserve">Подъем руки вверх с нижнего блока (плечи, по очереди)</t>
  </si>
  <si>
    <t xml:space="preserve">Разгибание рук с верхнего блока (по одной руке)</t>
  </si>
  <si>
    <t xml:space="preserve">На предплечья сидя на скамье: раскатывание штанги</t>
  </si>
  <si>
    <t xml:space="preserve">Спина, руки</t>
  </si>
  <si>
    <t xml:space="preserve">Тяга с верхнего блока узким хватом</t>
  </si>
  <si>
    <t xml:space="preserve">Сведение в пек-деке</t>
  </si>
  <si>
    <t xml:space="preserve">Жим лежа</t>
  </si>
  <si>
    <t xml:space="preserve">Сгибание рук с гантелями</t>
  </si>
  <si>
    <t xml:space="preserve">Французский жим</t>
  </si>
  <si>
    <t xml:space="preserve">Плечи</t>
  </si>
  <si>
    <t xml:space="preserve">Подъемы гантелей в стороны</t>
  </si>
  <si>
    <t xml:space="preserve">Подъемы гантелей вверх</t>
  </si>
  <si>
    <t xml:space="preserve">Подъем штанги перед собой</t>
  </si>
  <si>
    <t xml:space="preserve">Подъемы вверх сидя в тренажере</t>
  </si>
  <si>
    <t xml:space="preserve">Сидя на задний пучок</t>
  </si>
  <si>
    <t xml:space="preserve">Руки</t>
  </si>
  <si>
    <t xml:space="preserve">Сгибание рук с гантелями стоя</t>
  </si>
  <si>
    <t xml:space="preserve">Сгибание рук со штангой стоя</t>
  </si>
  <si>
    <t xml:space="preserve">Разгибание рук из-за головы с гантелей</t>
  </si>
  <si>
    <t xml:space="preserve">Разгибание с верхнего блока (канат)</t>
  </si>
  <si>
    <t xml:space="preserve">Молот</t>
  </si>
  <si>
    <t xml:space="preserve">Грудь</t>
  </si>
  <si>
    <t xml:space="preserve">Жим сидя в тренажере</t>
  </si>
  <si>
    <t xml:space="preserve">Жим лежа на наклонной скамье в тренажере Смитта</t>
  </si>
  <si>
    <t xml:space="preserve">Баттерфляй (тренажер)</t>
  </si>
  <si>
    <t xml:space="preserve">31.02.2026</t>
  </si>
  <si>
    <t xml:space="preserve">Йога</t>
  </si>
  <si>
    <t xml:space="preserve">Программа тренировок: Full Body A / B / C (3 раза в неделю, через день)</t>
  </si>
  <si>
    <t xml:space="preserve">Синие ячейки на жёлтом фоне — параметры, их можно править (стартовые веса, диапазоны, шаги). Столбцы R–W считаются сами по журналу на листе «Тренировки» и подсказывают вес на следующую тренировку. Порядок недели, например: Пн A — Ср B — Пт C.</t>
  </si>
  <si>
    <t xml:space="preserve">RIR (Reps In Reserve, повторения в запасе): RIR 0 = больше ни одного качественного повторения сделать нельзя (отказ). RIR 1 = мог бы сделать ещё ≈1 повторение. RIR 2 = ещё ≈2. RIR 3 = ещё ≈3. RIR 4 и выше = слишком легко. Сомневаешься между двумя цифрами — записывай меньшую. Разминочные подходы отмечай типом «Разминка» — они не участвуют в подсказках.</t>
  </si>
  <si>
    <t xml:space="preserve">День</t>
  </si>
  <si>
    <t xml:space="preserve">№</t>
  </si>
  <si>
    <t xml:space="preserve">Подходы</t>
  </si>
  <si>
    <t xml:space="preserve">Повт. от</t>
  </si>
  <si>
    <t xml:space="preserve">Повт. до</t>
  </si>
  <si>
    <t xml:space="preserve">Стартовый вес, кг</t>
  </si>
  <si>
    <t xml:space="preserve">Отдых</t>
  </si>
  <si>
    <t xml:space="preserve">RIR нед. 1–3 (мин.)</t>
  </si>
  <si>
    <t xml:space="preserve">RIR с нед. 4 (мин.)</t>
  </si>
  <si>
    <t xml:space="preserve">Мин. RIR сейчас</t>
  </si>
  <si>
    <t xml:space="preserve">Целевой RIR сейчас</t>
  </si>
  <si>
    <t xml:space="preserve">Шаг веса, кг</t>
  </si>
  <si>
    <t xml:space="preserve">Правило прогрессии</t>
  </si>
  <si>
    <t xml:space="preserve">Почему такой стартовый вес</t>
  </si>
  <si>
    <t xml:space="preserve">Условия / комментарий</t>
  </si>
  <si>
    <t xml:space="preserve">Последняя тренировка</t>
  </si>
  <si>
    <t xml:space="preserve">Вес тогда, кг</t>
  </si>
  <si>
    <t xml:space="preserve">Мин. повторов</t>
  </si>
  <si>
    <t xml:space="preserve">Мин. RIR</t>
  </si>
  <si>
    <t xml:space="preserve">Подсказка на следующую</t>
  </si>
  <si>
    <t xml:space="preserve">Вес на следующую, кг</t>
  </si>
  <si>
    <t xml:space="preserve">2–3 мин</t>
  </si>
  <si>
    <t xml:space="preserve">Двойная прогрессия: во всех рабочих подходах достигнут верх диапазона при RIR не ниже цели → +шаг веса и снова с нижней границы. Нижняя граница не набрана → −1 шаг или больше отдыха.</t>
  </si>
  <si>
    <t xml:space="preserve">20.06: 70×15 четыре подхода без падения повторений — вес явно не предельный. Для 10–12 при RIR 2–3 беру 80 кг (оценка). В 1-м подходе проверь RIR: если RIR 4+, добавь 5–10 кг сразу.</t>
  </si>
  <si>
    <t xml:space="preserve">Ноги на середине платформы, поясница прижата к спинке, колени не «падают» внутрь. Опускай до комфортного сгибания, без отрыва таза.</t>
  </si>
  <si>
    <t xml:space="preserve">Жим в тренажёре сидя (грудь)</t>
  </si>
  <si>
    <t xml:space="preserve">23.07: 30×15 и 35×8/8/8. Ровные 8 повторений намекают на RIR ≈1–2 на 35 кг, поэтому старт ниже — 30 кг: запас на адаптацию.</t>
  </si>
  <si>
    <t xml:space="preserve">Нейтральный/полунейтральный хват, локти ≈45° к корпусу, амплитуда без глубокого растяжения. Боль в плече — стоп, замени на тренажёр с другой траекторией. Если минимальный шаг у тебя 5 кг — сначала добавляй повторения.</t>
  </si>
  <si>
    <t xml:space="preserve">Горизонтальная тяга в блоке (нейтральный хват)</t>
  </si>
  <si>
    <t xml:space="preserve">2 мин</t>
  </si>
  <si>
    <t xml:space="preserve">Истории по этому упражнению нет — старт по оценке 40 кг (немного ниже рабочего веса тяги верхнего блока 54,5×10). Первая тренировка — калибровка RIR.</t>
  </si>
  <si>
    <t xml:space="preserve">Корпус неподвижен, тяни к низу живота, без раскачки поясницей. Лопатки сводить плавно.</t>
  </si>
  <si>
    <t xml:space="preserve">Сгибание ног лёжа</t>
  </si>
  <si>
    <t xml:space="preserve">90 сек</t>
  </si>
  <si>
    <t xml:space="preserve">Изоляция: сначала добавляй повторения до верха диапазона; вес +минимальный шаг, только когда верх во всех подходах и RIR не ниже цели. Если шаг больше ~10% веса — сначала +1–2 повтора сверх верха.</t>
  </si>
  <si>
    <t xml:space="preserve">20.06: 30/25/25/20 кг по 15 повторений — вес при 15 повт. ≈25. Для 10–12 при RIR 2 старт 25 кг.</t>
  </si>
  <si>
    <t xml:space="preserve">Таз прижат к скамье, без прогиба в пояснице; опускай медленно (2–3 с).</t>
  </si>
  <si>
    <t xml:space="preserve">Жим носками на платформе (икры)</t>
  </si>
  <si>
    <t xml:space="preserve">60–90 сек</t>
  </si>
  <si>
    <t xml:space="preserve">Истории нет — оценка 50 кг (заметно ниже веса жима ногами). Проверь RIR в первом подходе.</t>
  </si>
  <si>
    <t xml:space="preserve">Полная амплитуда: пауза 1 с внизу и вверху, колени почти прямые.</t>
  </si>
  <si>
    <t xml:space="preserve">Pallof press (антиротация, блок)</t>
  </si>
  <si>
    <t xml:space="preserve">60 сек</t>
  </si>
  <si>
    <t xml:space="preserve">Истории нет — лёгкий вес 10 кг (оценка): цель — стабилизация корпуса, а не тоннаж. Повторения считаются на сторону.</t>
  </si>
  <si>
    <t xml:space="preserve">Безопасный вариант для корпуса при склонности к зажимам в пояснице: корпус не вращается, поясница нейтральна. Не заменяй скручиваниями с весом.</t>
  </si>
  <si>
    <t xml:space="preserve">B</t>
  </si>
  <si>
    <t xml:space="preserve">Присед в Смите (ноги чуть вперёд)</t>
  </si>
  <si>
    <t xml:space="preserve">20.06: 30×15 четыре подхода без падения — вес лёгкий. Для 10–12 при RIR 3 старт 30 кг; прогресс строго через технику и контроль.</t>
  </si>
  <si>
    <t xml:space="preserve">С осторожностью для спины: корпус вертикально, без тяжёлого веса и без «прогиба». Если поясница зажимается — замени на жим ногами (гакк-присед). Уточни, включён ли вес грифа в твои 30 кг.</t>
  </si>
  <si>
    <t xml:space="preserve">Жим гантелей на наклонной 30° (кг на гантель)</t>
  </si>
  <si>
    <t xml:space="preserve">27.06: 12×12, затем 12×5, 12×3 — падение объясняется усталостью после тяжёлого жима в Смите, а не «предельным весом». Старт 12 кг с нейтральным хватом и RIR 2–3.</t>
  </si>
  <si>
    <t xml:space="preserve">Нейтральный хват (ладони друг к другу), локти ≈45°, опускай до комфортной глубины, без глубокой растяжки груди. Боль в плече — прекратить упражнение, заменить жимом в тренажёре.</t>
  </si>
  <si>
    <t xml:space="preserve">Румынская тяга с гантелями (кг на гантель)</t>
  </si>
  <si>
    <t xml:space="preserve">Истории нет — лёгкий вес 12 кг на гантель (оценка), чтобы отработать спину нейтрально. Цель — заднюю поверхность бедра и ягодицы, без нагрузки на поясницу.</t>
  </si>
  <si>
    <t xml:space="preserve">Спина нейтральная, гантели скользят по бёдрам, опускай до середины голени. Если поясница зажимается — замени на ягодичный мост.</t>
  </si>
  <si>
    <t xml:space="preserve">Подъёмы гантелей в стороны (кг на гантель)</t>
  </si>
  <si>
    <t xml:space="preserve">16.07: 12.5×15, затем 15×8 ×3. Для 12–15 при RIR 2 беру 10 кг — чуть ниже 12.5 из-за осторожности к плечу.</t>
  </si>
  <si>
    <t xml:space="preserve">Поднимай до уровня плеч, не выше; корпус без раскачки. Если минимальный шаг гантелей 2,5 кг — сначала добавляй повторения до 15.</t>
  </si>
  <si>
    <t xml:space="preserve">Разгибание рук на верхнем блоке (канат)</t>
  </si>
  <si>
    <t xml:space="preserve">20.07: 35×10/9/10 — рабочий вес около RIR 1–2. Старт 30 кг с запасом.</t>
  </si>
  <si>
    <t xml:space="preserve">Локти прижаты, без раскачки корпусом.</t>
  </si>
  <si>
    <t xml:space="preserve">Разведение на задний пучок (пек-дек)</t>
  </si>
  <si>
    <t xml:space="preserve">16.07: 10×10/10/8/8; 27.06: 6×20. Для 12–15 при RIR 2 старт 8.</t>
  </si>
  <si>
    <t xml:space="preserve">Небольшая амплитуда, без рывка, лопатки не задираем к ушам.</t>
  </si>
  <si>
    <t xml:space="preserve">Dead bug (свой вес)</t>
  </si>
  <si>
    <t xml:space="preserve">Свой вес: сначала +повторения/секунды до верха диапазона, затем замедли темп (3 с на опускание), затем добавь лёгкое утяжеление.</t>
  </si>
  <si>
    <t xml:space="preserve">Упражнение с собственным весом; повторения считаются на сторону.</t>
  </si>
  <si>
    <t xml:space="preserve">Безопасное упражнение на корпус: поясница прижата к полу весь подход. Если поясница отрывается — уменьши амплитуду.</t>
  </si>
  <si>
    <t xml:space="preserve">C</t>
  </si>
  <si>
    <t xml:space="preserve">Разгибание ног сидя</t>
  </si>
  <si>
    <t xml:space="preserve">20.06: 50×15, 50×15, 55×15, 55×15 — без падения. Старт 50 кг (RIR ≈2–3 на 15 повторениях).</t>
  </si>
  <si>
    <t xml:space="preserve">Пауза 1 с вверху, опускание 2–3 с. Дискомфорт в колене — уменьши вес/амплитуду.</t>
  </si>
  <si>
    <t xml:space="preserve">Сведение в пек-деке (баттерфляй)</t>
  </si>
  <si>
    <t xml:space="preserve">23.07: 45×8, 40×12/8/8. Для 10–12 при RIR 2–3 старт 35 кг.</t>
  </si>
  <si>
    <t xml:space="preserve">Ограниченная амплитуда: локти не уходят за линию корпуса, плечи не заваливаются вперёд. Боль в плече — прекратить.</t>
  </si>
  <si>
    <t xml:space="preserve">Тяга верхнего блока (узкий/нейтральный хват)</t>
  </si>
  <si>
    <t xml:space="preserve">03.07: 45,5×20, 54,5×10, 63,5×7, 63,5×3,5. Вес 63,5 очевидно тяжёл (падение с 7 до 3,5). 54,5×10 ≈ RIR 1–2. Старт 50 кг.</t>
  </si>
  <si>
    <t xml:space="preserve">Тяни к верху груди, не за голову; корпус слегка откинут, без раскачки.</t>
  </si>
  <si>
    <t xml:space="preserve">Ягодичный мост со штангой</t>
  </si>
  <si>
    <t xml:space="preserve">Истории нет — оценка 40 кг (гриф + плиты). Проверь RIR в первом подходе.</t>
  </si>
  <si>
    <t xml:space="preserve">Верхняя часть спины упирается в скамью; наверху таз в нейтрали, без переразгибания в пояснице. Можно делать в тренажёре.</t>
  </si>
  <si>
    <t xml:space="preserve">Сгибание рук с гантелями (кг на гантель)</t>
  </si>
  <si>
    <t xml:space="preserve">20.07: 12.5×15/15/8, 10×12; 03.07: 12×10/6, 10×7/10. Для 10–12 при RIR 2 старт 10 кг.</t>
  </si>
  <si>
    <t xml:space="preserve">Локти зафиксированы, без раскачки корпусом (спина). Если минимальный шаг 2,5 кг — сначала повторения.</t>
  </si>
  <si>
    <t xml:space="preserve">Подъёмы на носки сидя в тренажёре</t>
  </si>
  <si>
    <t xml:space="preserve">Истории нет — оценка 30 кг; проверь RIR в первом подходе.</t>
  </si>
  <si>
    <t xml:space="preserve">Пауза внизу и вверху, полная амплитуда.</t>
  </si>
  <si>
    <t xml:space="preserve">Боковая планка (секунды на сторону)</t>
  </si>
  <si>
    <t xml:space="preserve">Со своим весом; «повторения» = секунды на сторону.</t>
  </si>
  <si>
    <t xml:space="preserve">Корпус в линии, таз не проваливается. Боль в плече — сократи время или согни колени.</t>
  </si>
  <si>
    <t xml:space="preserve">Правила системы</t>
  </si>
  <si>
    <t xml:space="preserve">1. Стартовые веса: там, где у тебя есть история, вес взят из неё, но с запасом (записи без RIR). Где истории нет — это оценка, она помечена в столбце «Почему такой стартовый вес». Первая тренировка — калибровка: после 1-го подхода запиши RIR и поправь вес.</t>
  </si>
  <si>
    <t xml:space="preserve">2. Пока не достигнуто 10/10/10 (или верх диапазона) в рамках целевого RIR — вес не увеличиваем. Пример для диапазона 8–10: 10/10/10 при RIR 2 → увеличить вес; 10/9/8 при RIR 1–2 → оставить; 10/7/5 → вес, вероятно, слишком большой или мало отдыха → снизить на шаг или увеличить отдых.</t>
  </si>
  <si>
    <t xml:space="preserve">3. Первые недели (адаптация): RIR 2–3 везде, до отказа не идём. Приоритет: техника → контроль → переносимость → повторения → вес → объём.</t>
  </si>
  <si>
    <t xml:space="preserve">4. Правило боли: мышечное усилие, жжение и обычная усталость — норма. Боль в суставе (плечо, спина, другой сустав) — нет: прекрати именно это упражнение, не продолжай через боль и не компенсируй техникой, замени упражнение (столбец «Условия»). Если боль повторяется, сохраняется или усиливается — обратись к врачу или физиотерапевту.</t>
  </si>
  <si>
    <t xml:space="preserve">5. Разминка: 1–2 лёгких подхода перед первым упражнением каждого мышечного блока; в журнал вноси их с типом «Разминка».</t>
  </si>
  <si>
    <t xml:space="preserve">Программа питания</t>
  </si>
  <si>
    <t xml:space="preserve">Цели ниже берутся с листа «Настройки». В примере дня меняй продукты (список) и граммы (синие ячейки) — КБЖУ пересчитается. Значения на 100 г — на листе «Продукты».</t>
  </si>
  <si>
    <t xml:space="preserve">Стратегия</t>
  </si>
  <si>
    <t xml:space="preserve">Небольшой дефицит (≈350 ккал/сут, ≈14% от TDEE) + силовые 3 раза в неделю + высокий белок (≈2 г/кг). Почему не чистая рекомпозиция на поддержании: набор ≈6,6 кг произошёл за последние месяцы на фоне падения активности — вероятно, заметная часть жир, но точный состав тела неизвестен. Почему не большой дефицит: цель — не быстро похудеть, а сохранить/нарастить мышцы и силу и держать режим месяцами (ноги — слабое место, быстрый прогресс силы реален). Ожидаемый темп по плану ≈0,3 кг/нед (теория); реальный темп проверяется по среднему весу, не по одному взвешиванию.</t>
  </si>
  <si>
    <t xml:space="preserve">Стартовые цели (ссылки на «Настройки»)</t>
  </si>
  <si>
    <t xml:space="preserve">Показатель</t>
  </si>
  <si>
    <t xml:space="preserve">Значение</t>
  </si>
  <si>
    <t xml:space="preserve">На кг веса</t>
  </si>
  <si>
    <t xml:space="preserve">Калории, ккал</t>
  </si>
  <si>
    <t xml:space="preserve">Нижний предел: не опускаться ниже</t>
  </si>
  <si>
    <t xml:space="preserve">Остаток калорий; при коррекции калорий меняются они</t>
  </si>
  <si>
    <t xml:space="preserve">≈14 г на 1000 ккал: овощи, крупы, ягоды</t>
  </si>
  <si>
    <t xml:space="preserve">≈35 мл/кг; больше в жару и в дни тренировок</t>
  </si>
  <si>
    <t xml:space="preserve">Проверка</t>
  </si>
  <si>
    <t xml:space="preserve">ккал по макро (4·Б + 9·Ж + 4·У) — должно быть ≈ цели</t>
  </si>
  <si>
    <t xml:space="preserve">Режим питания</t>
  </si>
  <si>
    <t xml:space="preserve">Время</t>
  </si>
  <si>
    <t xml:space="preserve">Приём</t>
  </si>
  <si>
    <t xml:space="preserve">Как устроить</t>
  </si>
  <si>
    <t xml:space="preserve">Ккал ≈</t>
  </si>
  <si>
    <t xml:space="preserve">Белок ≈, г</t>
  </si>
  <si>
    <t xml:space="preserve">08:00</t>
  </si>
  <si>
    <t xml:space="preserve">Завтрак</t>
  </si>
  <si>
    <t xml:space="preserve">Дома перед работой; основа — крупа + белок + фрукт.</t>
  </si>
  <si>
    <t xml:space="preserve">12:30</t>
  </si>
  <si>
    <t xml:space="preserve">Обед (на работе)</t>
  </si>
  <si>
    <t xml:space="preserve">Контейнер, приготовленный накануне; главный белковый приём дня.</t>
  </si>
  <si>
    <t xml:space="preserve">18:00</t>
  </si>
  <si>
    <t xml:space="preserve">Ужин (дома)</t>
  </si>
  <si>
    <t xml:space="preserve">Главный «семейный» приём. В тренировочные дни — за 1,5–2 часа до зала.</t>
  </si>
  <si>
    <t xml:space="preserve">20:30</t>
  </si>
  <si>
    <t xml:space="preserve">Вечерний белковый приём</t>
  </si>
  <si>
    <t xml:space="preserve">Протеин + йогурт: закрывает белок дня. В тренировочные дни протеин — сразу после зала.</t>
  </si>
  <si>
    <t xml:space="preserve">Если тренировка сразу после работы (около 18:00–19:30): до зала — банан + протеин, ужин — после тренировки. Питание на нетренировочные дни то же самое — целевые цифры не меняются.</t>
  </si>
  <si>
    <t xml:space="preserve">Пример дня (граммовки в сыром/сухом виде, где указано в названии)</t>
  </si>
  <si>
    <t xml:space="preserve">Продукт</t>
  </si>
  <si>
    <t xml:space="preserve">Граммы</t>
  </si>
  <si>
    <t xml:space="preserve">Овсяные хлопья (сухие)</t>
  </si>
  <si>
    <t xml:space="preserve">Яйцо куриное</t>
  </si>
  <si>
    <t xml:space="preserve">Творог 5%</t>
  </si>
  <si>
    <t xml:space="preserve">Банан</t>
  </si>
  <si>
    <t xml:space="preserve">Итого: Завтрак</t>
  </si>
  <si>
    <t xml:space="preserve">Куриная грудка (сырая)</t>
  </si>
  <si>
    <t xml:space="preserve">Гречка (сухая)</t>
  </si>
  <si>
    <t xml:space="preserve">Овощи смешанные (огурцы, помидоры, капуста)</t>
  </si>
  <si>
    <t xml:space="preserve">Масло оливковое</t>
  </si>
  <si>
    <t xml:space="preserve">Итого: Обед (на работе)</t>
  </si>
  <si>
    <t xml:space="preserve">Форель (сырая)</t>
  </si>
  <si>
    <t xml:space="preserve">Рис белый (сухой)</t>
  </si>
  <si>
    <t xml:space="preserve">Брокколи</t>
  </si>
  <si>
    <t xml:space="preserve">Итого: Ужин (дома)</t>
  </si>
  <si>
    <t xml:space="preserve">Протеин сывороточный (порция 30 г)</t>
  </si>
  <si>
    <t xml:space="preserve">Йогурт греческий 2%</t>
  </si>
  <si>
    <t xml:space="preserve">Ягоды замороженные</t>
  </si>
  <si>
    <t xml:space="preserve">Миндаль</t>
  </si>
  <si>
    <t xml:space="preserve">Итого: Вечерний белковый приём</t>
  </si>
  <si>
    <t xml:space="preserve">ИТОГО за день</t>
  </si>
  <si>
    <t xml:space="preserve">Цель</t>
  </si>
  <si>
    <t xml:space="preserve">Разница (меню − цель)</t>
  </si>
  <si>
    <t xml:space="preserve">Протеин</t>
  </si>
  <si>
    <t xml:space="preserve">Белок в сутки, г</t>
  </si>
  <si>
    <t xml:space="preserve">Общая суточная цель.</t>
  </si>
  <si>
    <t xml:space="preserve">Из обычной еды, г</t>
  </si>
  <si>
    <t xml:space="preserve">Желательно закрывать основную часть белка едой.</t>
  </si>
  <si>
    <t xml:space="preserve">Из сывороточного протеина, г</t>
  </si>
  <si>
    <t xml:space="preserve">Одна порция в день; калории протеина уже входят в общий КБЖУ (в примере — вечерний приём).</t>
  </si>
  <si>
    <t xml:space="preserve">Порций в день</t>
  </si>
  <si>
    <t xml:space="preserve">Тренировочные и нетренировочные дни — одинаково. Вторая порция — только если к вечеру еда не добирает ≥25 г белка.</t>
  </si>
  <si>
    <t xml:space="preserve">Важно: сначала считай рацион с протеином, потом ничего сверху не добавляй. Если ешь порцию протеина — эти 24 г белка и ≈125 ккал уже учтены в цели.</t>
  </si>
  <si>
    <t xml:space="preserve">Варианты замены (ориентир: равный вклад по главному нутриенту)</t>
  </si>
  <si>
    <t xml:space="preserve">Куриная грудка 150 г (белок)</t>
  </si>
  <si>
    <t xml:space="preserve">индейка, филе — 150 г; говядина постная — 170 г; форель — 175 г (жирнее); треска — 200 г</t>
  </si>
  <si>
    <t xml:space="preserve">Гречка 80 г сухая (углеводы)</t>
  </si>
  <si>
    <t xml:space="preserve">рис — 65 г сухой; макароны цельнозерновые — 75 г сухих; картофель — 305 г сырого</t>
  </si>
  <si>
    <t xml:space="preserve">Овсяные хлопья 70 г (углеводы)</t>
  </si>
  <si>
    <t xml:space="preserve">гречка — 65 г сухая; хлеб цельнозерновой — 95 г</t>
  </si>
  <si>
    <t xml:space="preserve">Форель 150 г (белок)</t>
  </si>
  <si>
    <t xml:space="preserve">треска — 175 г; куриная грудка — 130 г; индейка — 130 г</t>
  </si>
  <si>
    <t xml:space="preserve">Творог 5% 60 г (белок)</t>
  </si>
  <si>
    <t xml:space="preserve">греческий йогурт 2% — 100 г; творог 0–1% — 65 г</t>
  </si>
  <si>
    <t xml:space="preserve">Яйца 110 г (≈2 шт.) (белок)</t>
  </si>
  <si>
    <t xml:space="preserve">куриная грудка — 60 г; творог 5% — 80 г</t>
  </si>
  <si>
    <t xml:space="preserve">Банан 120 г (углеводы)</t>
  </si>
  <si>
    <t xml:space="preserve">яблоко — 200 г; ягоды замороженные — 250 г</t>
  </si>
  <si>
    <t xml:space="preserve">Миндаль 20 г (жиры)</t>
  </si>
  <si>
    <t xml:space="preserve">арахисовая паста — 20 г; оливковое масло — 10 г</t>
  </si>
  <si>
    <t xml:space="preserve">Граммы замен рассчитаны по справочнику на листе «Продукты» и округлены до 5 г; калорийность замен может немного отличаться. Замены делай внутри одного приёма пищи.</t>
  </si>
  <si>
    <t xml:space="preserve">Прогресс</t>
  </si>
  <si>
    <t xml:space="preserve">Всё считается само из листов «Питание» и «Тренировки». Все «сегодня» здесь — это дата последней записи, а не системная дата. Ничего вводить не нужно.</t>
  </si>
  <si>
    <t xml:space="preserve">Текущий вес (последнее взвешивание), кг</t>
  </si>
  <si>
    <t xml:space="preserve">Одно измерение; для решений используем среднее.</t>
  </si>
  <si>
    <t xml:space="preserve">Дата последнего взвешивания</t>
  </si>
  <si>
    <t xml:space="preserve">Изменение веса к старту, кг</t>
  </si>
  <si>
    <t xml:space="preserve">Средний вес за 7 дней, кг</t>
  </si>
  <si>
    <t xml:space="preserve">Средний вес за 30 дней, кг</t>
  </si>
  <si>
    <t xml:space="preserve">Изменение за неделю (ср. 7 дн к предыдущим 7 дн), кг</t>
  </si>
  <si>
    <t xml:space="preserve">Изменение за месяц (ср. 7 дн к 7 дн 4 недели назад), кг</t>
  </si>
  <si>
    <t xml:space="preserve">Появится через 5 недель от первого взвешивания.</t>
  </si>
  <si>
    <t xml:space="preserve">Питание (по дням, где есть записи)</t>
  </si>
  <si>
    <t xml:space="preserve">Средние калории за 7 дней, ккал</t>
  </si>
  <si>
    <t xml:space="preserve">Средние калории за 30 дней, ккал</t>
  </si>
  <si>
    <t xml:space="preserve">Средний белок за 7 дней, г</t>
  </si>
  <si>
    <t xml:space="preserve">Средний белок за 30 дней, г</t>
  </si>
  <si>
    <t xml:space="preserve">Доля дней в допуске по ккал (последние 14 дней)</t>
  </si>
  <si>
    <t xml:space="preserve">Допуск задаётся в «Настройки».</t>
  </si>
  <si>
    <t xml:space="preserve">Решение по калориям (проверять раз в 2 недели)</t>
  </si>
  <si>
    <t xml:space="preserve">Средний вес 7 дн — сейчас, кг</t>
  </si>
  <si>
    <t xml:space="preserve">Средний вес 7 дн — окно N дней назад, кг</t>
  </si>
  <si>
    <t xml:space="preserve">N = «Окно сравнения» в «Настройки» (по умолчанию 14 дн).</t>
  </si>
  <si>
    <t xml:space="preserve">Взвешиваний в текущем окне</t>
  </si>
  <si>
    <t xml:space="preserve">Взвешиваний в прошлом окне</t>
  </si>
  <si>
    <t xml:space="preserve">Темп изменения веса, кг/нед</t>
  </si>
  <si>
    <t xml:space="preserve">Темп изменения веса, % массы/нед</t>
  </si>
  <si>
    <t xml:space="preserve">Целевой коридор: от −0,3% до −0,8% в неделю.</t>
  </si>
  <si>
    <t xml:space="preserve">Соблюдение плана (доля дней в допуске)</t>
  </si>
  <si>
    <t xml:space="preserve">РЕШЕНИЕ</t>
  </si>
  <si>
    <t xml:space="preserve">Прогноз веса (математическая экстраполяция)</t>
  </si>
  <si>
    <t xml:space="preserve">Горизонт</t>
  </si>
  <si>
    <t xml:space="preserve">Недель</t>
  </si>
  <si>
    <t xml:space="preserve">По фактической динамике, кг</t>
  </si>
  <si>
    <t xml:space="preserve">По плану (теория), кг</t>
  </si>
  <si>
    <t xml:space="preserve">Через 4 недель</t>
  </si>
  <si>
    <t xml:space="preserve">Через 8 недель</t>
  </si>
  <si>
    <t xml:space="preserve">Через 12 недель</t>
  </si>
  <si>
    <t xml:space="preserve">Недель до ориентира по весу (при текущем темпе)</t>
  </si>
  <si>
    <t xml:space="preserve">Ориентир и допущения — в «Настройки».</t>
  </si>
  <si>
    <t xml:space="preserve">Это математическая экстраполяция текущего темпа, а не гарантированный результат: вес зависит от воды, соли, цикла тренировок и соблюдения плана. Прогноз не строится, пока нет ≥4 взвешиваний в каждом из двух окон. «По плану» = дефицит из «Настройки» × 7 / 7700 ккал на кг (грубое допущение).</t>
  </si>
  <si>
    <t xml:space="preserve">Основные упражнения (выбор — в «Настройки»)</t>
  </si>
  <si>
    <t xml:space="preserve">Старт, кг</t>
  </si>
  <si>
    <t xml:space="preserve">Последний вес, кг</t>
  </si>
  <si>
    <t xml:space="preserve">Изменение, кг</t>
  </si>
  <si>
    <t xml:space="preserve">Изм., %</t>
  </si>
  <si>
    <t xml:space="preserve">Подсказка</t>
  </si>
  <si>
    <t xml:space="preserve">Графики</t>
  </si>
  <si>
    <t xml:space="preserve">Настройки</t>
  </si>
  <si>
    <t xml:space="preserve">Синие значения на жёлтом фоне можно менять. Все листы берут цели и правила отсюда. Метки: ФАКТ — данные от тебя; РАСЧЁТ — формула; ОЦЕНКА — моё допущение, которое можно править.</t>
  </si>
  <si>
    <t xml:space="preserve">1. Исходные данные</t>
  </si>
  <si>
    <t xml:space="preserve">Возраст, лет</t>
  </si>
  <si>
    <t xml:space="preserve">ФАКТ</t>
  </si>
  <si>
    <t xml:space="preserve">Через ~3 месяца будет 30 — обнови при необходимости.</t>
  </si>
  <si>
    <t xml:space="preserve">Рост, см</t>
  </si>
  <si>
    <t xml:space="preserve">Вес на 29.09.2026. Старый InBody (30.09.2024) в расчётах НЕ используется.</t>
  </si>
  <si>
    <t xml:space="preserve">Дата старта программы</t>
  </si>
  <si>
    <t xml:space="preserve">ОЦЕНКА</t>
  </si>
  <si>
    <t xml:space="preserve">Предположение: старт сегодня. От этой даты строятся календарь питания, номер недели и графики.</t>
  </si>
  <si>
    <t xml:space="preserve">Ориентир по весу, кг</t>
  </si>
  <si>
    <t xml:space="preserve">Верх привычного диапазона 74,5–77 кг. Используется только для оценки «сколько недель до ориентира». Это не обязательная цель.</t>
  </si>
  <si>
    <t xml:space="preserve">2. Расчёт энергии</t>
  </si>
  <si>
    <t xml:space="preserve">Коэффициент активности</t>
  </si>
  <si>
    <t xml:space="preserve">Сидячая работа 5/2 + 3 силовые тренировки в неделю. Реальный TDEE проверяется динамикой веса — см. блок 5.</t>
  </si>
  <si>
    <t xml:space="preserve">BMR (Mifflin–St Jeor), ккал</t>
  </si>
  <si>
    <t xml:space="preserve">РАСЧЁТ</t>
  </si>
  <si>
    <t xml:space="preserve">10×вес + 6,25×рост − 5×возраст + 5 (формула для мужчин). Оценка для среднего человека, не измерение.</t>
  </si>
  <si>
    <t xml:space="preserve">TDEE (поддержание), ккал</t>
  </si>
  <si>
    <t xml:space="preserve">BMR × коэффициент активности.</t>
  </si>
  <si>
    <t xml:space="preserve">Плановый дефицит, ккал/сут</t>
  </si>
  <si>
    <t xml:space="preserve">≈14% от TDEE: умеренный дефицит, чтобы сохранять силу и мышцы.</t>
  </si>
  <si>
    <t xml:space="preserve">Стартовые ккал (расчёт)</t>
  </si>
  <si>
    <t xml:space="preserve">TDEE − дефицит, округлено до 50. Рабочее значение вводится ниже.</t>
  </si>
  <si>
    <t xml:space="preserve">3. Рабочие целевые значения (их читают все листы)</t>
  </si>
  <si>
    <t xml:space="preserve">Целевые калории, ккал</t>
  </si>
  <si>
    <t xml:space="preserve">Стартовое значение = расчёт из B16. Меняй по правилам корректировки (блок 5). Углеводы пересчитаются автоматически.</t>
  </si>
  <si>
    <t xml:space="preserve">≈2,0 г на кг стартового веса. Включает белок протеина.</t>
  </si>
  <si>
    <t xml:space="preserve">≈0,85 г на кг; ≈29% калорий. Нижний предел, ниже которого не опускаться.</t>
  </si>
  <si>
    <t xml:space="preserve">Остаток калорий после белка и жиров (4/9/4 ккал на грамм).</t>
  </si>
  <si>
    <t xml:space="preserve">≈14 г на 1000 ккал.</t>
  </si>
  <si>
    <t xml:space="preserve">≈35 мл на кг; в жару и в дни тренировок можно больше.</t>
  </si>
  <si>
    <t xml:space="preserve">Порций сывороточного протеина в день</t>
  </si>
  <si>
    <t xml:space="preserve">Протеин входит в общий КБЖУ (не сверху). Вторая порция — только если еда не добирает белок.</t>
  </si>
  <si>
    <t xml:space="preserve">Белок в одной порции протеина, г</t>
  </si>
  <si>
    <t xml:space="preserve">Типичная порция 30 г. Сверь с этикеткой своего протеина и поправь.</t>
  </si>
  <si>
    <t xml:space="preserve">4. RIR и прогрессия</t>
  </si>
  <si>
    <t xml:space="preserve">Адаптационные недели</t>
  </si>
  <si>
    <t xml:space="preserve">В эти недели целевой RIR 2–3 везде; затем для тренажёров и изоляции — RIR 1–2 (см. столбцы J–K на листе «Программа тренировок»).</t>
  </si>
  <si>
    <t xml:space="preserve">Неделя программы (сейчас)</t>
  </si>
  <si>
    <t xml:space="preserve">Считается от даты старта.</t>
  </si>
  <si>
    <t xml:space="preserve">Текущая фаза</t>
  </si>
  <si>
    <t xml:space="preserve">5. Правила корректировки калорий (решение на листе «Прогресс», проверка раз в 2 недели)</t>
  </si>
  <si>
    <t xml:space="preserve">Окно сравнения, дней</t>
  </si>
  <si>
    <t xml:space="preserve">Сравниваем среднее за 7 дней сейчас со средним за 7 дней 14 дней назад. Не реагируем на отдельные взвешивания.</t>
  </si>
  <si>
    <t xml:space="preserve">Мин. взвешиваний в каждом 7-дневном окне</t>
  </si>
  <si>
    <t xml:space="preserve">Меньше — решение не выдаётся, данных недостаточно.</t>
  </si>
  <si>
    <t xml:space="preserve">Допуск соблюдения по ккал, ±</t>
  </si>
  <si>
    <t xml:space="preserve">День «в допуске», если ккал в пределах цели ±7%.</t>
  </si>
  <si>
    <t xml:space="preserve">Мин. доля дней в допуске (14 дн)</t>
  </si>
  <si>
    <t xml:space="preserve">Если ниже — сначала исправляем соблюдение, а не калории.</t>
  </si>
  <si>
    <t xml:space="preserve">Порог «вес стоит/растёт», %/нед</t>
  </si>
  <si>
    <t xml:space="preserve">Темп ≥ −0,1%/нед → уменьшить калории.</t>
  </si>
  <si>
    <t xml:space="preserve">Нижняя граница целевого темпа, %/нед</t>
  </si>
  <si>
    <t xml:space="preserve">Между −0,1% и −0,3% — медленно, но идёт: оставить и перепроверить. От −0,3% до −0,8% — целевой коридор.</t>
  </si>
  <si>
    <t xml:space="preserve">Порог «слишком быстро», %/нед</t>
  </si>
  <si>
    <t xml:space="preserve">Темп быстрее −0,8%/нед → добавить калории.</t>
  </si>
  <si>
    <t xml:space="preserve">Шаг уменьшения калорий, ккал</t>
  </si>
  <si>
    <t xml:space="preserve">За счёт углеводов.</t>
  </si>
  <si>
    <t xml:space="preserve">Шаг увеличения калорий, ккал</t>
  </si>
  <si>
    <t xml:space="preserve">6. Основные упражнения (для графика и таблицы на листе «Прогресс»)</t>
  </si>
  <si>
    <t xml:space="preserve">Упражнение 1</t>
  </si>
  <si>
    <t xml:space="preserve">ВЫБОР</t>
  </si>
  <si>
    <t xml:space="preserve">Выбери из списка упражнений программы.</t>
  </si>
  <si>
    <t xml:space="preserve">Упражнение 2</t>
  </si>
  <si>
    <t xml:space="preserve">Упражнение 3</t>
  </si>
  <si>
    <t xml:space="preserve">Упражнение 4</t>
  </si>
  <si>
    <t xml:space="preserve">Упражнение 5</t>
  </si>
  <si>
    <t xml:space="preserve">Продукты (справочник для примера меню)</t>
  </si>
  <si>
    <t xml:space="preserve">Значения на 100 г, типовые справочные (приблизительно). Калории = 4×Б + 9×Ж + 4×У, может отличаться от упаковки на ±5%. Добавляй свои продукты в конец списка (до строки 60) — они появятся в выпадающем списке меню.</t>
  </si>
  <si>
    <t xml:space="preserve">Ккал/100 г</t>
  </si>
  <si>
    <t xml:space="preserve">Макароны цельнозерновые (сухие)</t>
  </si>
  <si>
    <t xml:space="preserve">Картофель (сырой)</t>
  </si>
  <si>
    <t xml:space="preserve">Хлеб цельнозерновой</t>
  </si>
  <si>
    <t xml:space="preserve">Чечевица (сухая)</t>
  </si>
  <si>
    <t xml:space="preserve">Индейка, филе (сырое)</t>
  </si>
  <si>
    <t xml:space="preserve">Говядина постная (сырая)</t>
  </si>
  <si>
    <t xml:space="preserve">Треска (сырая)</t>
  </si>
  <si>
    <t xml:space="preserve">Творог 0–1%</t>
  </si>
  <si>
    <t xml:space="preserve">Кефир 1%</t>
  </si>
  <si>
    <t xml:space="preserve">Яблоко</t>
  </si>
  <si>
    <t xml:space="preserve">Арахисовая паста</t>
  </si>
  <si>
    <t xml:space="preserve">Сывороточный протеин: порция 30 г ≈ 24 г белка (оценка). Сверь с этикеткой и поправь строку.</t>
  </si>
  <si>
    <t xml:space="preserve">Расчёты (служебные данные для графиков)</t>
  </si>
  <si>
    <t xml:space="preserve">Служебный лист: формулы, ничего вводить не нужно. Значения #N/A в блоках графиков — намеренные: так график пропускает дни и недели без данных, а не рисует нули.</t>
  </si>
  <si>
    <t xml:space="preserve">Последняя дата с весом</t>
  </si>
  <si>
    <t xml:space="preserve">Последняя дата с калориями</t>
  </si>
  <si>
    <t xml:space="preserve">Последняя дата тренировки</t>
  </si>
  <si>
    <t xml:space="preserve">Начало окна графиков питания (90 дн)</t>
  </si>
  <si>
    <t xml:space="preserve">Начало окна графика силы (20 нед)</t>
  </si>
  <si>
    <t xml:space="preserve">Ср. вес 7 дн</t>
  </si>
  <si>
    <t xml:space="preserve">Цель ккал</t>
  </si>
  <si>
    <t xml:space="preserve">Белок</t>
  </si>
  <si>
    <t xml:space="preserve">Ср. белок 7 дн</t>
  </si>
  <si>
    <t xml:space="preserve">Цель белка</t>
  </si>
  <si>
    <t xml:space="preserve">№ строки</t>
  </si>
  <si>
    <t xml:space="preserve">Начало недели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</si>
</sst>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dd\.mm\.yyyy"/>
    <numFmt numFmtId="166" formatCode="0"/>
    <numFmt numFmtId="167" formatCode="0.0"/>
    <numFmt numFmtId="168" formatCode="\+0;\-0;0"/>
    <numFmt numFmtId="169" formatCode="\+0.0;\-0.0;0.0"/>
    <numFmt numFmtId="170" formatCode="\+0%;\-0%;0%"/>
    <numFmt numFmtId="171" formatCode="0.00"/>
    <numFmt numFmtId="172" formatCode="\+0.00;\-0.00;0.00"/>
    <numFmt numFmtId="173" formatCode="\+0.00%;\-0.00%;0.00%"/>
    <numFmt numFmtId="174" formatCode="0.000"/>
    <numFmt numFmtId="175" formatCode="0%"/>
    <numFmt numFmtId="176" formatCode="0.0%"/>
    <numFmt numFmtId="177" formatCode="dd\.mm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EAF6EA"/>
      </patternFill>
    </fill>
    <fill>
      <patternFill patternType="solid">
        <fgColor rgb="FF1F3A5F"/>
        <bgColor rgb="FF333399"/>
      </patternFill>
    </fill>
    <fill>
      <patternFill patternType="solid">
        <fgColor rgb="FFDCE6F1"/>
        <bgColor rgb="FFE8F1FB"/>
      </patternFill>
    </fill>
    <fill>
      <patternFill patternType="solid">
        <fgColor rgb="FFFFF9D6"/>
        <bgColor rgb="FFFBEFE3"/>
      </patternFill>
    </fill>
    <fill>
      <patternFill patternType="solid">
        <fgColor rgb="FFE8F1FB"/>
        <bgColor rgb="FFF2F2F2"/>
      </patternFill>
    </fill>
    <fill>
      <patternFill patternType="solid">
        <fgColor rgb="FFEAF6EA"/>
        <bgColor rgb="FFF2F2F2"/>
      </patternFill>
    </fill>
    <fill>
      <patternFill patternType="solid">
        <fgColor rgb="FFFBEFE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0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0" fillId="5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0" fillId="5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5" fontId="10" fillId="5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10" fillId="5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E8F1FB"/>
          <bgColor rgb="FF000000"/>
        </patternFill>
      </fill>
    </dxf>
    <dxf>
      <fill>
        <patternFill patternType="solid">
          <fgColor rgb="FFEAF6EA"/>
          <bgColor rgb="FF000000"/>
        </patternFill>
      </fill>
    </dxf>
    <dxf>
      <fill>
        <patternFill patternType="solid">
          <fgColor rgb="FFFBEFE3"/>
          <bgColor rgb="FF000000"/>
        </patternFill>
      </fill>
    </dxf>
    <dxf>
      <font>
        <name val="Arial"/>
        <charset val="1"/>
        <family val="0"/>
        <color rgb="FFD9D9D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57575"/>
      <rgbColor rgb="FF800080"/>
      <rgbColor rgb="FF008080"/>
      <rgbColor rgb="FFBFBFBF"/>
      <rgbColor rgb="FF7F7F7F"/>
      <rgbColor rgb="FF9999FF"/>
      <rgbColor rgb="FFBE4B48"/>
      <rgbColor rgb="FFFFF9D6"/>
      <rgbColor rgb="FFE8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6EA"/>
      <rgbColor rgb="FFC6EFCE"/>
      <rgbColor rgb="FFFFEB9C"/>
      <rgbColor rgb="FFDCE6F1"/>
      <rgbColor rgb="FFFBEFE3"/>
      <rgbColor rgb="FFF2F2F2"/>
      <rgbColor rgb="FFFFC7CE"/>
      <rgbColor rgb="FF4A7EBB"/>
      <rgbColor rgb="FF46AAC4"/>
      <rgbColor rgb="FF98B855"/>
      <rgbColor rgb="FFFFCC00"/>
      <rgbColor rgb="FFFF9900"/>
      <rgbColor rgb="FFFF6600"/>
      <rgbColor rgb="FF7D5FA0"/>
      <rgbColor rgb="FF878787"/>
      <rgbColor rgb="FF1F3A5F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Вес и средний вес за 7 дней (окно 90 дн)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Расчёты!B10</c:f>
              <c:strCache>
                <c:ptCount val="1"/>
                <c:pt idx="0">
                  <c:v>Вес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Расчёты!$A$11:$A$100</c:f>
              <c:strCache>
                <c:ptCount val="90"/>
                <c:pt idx="0">
                  <c:v>29.09</c:v>
                </c:pt>
                <c:pt idx="1">
                  <c:v>30.09</c:v>
                </c:pt>
                <c:pt idx="2">
                  <c:v>01.10</c:v>
                </c:pt>
                <c:pt idx="3">
                  <c:v>02.10</c:v>
                </c:pt>
                <c:pt idx="4">
                  <c:v>03.10</c:v>
                </c:pt>
                <c:pt idx="5">
                  <c:v>04.10</c:v>
                </c:pt>
                <c:pt idx="6">
                  <c:v>05.10</c:v>
                </c:pt>
                <c:pt idx="7">
                  <c:v>06.10</c:v>
                </c:pt>
                <c:pt idx="8">
                  <c:v>07.10</c:v>
                </c:pt>
                <c:pt idx="9">
                  <c:v>08.10</c:v>
                </c:pt>
                <c:pt idx="10">
                  <c:v>09.10</c:v>
                </c:pt>
                <c:pt idx="11">
                  <c:v>10.10</c:v>
                </c:pt>
                <c:pt idx="12">
                  <c:v>11.10</c:v>
                </c:pt>
                <c:pt idx="13">
                  <c:v>12.10</c:v>
                </c:pt>
                <c:pt idx="14">
                  <c:v>13.10</c:v>
                </c:pt>
                <c:pt idx="15">
                  <c:v>14.10</c:v>
                </c:pt>
                <c:pt idx="16">
                  <c:v>15.10</c:v>
                </c:pt>
                <c:pt idx="17">
                  <c:v>16.10</c:v>
                </c:pt>
                <c:pt idx="18">
                  <c:v>17.10</c:v>
                </c:pt>
                <c:pt idx="19">
                  <c:v>18.10</c:v>
                </c:pt>
                <c:pt idx="20">
                  <c:v>19.10</c:v>
                </c:pt>
                <c:pt idx="21">
                  <c:v>20.10</c:v>
                </c:pt>
                <c:pt idx="22">
                  <c:v>21.10</c:v>
                </c:pt>
                <c:pt idx="23">
                  <c:v>22.10</c:v>
                </c:pt>
                <c:pt idx="24">
                  <c:v>23.10</c:v>
                </c:pt>
                <c:pt idx="25">
                  <c:v>24.10</c:v>
                </c:pt>
                <c:pt idx="26">
                  <c:v>25.10</c:v>
                </c:pt>
                <c:pt idx="27">
                  <c:v>26.10</c:v>
                </c:pt>
                <c:pt idx="28">
                  <c:v>27.10</c:v>
                </c:pt>
                <c:pt idx="29">
                  <c:v>28.10</c:v>
                </c:pt>
                <c:pt idx="30">
                  <c:v>29.10</c:v>
                </c:pt>
                <c:pt idx="31">
                  <c:v>30.10</c:v>
                </c:pt>
                <c:pt idx="32">
                  <c:v>31.10</c:v>
                </c:pt>
                <c:pt idx="33">
                  <c:v>01.11</c:v>
                </c:pt>
                <c:pt idx="34">
                  <c:v>02.11</c:v>
                </c:pt>
                <c:pt idx="35">
                  <c:v>03.11</c:v>
                </c:pt>
                <c:pt idx="36">
                  <c:v>04.11</c:v>
                </c:pt>
                <c:pt idx="37">
                  <c:v>05.11</c:v>
                </c:pt>
                <c:pt idx="38">
                  <c:v>06.11</c:v>
                </c:pt>
                <c:pt idx="39">
                  <c:v>07.11</c:v>
                </c:pt>
                <c:pt idx="40">
                  <c:v>08.11</c:v>
                </c:pt>
                <c:pt idx="41">
                  <c:v>09.11</c:v>
                </c:pt>
                <c:pt idx="42">
                  <c:v>10.11</c:v>
                </c:pt>
                <c:pt idx="43">
                  <c:v>11.11</c:v>
                </c:pt>
                <c:pt idx="44">
                  <c:v>12.11</c:v>
                </c:pt>
                <c:pt idx="45">
                  <c:v>13.11</c:v>
                </c:pt>
                <c:pt idx="46">
                  <c:v>14.11</c:v>
                </c:pt>
                <c:pt idx="47">
                  <c:v>15.11</c:v>
                </c:pt>
                <c:pt idx="48">
                  <c:v>16.11</c:v>
                </c:pt>
                <c:pt idx="49">
                  <c:v>17.11</c:v>
                </c:pt>
                <c:pt idx="50">
                  <c:v>18.11</c:v>
                </c:pt>
                <c:pt idx="51">
                  <c:v>19.11</c:v>
                </c:pt>
                <c:pt idx="52">
                  <c:v>20.11</c:v>
                </c:pt>
                <c:pt idx="53">
                  <c:v>21.11</c:v>
                </c:pt>
                <c:pt idx="54">
                  <c:v>22.11</c:v>
                </c:pt>
                <c:pt idx="55">
                  <c:v>23.11</c:v>
                </c:pt>
                <c:pt idx="56">
                  <c:v>24.11</c:v>
                </c:pt>
                <c:pt idx="57">
                  <c:v>25.11</c:v>
                </c:pt>
                <c:pt idx="58">
                  <c:v>26.11</c:v>
                </c:pt>
                <c:pt idx="59">
                  <c:v>27.11</c:v>
                </c:pt>
                <c:pt idx="60">
                  <c:v>28.11</c:v>
                </c:pt>
                <c:pt idx="61">
                  <c:v>29.11</c:v>
                </c:pt>
                <c:pt idx="62">
                  <c:v>30.11</c:v>
                </c:pt>
                <c:pt idx="63">
                  <c:v>01.12</c:v>
                </c:pt>
                <c:pt idx="64">
                  <c:v>02.12</c:v>
                </c:pt>
                <c:pt idx="65">
                  <c:v>03.12</c:v>
                </c:pt>
                <c:pt idx="66">
                  <c:v>04.12</c:v>
                </c:pt>
                <c:pt idx="67">
                  <c:v>05.12</c:v>
                </c:pt>
                <c:pt idx="68">
                  <c:v>06.12</c:v>
                </c:pt>
                <c:pt idx="69">
                  <c:v>07.12</c:v>
                </c:pt>
                <c:pt idx="70">
                  <c:v>08.12</c:v>
                </c:pt>
                <c:pt idx="71">
                  <c:v>09.12</c:v>
                </c:pt>
                <c:pt idx="72">
                  <c:v>10.12</c:v>
                </c:pt>
                <c:pt idx="73">
                  <c:v>11.12</c:v>
                </c:pt>
                <c:pt idx="74">
                  <c:v>12.12</c:v>
                </c:pt>
                <c:pt idx="75">
                  <c:v>13.12</c:v>
                </c:pt>
                <c:pt idx="76">
                  <c:v>14.12</c:v>
                </c:pt>
                <c:pt idx="77">
                  <c:v>15.12</c:v>
                </c:pt>
                <c:pt idx="78">
                  <c:v>16.12</c:v>
                </c:pt>
                <c:pt idx="79">
                  <c:v>17.12</c:v>
                </c:pt>
                <c:pt idx="80">
                  <c:v>18.12</c:v>
                </c:pt>
                <c:pt idx="81">
                  <c:v>19.12</c:v>
                </c:pt>
                <c:pt idx="82">
                  <c:v>20.12</c:v>
                </c:pt>
                <c:pt idx="83">
                  <c:v>21.12</c:v>
                </c:pt>
                <c:pt idx="84">
                  <c:v>22.12</c:v>
                </c:pt>
                <c:pt idx="85">
                  <c:v>23.12</c:v>
                </c:pt>
                <c:pt idx="86">
                  <c:v>24.12</c:v>
                </c:pt>
                <c:pt idx="87">
                  <c:v>25.12</c:v>
                </c:pt>
                <c:pt idx="88">
                  <c:v>26.12</c:v>
                </c:pt>
                <c:pt idx="89">
                  <c:v>27.12</c:v>
                </c:pt>
              </c:strCache>
            </c:strRef>
          </c:cat>
          <c:val>
            <c:numRef>
              <c:f>Расчёты!$B$11:$B$100</c:f>
              <c:numCache>
                <c:formatCode>0.0</c:formatCode>
                <c:ptCount val="90"/>
                <c:pt idx="0">
                  <c:v>82.5</c:v>
                </c:pt>
                <c:pt idx="1">
                  <c:v>82.3</c:v>
                </c:pt>
                <c:pt idx="2">
                  <c:v>82.6</c:v>
                </c:pt>
                <c:pt idx="3">
                  <c:v>82.2</c:v>
                </c:pt>
                <c:pt idx="4">
                  <c:v>82.1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Расчёты!C10</c:f>
              <c:strCache>
                <c:ptCount val="1"/>
                <c:pt idx="0">
                  <c:v>Ср. вес 7 дн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Расчёты!$A$11:$A$100</c:f>
              <c:strCache>
                <c:ptCount val="90"/>
                <c:pt idx="0">
                  <c:v>29.09</c:v>
                </c:pt>
                <c:pt idx="1">
                  <c:v>30.09</c:v>
                </c:pt>
                <c:pt idx="2">
                  <c:v>01.10</c:v>
                </c:pt>
                <c:pt idx="3">
                  <c:v>02.10</c:v>
                </c:pt>
                <c:pt idx="4">
                  <c:v>03.10</c:v>
                </c:pt>
                <c:pt idx="5">
                  <c:v>04.10</c:v>
                </c:pt>
                <c:pt idx="6">
                  <c:v>05.10</c:v>
                </c:pt>
                <c:pt idx="7">
                  <c:v>06.10</c:v>
                </c:pt>
                <c:pt idx="8">
                  <c:v>07.10</c:v>
                </c:pt>
                <c:pt idx="9">
                  <c:v>08.10</c:v>
                </c:pt>
                <c:pt idx="10">
                  <c:v>09.10</c:v>
                </c:pt>
                <c:pt idx="11">
                  <c:v>10.10</c:v>
                </c:pt>
                <c:pt idx="12">
                  <c:v>11.10</c:v>
                </c:pt>
                <c:pt idx="13">
                  <c:v>12.10</c:v>
                </c:pt>
                <c:pt idx="14">
                  <c:v>13.10</c:v>
                </c:pt>
                <c:pt idx="15">
                  <c:v>14.10</c:v>
                </c:pt>
                <c:pt idx="16">
                  <c:v>15.10</c:v>
                </c:pt>
                <c:pt idx="17">
                  <c:v>16.10</c:v>
                </c:pt>
                <c:pt idx="18">
                  <c:v>17.10</c:v>
                </c:pt>
                <c:pt idx="19">
                  <c:v>18.10</c:v>
                </c:pt>
                <c:pt idx="20">
                  <c:v>19.10</c:v>
                </c:pt>
                <c:pt idx="21">
                  <c:v>20.10</c:v>
                </c:pt>
                <c:pt idx="22">
                  <c:v>21.10</c:v>
                </c:pt>
                <c:pt idx="23">
                  <c:v>22.10</c:v>
                </c:pt>
                <c:pt idx="24">
                  <c:v>23.10</c:v>
                </c:pt>
                <c:pt idx="25">
                  <c:v>24.10</c:v>
                </c:pt>
                <c:pt idx="26">
                  <c:v>25.10</c:v>
                </c:pt>
                <c:pt idx="27">
                  <c:v>26.10</c:v>
                </c:pt>
                <c:pt idx="28">
                  <c:v>27.10</c:v>
                </c:pt>
                <c:pt idx="29">
                  <c:v>28.10</c:v>
                </c:pt>
                <c:pt idx="30">
                  <c:v>29.10</c:v>
                </c:pt>
                <c:pt idx="31">
                  <c:v>30.10</c:v>
                </c:pt>
                <c:pt idx="32">
                  <c:v>31.10</c:v>
                </c:pt>
                <c:pt idx="33">
                  <c:v>01.11</c:v>
                </c:pt>
                <c:pt idx="34">
                  <c:v>02.11</c:v>
                </c:pt>
                <c:pt idx="35">
                  <c:v>03.11</c:v>
                </c:pt>
                <c:pt idx="36">
                  <c:v>04.11</c:v>
                </c:pt>
                <c:pt idx="37">
                  <c:v>05.11</c:v>
                </c:pt>
                <c:pt idx="38">
                  <c:v>06.11</c:v>
                </c:pt>
                <c:pt idx="39">
                  <c:v>07.11</c:v>
                </c:pt>
                <c:pt idx="40">
                  <c:v>08.11</c:v>
                </c:pt>
                <c:pt idx="41">
                  <c:v>09.11</c:v>
                </c:pt>
                <c:pt idx="42">
                  <c:v>10.11</c:v>
                </c:pt>
                <c:pt idx="43">
                  <c:v>11.11</c:v>
                </c:pt>
                <c:pt idx="44">
                  <c:v>12.11</c:v>
                </c:pt>
                <c:pt idx="45">
                  <c:v>13.11</c:v>
                </c:pt>
                <c:pt idx="46">
                  <c:v>14.11</c:v>
                </c:pt>
                <c:pt idx="47">
                  <c:v>15.11</c:v>
                </c:pt>
                <c:pt idx="48">
                  <c:v>16.11</c:v>
                </c:pt>
                <c:pt idx="49">
                  <c:v>17.11</c:v>
                </c:pt>
                <c:pt idx="50">
                  <c:v>18.11</c:v>
                </c:pt>
                <c:pt idx="51">
                  <c:v>19.11</c:v>
                </c:pt>
                <c:pt idx="52">
                  <c:v>20.11</c:v>
                </c:pt>
                <c:pt idx="53">
                  <c:v>21.11</c:v>
                </c:pt>
                <c:pt idx="54">
                  <c:v>22.11</c:v>
                </c:pt>
                <c:pt idx="55">
                  <c:v>23.11</c:v>
                </c:pt>
                <c:pt idx="56">
                  <c:v>24.11</c:v>
                </c:pt>
                <c:pt idx="57">
                  <c:v>25.11</c:v>
                </c:pt>
                <c:pt idx="58">
                  <c:v>26.11</c:v>
                </c:pt>
                <c:pt idx="59">
                  <c:v>27.11</c:v>
                </c:pt>
                <c:pt idx="60">
                  <c:v>28.11</c:v>
                </c:pt>
                <c:pt idx="61">
                  <c:v>29.11</c:v>
                </c:pt>
                <c:pt idx="62">
                  <c:v>30.11</c:v>
                </c:pt>
                <c:pt idx="63">
                  <c:v>01.12</c:v>
                </c:pt>
                <c:pt idx="64">
                  <c:v>02.12</c:v>
                </c:pt>
                <c:pt idx="65">
                  <c:v>03.12</c:v>
                </c:pt>
                <c:pt idx="66">
                  <c:v>04.12</c:v>
                </c:pt>
                <c:pt idx="67">
                  <c:v>05.12</c:v>
                </c:pt>
                <c:pt idx="68">
                  <c:v>06.12</c:v>
                </c:pt>
                <c:pt idx="69">
                  <c:v>07.12</c:v>
                </c:pt>
                <c:pt idx="70">
                  <c:v>08.12</c:v>
                </c:pt>
                <c:pt idx="71">
                  <c:v>09.12</c:v>
                </c:pt>
                <c:pt idx="72">
                  <c:v>10.12</c:v>
                </c:pt>
                <c:pt idx="73">
                  <c:v>11.12</c:v>
                </c:pt>
                <c:pt idx="74">
                  <c:v>12.12</c:v>
                </c:pt>
                <c:pt idx="75">
                  <c:v>13.12</c:v>
                </c:pt>
                <c:pt idx="76">
                  <c:v>14.12</c:v>
                </c:pt>
                <c:pt idx="77">
                  <c:v>15.12</c:v>
                </c:pt>
                <c:pt idx="78">
                  <c:v>16.12</c:v>
                </c:pt>
                <c:pt idx="79">
                  <c:v>17.12</c:v>
                </c:pt>
                <c:pt idx="80">
                  <c:v>18.12</c:v>
                </c:pt>
                <c:pt idx="81">
                  <c:v>19.12</c:v>
                </c:pt>
                <c:pt idx="82">
                  <c:v>20.12</c:v>
                </c:pt>
                <c:pt idx="83">
                  <c:v>21.12</c:v>
                </c:pt>
                <c:pt idx="84">
                  <c:v>22.12</c:v>
                </c:pt>
                <c:pt idx="85">
                  <c:v>23.12</c:v>
                </c:pt>
                <c:pt idx="86">
                  <c:v>24.12</c:v>
                </c:pt>
                <c:pt idx="87">
                  <c:v>25.12</c:v>
                </c:pt>
                <c:pt idx="88">
                  <c:v>26.12</c:v>
                </c:pt>
                <c:pt idx="89">
                  <c:v>27.12</c:v>
                </c:pt>
              </c:strCache>
            </c:strRef>
          </c:cat>
          <c:val>
            <c:numRef>
              <c:f>Расчёты!$C$11:$C$100</c:f>
              <c:numCache>
                <c:formatCode>0.0</c:formatCode>
                <c:ptCount val="90"/>
                <c:pt idx="0">
                  <c:v>82.5</c:v>
                </c:pt>
                <c:pt idx="1">
                  <c:v>82.4</c:v>
                </c:pt>
                <c:pt idx="2">
                  <c:v>82.4666666666667</c:v>
                </c:pt>
                <c:pt idx="3">
                  <c:v>82.4</c:v>
                </c:pt>
                <c:pt idx="4">
                  <c:v>82.34</c:v>
                </c:pt>
                <c:pt idx="5">
                  <c:v>82.34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170178"/>
        <c:axId val="76715302"/>
      </c:lineChart>
      <c:catAx>
        <c:axId val="17170178"/>
        <c:scaling>
          <c:orientation val="minMax"/>
        </c:scaling>
        <c:delete val="0"/>
        <c:axPos val="b"/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15302"/>
        <c:crosses val="autoZero"/>
        <c:auto val="1"/>
        <c:lblAlgn val="ctr"/>
        <c:lblOffset val="100"/>
        <c:noMultiLvlLbl val="0"/>
      </c:catAx>
      <c:valAx>
        <c:axId val="767153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кг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701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Калории: факт, среднее за 7 дней, цель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Расчёты!D10</c:f>
              <c:strCache>
                <c:ptCount val="1"/>
                <c:pt idx="0">
                  <c:v>Ккал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Расчёты!$A$11:$A$100</c:f>
              <c:strCache>
                <c:ptCount val="90"/>
                <c:pt idx="0">
                  <c:v>29.09</c:v>
                </c:pt>
                <c:pt idx="1">
                  <c:v>30.09</c:v>
                </c:pt>
                <c:pt idx="2">
                  <c:v>01.10</c:v>
                </c:pt>
                <c:pt idx="3">
                  <c:v>02.10</c:v>
                </c:pt>
                <c:pt idx="4">
                  <c:v>03.10</c:v>
                </c:pt>
                <c:pt idx="5">
                  <c:v>04.10</c:v>
                </c:pt>
                <c:pt idx="6">
                  <c:v>05.10</c:v>
                </c:pt>
                <c:pt idx="7">
                  <c:v>06.10</c:v>
                </c:pt>
                <c:pt idx="8">
                  <c:v>07.10</c:v>
                </c:pt>
                <c:pt idx="9">
                  <c:v>08.10</c:v>
                </c:pt>
                <c:pt idx="10">
                  <c:v>09.10</c:v>
                </c:pt>
                <c:pt idx="11">
                  <c:v>10.10</c:v>
                </c:pt>
                <c:pt idx="12">
                  <c:v>11.10</c:v>
                </c:pt>
                <c:pt idx="13">
                  <c:v>12.10</c:v>
                </c:pt>
                <c:pt idx="14">
                  <c:v>13.10</c:v>
                </c:pt>
                <c:pt idx="15">
                  <c:v>14.10</c:v>
                </c:pt>
                <c:pt idx="16">
                  <c:v>15.10</c:v>
                </c:pt>
                <c:pt idx="17">
                  <c:v>16.10</c:v>
                </c:pt>
                <c:pt idx="18">
                  <c:v>17.10</c:v>
                </c:pt>
                <c:pt idx="19">
                  <c:v>18.10</c:v>
                </c:pt>
                <c:pt idx="20">
                  <c:v>19.10</c:v>
                </c:pt>
                <c:pt idx="21">
                  <c:v>20.10</c:v>
                </c:pt>
                <c:pt idx="22">
                  <c:v>21.10</c:v>
                </c:pt>
                <c:pt idx="23">
                  <c:v>22.10</c:v>
                </c:pt>
                <c:pt idx="24">
                  <c:v>23.10</c:v>
                </c:pt>
                <c:pt idx="25">
                  <c:v>24.10</c:v>
                </c:pt>
                <c:pt idx="26">
                  <c:v>25.10</c:v>
                </c:pt>
                <c:pt idx="27">
                  <c:v>26.10</c:v>
                </c:pt>
                <c:pt idx="28">
                  <c:v>27.10</c:v>
                </c:pt>
                <c:pt idx="29">
                  <c:v>28.10</c:v>
                </c:pt>
                <c:pt idx="30">
                  <c:v>29.10</c:v>
                </c:pt>
                <c:pt idx="31">
                  <c:v>30.10</c:v>
                </c:pt>
                <c:pt idx="32">
                  <c:v>31.10</c:v>
                </c:pt>
                <c:pt idx="33">
                  <c:v>01.11</c:v>
                </c:pt>
                <c:pt idx="34">
                  <c:v>02.11</c:v>
                </c:pt>
                <c:pt idx="35">
                  <c:v>03.11</c:v>
                </c:pt>
                <c:pt idx="36">
                  <c:v>04.11</c:v>
                </c:pt>
                <c:pt idx="37">
                  <c:v>05.11</c:v>
                </c:pt>
                <c:pt idx="38">
                  <c:v>06.11</c:v>
                </c:pt>
                <c:pt idx="39">
                  <c:v>07.11</c:v>
                </c:pt>
                <c:pt idx="40">
                  <c:v>08.11</c:v>
                </c:pt>
                <c:pt idx="41">
                  <c:v>09.11</c:v>
                </c:pt>
                <c:pt idx="42">
                  <c:v>10.11</c:v>
                </c:pt>
                <c:pt idx="43">
                  <c:v>11.11</c:v>
                </c:pt>
                <c:pt idx="44">
                  <c:v>12.11</c:v>
                </c:pt>
                <c:pt idx="45">
                  <c:v>13.11</c:v>
                </c:pt>
                <c:pt idx="46">
                  <c:v>14.11</c:v>
                </c:pt>
                <c:pt idx="47">
                  <c:v>15.11</c:v>
                </c:pt>
                <c:pt idx="48">
                  <c:v>16.11</c:v>
                </c:pt>
                <c:pt idx="49">
                  <c:v>17.11</c:v>
                </c:pt>
                <c:pt idx="50">
                  <c:v>18.11</c:v>
                </c:pt>
                <c:pt idx="51">
                  <c:v>19.11</c:v>
                </c:pt>
                <c:pt idx="52">
                  <c:v>20.11</c:v>
                </c:pt>
                <c:pt idx="53">
                  <c:v>21.11</c:v>
                </c:pt>
                <c:pt idx="54">
                  <c:v>22.11</c:v>
                </c:pt>
                <c:pt idx="55">
                  <c:v>23.11</c:v>
                </c:pt>
                <c:pt idx="56">
                  <c:v>24.11</c:v>
                </c:pt>
                <c:pt idx="57">
                  <c:v>25.11</c:v>
                </c:pt>
                <c:pt idx="58">
                  <c:v>26.11</c:v>
                </c:pt>
                <c:pt idx="59">
                  <c:v>27.11</c:v>
                </c:pt>
                <c:pt idx="60">
                  <c:v>28.11</c:v>
                </c:pt>
                <c:pt idx="61">
                  <c:v>29.11</c:v>
                </c:pt>
                <c:pt idx="62">
                  <c:v>30.11</c:v>
                </c:pt>
                <c:pt idx="63">
                  <c:v>01.12</c:v>
                </c:pt>
                <c:pt idx="64">
                  <c:v>02.12</c:v>
                </c:pt>
                <c:pt idx="65">
                  <c:v>03.12</c:v>
                </c:pt>
                <c:pt idx="66">
                  <c:v>04.12</c:v>
                </c:pt>
                <c:pt idx="67">
                  <c:v>05.12</c:v>
                </c:pt>
                <c:pt idx="68">
                  <c:v>06.12</c:v>
                </c:pt>
                <c:pt idx="69">
                  <c:v>07.12</c:v>
                </c:pt>
                <c:pt idx="70">
                  <c:v>08.12</c:v>
                </c:pt>
                <c:pt idx="71">
                  <c:v>09.12</c:v>
                </c:pt>
                <c:pt idx="72">
                  <c:v>10.12</c:v>
                </c:pt>
                <c:pt idx="73">
                  <c:v>11.12</c:v>
                </c:pt>
                <c:pt idx="74">
                  <c:v>12.12</c:v>
                </c:pt>
                <c:pt idx="75">
                  <c:v>13.12</c:v>
                </c:pt>
                <c:pt idx="76">
                  <c:v>14.12</c:v>
                </c:pt>
                <c:pt idx="77">
                  <c:v>15.12</c:v>
                </c:pt>
                <c:pt idx="78">
                  <c:v>16.12</c:v>
                </c:pt>
                <c:pt idx="79">
                  <c:v>17.12</c:v>
                </c:pt>
                <c:pt idx="80">
                  <c:v>18.12</c:v>
                </c:pt>
                <c:pt idx="81">
                  <c:v>19.12</c:v>
                </c:pt>
                <c:pt idx="82">
                  <c:v>20.12</c:v>
                </c:pt>
                <c:pt idx="83">
                  <c:v>21.12</c:v>
                </c:pt>
                <c:pt idx="84">
                  <c:v>22.12</c:v>
                </c:pt>
                <c:pt idx="85">
                  <c:v>23.12</c:v>
                </c:pt>
                <c:pt idx="86">
                  <c:v>24.12</c:v>
                </c:pt>
                <c:pt idx="87">
                  <c:v>25.12</c:v>
                </c:pt>
                <c:pt idx="88">
                  <c:v>26.12</c:v>
                </c:pt>
                <c:pt idx="89">
                  <c:v>27.12</c:v>
                </c:pt>
              </c:strCache>
            </c:strRef>
          </c:cat>
          <c:val>
            <c:numRef>
              <c:f>Расчёты!$D$11:$D$100</c:f>
              <c:numCache>
                <c:formatCode>0.0</c:formatCode>
                <c:ptCount val="90"/>
                <c:pt idx="0">
                  <c:v>2180</c:v>
                </c:pt>
                <c:pt idx="1">
                  <c:v>2160</c:v>
                </c:pt>
                <c:pt idx="2">
                  <c:v>2140</c:v>
                </c:pt>
                <c:pt idx="3">
                  <c:v>2120</c:v>
                </c:pt>
                <c:pt idx="4">
                  <c:v>2100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Расчёты!E10</c:f>
              <c:strCache>
                <c:ptCount val="1"/>
                <c:pt idx="0">
                  <c:v>Ср. ккал 7 дн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Расчёты!$A$11:$A$100</c:f>
              <c:strCache>
                <c:ptCount val="90"/>
                <c:pt idx="0">
                  <c:v>29.09</c:v>
                </c:pt>
                <c:pt idx="1">
                  <c:v>30.09</c:v>
                </c:pt>
                <c:pt idx="2">
                  <c:v>01.10</c:v>
                </c:pt>
                <c:pt idx="3">
                  <c:v>02.10</c:v>
                </c:pt>
                <c:pt idx="4">
                  <c:v>03.10</c:v>
                </c:pt>
                <c:pt idx="5">
                  <c:v>04.10</c:v>
                </c:pt>
                <c:pt idx="6">
                  <c:v>05.10</c:v>
                </c:pt>
                <c:pt idx="7">
                  <c:v>06.10</c:v>
                </c:pt>
                <c:pt idx="8">
                  <c:v>07.10</c:v>
                </c:pt>
                <c:pt idx="9">
                  <c:v>08.10</c:v>
                </c:pt>
                <c:pt idx="10">
                  <c:v>09.10</c:v>
                </c:pt>
                <c:pt idx="11">
                  <c:v>10.10</c:v>
                </c:pt>
                <c:pt idx="12">
                  <c:v>11.10</c:v>
                </c:pt>
                <c:pt idx="13">
                  <c:v>12.10</c:v>
                </c:pt>
                <c:pt idx="14">
                  <c:v>13.10</c:v>
                </c:pt>
                <c:pt idx="15">
                  <c:v>14.10</c:v>
                </c:pt>
                <c:pt idx="16">
                  <c:v>15.10</c:v>
                </c:pt>
                <c:pt idx="17">
                  <c:v>16.10</c:v>
                </c:pt>
                <c:pt idx="18">
                  <c:v>17.10</c:v>
                </c:pt>
                <c:pt idx="19">
                  <c:v>18.10</c:v>
                </c:pt>
                <c:pt idx="20">
                  <c:v>19.10</c:v>
                </c:pt>
                <c:pt idx="21">
                  <c:v>20.10</c:v>
                </c:pt>
                <c:pt idx="22">
                  <c:v>21.10</c:v>
                </c:pt>
                <c:pt idx="23">
                  <c:v>22.10</c:v>
                </c:pt>
                <c:pt idx="24">
                  <c:v>23.10</c:v>
                </c:pt>
                <c:pt idx="25">
                  <c:v>24.10</c:v>
                </c:pt>
                <c:pt idx="26">
                  <c:v>25.10</c:v>
                </c:pt>
                <c:pt idx="27">
                  <c:v>26.10</c:v>
                </c:pt>
                <c:pt idx="28">
                  <c:v>27.10</c:v>
                </c:pt>
                <c:pt idx="29">
                  <c:v>28.10</c:v>
                </c:pt>
                <c:pt idx="30">
                  <c:v>29.10</c:v>
                </c:pt>
                <c:pt idx="31">
                  <c:v>30.10</c:v>
                </c:pt>
                <c:pt idx="32">
                  <c:v>31.10</c:v>
                </c:pt>
                <c:pt idx="33">
                  <c:v>01.11</c:v>
                </c:pt>
                <c:pt idx="34">
                  <c:v>02.11</c:v>
                </c:pt>
                <c:pt idx="35">
                  <c:v>03.11</c:v>
                </c:pt>
                <c:pt idx="36">
                  <c:v>04.11</c:v>
                </c:pt>
                <c:pt idx="37">
                  <c:v>05.11</c:v>
                </c:pt>
                <c:pt idx="38">
                  <c:v>06.11</c:v>
                </c:pt>
                <c:pt idx="39">
                  <c:v>07.11</c:v>
                </c:pt>
                <c:pt idx="40">
                  <c:v>08.11</c:v>
                </c:pt>
                <c:pt idx="41">
                  <c:v>09.11</c:v>
                </c:pt>
                <c:pt idx="42">
                  <c:v>10.11</c:v>
                </c:pt>
                <c:pt idx="43">
                  <c:v>11.11</c:v>
                </c:pt>
                <c:pt idx="44">
                  <c:v>12.11</c:v>
                </c:pt>
                <c:pt idx="45">
                  <c:v>13.11</c:v>
                </c:pt>
                <c:pt idx="46">
                  <c:v>14.11</c:v>
                </c:pt>
                <c:pt idx="47">
                  <c:v>15.11</c:v>
                </c:pt>
                <c:pt idx="48">
                  <c:v>16.11</c:v>
                </c:pt>
                <c:pt idx="49">
                  <c:v>17.11</c:v>
                </c:pt>
                <c:pt idx="50">
                  <c:v>18.11</c:v>
                </c:pt>
                <c:pt idx="51">
                  <c:v>19.11</c:v>
                </c:pt>
                <c:pt idx="52">
                  <c:v>20.11</c:v>
                </c:pt>
                <c:pt idx="53">
                  <c:v>21.11</c:v>
                </c:pt>
                <c:pt idx="54">
                  <c:v>22.11</c:v>
                </c:pt>
                <c:pt idx="55">
                  <c:v>23.11</c:v>
                </c:pt>
                <c:pt idx="56">
                  <c:v>24.11</c:v>
                </c:pt>
                <c:pt idx="57">
                  <c:v>25.11</c:v>
                </c:pt>
                <c:pt idx="58">
                  <c:v>26.11</c:v>
                </c:pt>
                <c:pt idx="59">
                  <c:v>27.11</c:v>
                </c:pt>
                <c:pt idx="60">
                  <c:v>28.11</c:v>
                </c:pt>
                <c:pt idx="61">
                  <c:v>29.11</c:v>
                </c:pt>
                <c:pt idx="62">
                  <c:v>30.11</c:v>
                </c:pt>
                <c:pt idx="63">
                  <c:v>01.12</c:v>
                </c:pt>
                <c:pt idx="64">
                  <c:v>02.12</c:v>
                </c:pt>
                <c:pt idx="65">
                  <c:v>03.12</c:v>
                </c:pt>
                <c:pt idx="66">
                  <c:v>04.12</c:v>
                </c:pt>
                <c:pt idx="67">
                  <c:v>05.12</c:v>
                </c:pt>
                <c:pt idx="68">
                  <c:v>06.12</c:v>
                </c:pt>
                <c:pt idx="69">
                  <c:v>07.12</c:v>
                </c:pt>
                <c:pt idx="70">
                  <c:v>08.12</c:v>
                </c:pt>
                <c:pt idx="71">
                  <c:v>09.12</c:v>
                </c:pt>
                <c:pt idx="72">
                  <c:v>10.12</c:v>
                </c:pt>
                <c:pt idx="73">
                  <c:v>11.12</c:v>
                </c:pt>
                <c:pt idx="74">
                  <c:v>12.12</c:v>
                </c:pt>
                <c:pt idx="75">
                  <c:v>13.12</c:v>
                </c:pt>
                <c:pt idx="76">
                  <c:v>14.12</c:v>
                </c:pt>
                <c:pt idx="77">
                  <c:v>15.12</c:v>
                </c:pt>
                <c:pt idx="78">
                  <c:v>16.12</c:v>
                </c:pt>
                <c:pt idx="79">
                  <c:v>17.12</c:v>
                </c:pt>
                <c:pt idx="80">
                  <c:v>18.12</c:v>
                </c:pt>
                <c:pt idx="81">
                  <c:v>19.12</c:v>
                </c:pt>
                <c:pt idx="82">
                  <c:v>20.12</c:v>
                </c:pt>
                <c:pt idx="83">
                  <c:v>21.12</c:v>
                </c:pt>
                <c:pt idx="84">
                  <c:v>22.12</c:v>
                </c:pt>
                <c:pt idx="85">
                  <c:v>23.12</c:v>
                </c:pt>
                <c:pt idx="86">
                  <c:v>24.12</c:v>
                </c:pt>
                <c:pt idx="87">
                  <c:v>25.12</c:v>
                </c:pt>
                <c:pt idx="88">
                  <c:v>26.12</c:v>
                </c:pt>
                <c:pt idx="89">
                  <c:v>27.12</c:v>
                </c:pt>
              </c:strCache>
            </c:strRef>
          </c:cat>
          <c:val>
            <c:numRef>
              <c:f>Расчёты!$E$11:$E$100</c:f>
              <c:numCache>
                <c:formatCode>0.0</c:formatCode>
                <c:ptCount val="90"/>
                <c:pt idx="0">
                  <c:v>2180</c:v>
                </c:pt>
                <c:pt idx="1">
                  <c:v>2170</c:v>
                </c:pt>
                <c:pt idx="2">
                  <c:v>2160</c:v>
                </c:pt>
                <c:pt idx="3">
                  <c:v>2150</c:v>
                </c:pt>
                <c:pt idx="4">
                  <c:v>2140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Расчёты!F10</c:f>
              <c:strCache>
                <c:ptCount val="1"/>
                <c:pt idx="0">
                  <c:v>Цель ккал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Расчёты!$A$11:$A$100</c:f>
              <c:strCache>
                <c:ptCount val="90"/>
                <c:pt idx="0">
                  <c:v>29.09</c:v>
                </c:pt>
                <c:pt idx="1">
                  <c:v>30.09</c:v>
                </c:pt>
                <c:pt idx="2">
                  <c:v>01.10</c:v>
                </c:pt>
                <c:pt idx="3">
                  <c:v>02.10</c:v>
                </c:pt>
                <c:pt idx="4">
                  <c:v>03.10</c:v>
                </c:pt>
                <c:pt idx="5">
                  <c:v>04.10</c:v>
                </c:pt>
                <c:pt idx="6">
                  <c:v>05.10</c:v>
                </c:pt>
                <c:pt idx="7">
                  <c:v>06.10</c:v>
                </c:pt>
                <c:pt idx="8">
                  <c:v>07.10</c:v>
                </c:pt>
                <c:pt idx="9">
                  <c:v>08.10</c:v>
                </c:pt>
                <c:pt idx="10">
                  <c:v>09.10</c:v>
                </c:pt>
                <c:pt idx="11">
                  <c:v>10.10</c:v>
                </c:pt>
                <c:pt idx="12">
                  <c:v>11.10</c:v>
                </c:pt>
                <c:pt idx="13">
                  <c:v>12.10</c:v>
                </c:pt>
                <c:pt idx="14">
                  <c:v>13.10</c:v>
                </c:pt>
                <c:pt idx="15">
                  <c:v>14.10</c:v>
                </c:pt>
                <c:pt idx="16">
                  <c:v>15.10</c:v>
                </c:pt>
                <c:pt idx="17">
                  <c:v>16.10</c:v>
                </c:pt>
                <c:pt idx="18">
                  <c:v>17.10</c:v>
                </c:pt>
                <c:pt idx="19">
                  <c:v>18.10</c:v>
                </c:pt>
                <c:pt idx="20">
                  <c:v>19.10</c:v>
                </c:pt>
                <c:pt idx="21">
                  <c:v>20.10</c:v>
                </c:pt>
                <c:pt idx="22">
                  <c:v>21.10</c:v>
                </c:pt>
                <c:pt idx="23">
                  <c:v>22.10</c:v>
                </c:pt>
                <c:pt idx="24">
                  <c:v>23.10</c:v>
                </c:pt>
                <c:pt idx="25">
                  <c:v>24.10</c:v>
                </c:pt>
                <c:pt idx="26">
                  <c:v>25.10</c:v>
                </c:pt>
                <c:pt idx="27">
                  <c:v>26.10</c:v>
                </c:pt>
                <c:pt idx="28">
                  <c:v>27.10</c:v>
                </c:pt>
                <c:pt idx="29">
                  <c:v>28.10</c:v>
                </c:pt>
                <c:pt idx="30">
                  <c:v>29.10</c:v>
                </c:pt>
                <c:pt idx="31">
                  <c:v>30.10</c:v>
                </c:pt>
                <c:pt idx="32">
                  <c:v>31.10</c:v>
                </c:pt>
                <c:pt idx="33">
                  <c:v>01.11</c:v>
                </c:pt>
                <c:pt idx="34">
                  <c:v>02.11</c:v>
                </c:pt>
                <c:pt idx="35">
                  <c:v>03.11</c:v>
                </c:pt>
                <c:pt idx="36">
                  <c:v>04.11</c:v>
                </c:pt>
                <c:pt idx="37">
                  <c:v>05.11</c:v>
                </c:pt>
                <c:pt idx="38">
                  <c:v>06.11</c:v>
                </c:pt>
                <c:pt idx="39">
                  <c:v>07.11</c:v>
                </c:pt>
                <c:pt idx="40">
                  <c:v>08.11</c:v>
                </c:pt>
                <c:pt idx="41">
                  <c:v>09.11</c:v>
                </c:pt>
                <c:pt idx="42">
                  <c:v>10.11</c:v>
                </c:pt>
                <c:pt idx="43">
                  <c:v>11.11</c:v>
                </c:pt>
                <c:pt idx="44">
                  <c:v>12.11</c:v>
                </c:pt>
                <c:pt idx="45">
                  <c:v>13.11</c:v>
                </c:pt>
                <c:pt idx="46">
                  <c:v>14.11</c:v>
                </c:pt>
                <c:pt idx="47">
                  <c:v>15.11</c:v>
                </c:pt>
                <c:pt idx="48">
                  <c:v>16.11</c:v>
                </c:pt>
                <c:pt idx="49">
                  <c:v>17.11</c:v>
                </c:pt>
                <c:pt idx="50">
                  <c:v>18.11</c:v>
                </c:pt>
                <c:pt idx="51">
                  <c:v>19.11</c:v>
                </c:pt>
                <c:pt idx="52">
                  <c:v>20.11</c:v>
                </c:pt>
                <c:pt idx="53">
                  <c:v>21.11</c:v>
                </c:pt>
                <c:pt idx="54">
                  <c:v>22.11</c:v>
                </c:pt>
                <c:pt idx="55">
                  <c:v>23.11</c:v>
                </c:pt>
                <c:pt idx="56">
                  <c:v>24.11</c:v>
                </c:pt>
                <c:pt idx="57">
                  <c:v>25.11</c:v>
                </c:pt>
                <c:pt idx="58">
                  <c:v>26.11</c:v>
                </c:pt>
                <c:pt idx="59">
                  <c:v>27.11</c:v>
                </c:pt>
                <c:pt idx="60">
                  <c:v>28.11</c:v>
                </c:pt>
                <c:pt idx="61">
                  <c:v>29.11</c:v>
                </c:pt>
                <c:pt idx="62">
                  <c:v>30.11</c:v>
                </c:pt>
                <c:pt idx="63">
                  <c:v>01.12</c:v>
                </c:pt>
                <c:pt idx="64">
                  <c:v>02.12</c:v>
                </c:pt>
                <c:pt idx="65">
                  <c:v>03.12</c:v>
                </c:pt>
                <c:pt idx="66">
                  <c:v>04.12</c:v>
                </c:pt>
                <c:pt idx="67">
                  <c:v>05.12</c:v>
                </c:pt>
                <c:pt idx="68">
                  <c:v>06.12</c:v>
                </c:pt>
                <c:pt idx="69">
                  <c:v>07.12</c:v>
                </c:pt>
                <c:pt idx="70">
                  <c:v>08.12</c:v>
                </c:pt>
                <c:pt idx="71">
                  <c:v>09.12</c:v>
                </c:pt>
                <c:pt idx="72">
                  <c:v>10.12</c:v>
                </c:pt>
                <c:pt idx="73">
                  <c:v>11.12</c:v>
                </c:pt>
                <c:pt idx="74">
                  <c:v>12.12</c:v>
                </c:pt>
                <c:pt idx="75">
                  <c:v>13.12</c:v>
                </c:pt>
                <c:pt idx="76">
                  <c:v>14.12</c:v>
                </c:pt>
                <c:pt idx="77">
                  <c:v>15.12</c:v>
                </c:pt>
                <c:pt idx="78">
                  <c:v>16.12</c:v>
                </c:pt>
                <c:pt idx="79">
                  <c:v>17.12</c:v>
                </c:pt>
                <c:pt idx="80">
                  <c:v>18.12</c:v>
                </c:pt>
                <c:pt idx="81">
                  <c:v>19.12</c:v>
                </c:pt>
                <c:pt idx="82">
                  <c:v>20.12</c:v>
                </c:pt>
                <c:pt idx="83">
                  <c:v>21.12</c:v>
                </c:pt>
                <c:pt idx="84">
                  <c:v>22.12</c:v>
                </c:pt>
                <c:pt idx="85">
                  <c:v>23.12</c:v>
                </c:pt>
                <c:pt idx="86">
                  <c:v>24.12</c:v>
                </c:pt>
                <c:pt idx="87">
                  <c:v>25.12</c:v>
                </c:pt>
                <c:pt idx="88">
                  <c:v>26.12</c:v>
                </c:pt>
                <c:pt idx="89">
                  <c:v>27.12</c:v>
                </c:pt>
              </c:strCache>
            </c:strRef>
          </c:cat>
          <c:val>
            <c:numRef>
              <c:f>Расчёты!$F$11:$F$100</c:f>
              <c:numCache>
                <c:formatCode>0</c:formatCode>
                <c:ptCount val="90"/>
                <c:pt idx="0">
                  <c:v>2200</c:v>
                </c:pt>
                <c:pt idx="1">
                  <c:v>2200</c:v>
                </c:pt>
                <c:pt idx="2">
                  <c:v>2200</c:v>
                </c:pt>
                <c:pt idx="3">
                  <c:v>2200</c:v>
                </c:pt>
                <c:pt idx="4">
                  <c:v>2200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2200</c:v>
                </c:pt>
                <c:pt idx="10">
                  <c:v>2200</c:v>
                </c:pt>
                <c:pt idx="11">
                  <c:v>2200</c:v>
                </c:pt>
                <c:pt idx="12">
                  <c:v>2200</c:v>
                </c:pt>
                <c:pt idx="13">
                  <c:v>2200</c:v>
                </c:pt>
                <c:pt idx="14">
                  <c:v>2200</c:v>
                </c:pt>
                <c:pt idx="15">
                  <c:v>2200</c:v>
                </c:pt>
                <c:pt idx="16">
                  <c:v>2200</c:v>
                </c:pt>
                <c:pt idx="17">
                  <c:v>2200</c:v>
                </c:pt>
                <c:pt idx="18">
                  <c:v>2200</c:v>
                </c:pt>
                <c:pt idx="19">
                  <c:v>2200</c:v>
                </c:pt>
                <c:pt idx="20">
                  <c:v>2200</c:v>
                </c:pt>
                <c:pt idx="21">
                  <c:v>2200</c:v>
                </c:pt>
                <c:pt idx="22">
                  <c:v>2200</c:v>
                </c:pt>
                <c:pt idx="23">
                  <c:v>2200</c:v>
                </c:pt>
                <c:pt idx="24">
                  <c:v>2200</c:v>
                </c:pt>
                <c:pt idx="25">
                  <c:v>2200</c:v>
                </c:pt>
                <c:pt idx="26">
                  <c:v>2200</c:v>
                </c:pt>
                <c:pt idx="27">
                  <c:v>2200</c:v>
                </c:pt>
                <c:pt idx="28">
                  <c:v>2200</c:v>
                </c:pt>
                <c:pt idx="29">
                  <c:v>2200</c:v>
                </c:pt>
                <c:pt idx="30">
                  <c:v>2200</c:v>
                </c:pt>
                <c:pt idx="31">
                  <c:v>2200</c:v>
                </c:pt>
                <c:pt idx="32">
                  <c:v>2200</c:v>
                </c:pt>
                <c:pt idx="33">
                  <c:v>2200</c:v>
                </c:pt>
                <c:pt idx="34">
                  <c:v>2200</c:v>
                </c:pt>
                <c:pt idx="35">
                  <c:v>2200</c:v>
                </c:pt>
                <c:pt idx="36">
                  <c:v>2200</c:v>
                </c:pt>
                <c:pt idx="37">
                  <c:v>2200</c:v>
                </c:pt>
                <c:pt idx="38">
                  <c:v>2200</c:v>
                </c:pt>
                <c:pt idx="39">
                  <c:v>2200</c:v>
                </c:pt>
                <c:pt idx="40">
                  <c:v>2200</c:v>
                </c:pt>
                <c:pt idx="41">
                  <c:v>2200</c:v>
                </c:pt>
                <c:pt idx="42">
                  <c:v>2200</c:v>
                </c:pt>
                <c:pt idx="43">
                  <c:v>2200</c:v>
                </c:pt>
                <c:pt idx="44">
                  <c:v>2200</c:v>
                </c:pt>
                <c:pt idx="45">
                  <c:v>2200</c:v>
                </c:pt>
                <c:pt idx="46">
                  <c:v>2200</c:v>
                </c:pt>
                <c:pt idx="47">
                  <c:v>2200</c:v>
                </c:pt>
                <c:pt idx="48">
                  <c:v>2200</c:v>
                </c:pt>
                <c:pt idx="49">
                  <c:v>2200</c:v>
                </c:pt>
                <c:pt idx="50">
                  <c:v>2200</c:v>
                </c:pt>
                <c:pt idx="51">
                  <c:v>2200</c:v>
                </c:pt>
                <c:pt idx="52">
                  <c:v>2200</c:v>
                </c:pt>
                <c:pt idx="53">
                  <c:v>2200</c:v>
                </c:pt>
                <c:pt idx="54">
                  <c:v>2200</c:v>
                </c:pt>
                <c:pt idx="55">
                  <c:v>2200</c:v>
                </c:pt>
                <c:pt idx="56">
                  <c:v>2200</c:v>
                </c:pt>
                <c:pt idx="57">
                  <c:v>2200</c:v>
                </c:pt>
                <c:pt idx="58">
                  <c:v>2200</c:v>
                </c:pt>
                <c:pt idx="59">
                  <c:v>2200</c:v>
                </c:pt>
                <c:pt idx="60">
                  <c:v>2200</c:v>
                </c:pt>
                <c:pt idx="61">
                  <c:v>2200</c:v>
                </c:pt>
                <c:pt idx="62">
                  <c:v>2200</c:v>
                </c:pt>
                <c:pt idx="63">
                  <c:v>2200</c:v>
                </c:pt>
                <c:pt idx="64">
                  <c:v>2200</c:v>
                </c:pt>
                <c:pt idx="65">
                  <c:v>2200</c:v>
                </c:pt>
                <c:pt idx="66">
                  <c:v>2200</c:v>
                </c:pt>
                <c:pt idx="67">
                  <c:v>2200</c:v>
                </c:pt>
                <c:pt idx="68">
                  <c:v>2200</c:v>
                </c:pt>
                <c:pt idx="69">
                  <c:v>2200</c:v>
                </c:pt>
                <c:pt idx="70">
                  <c:v>2200</c:v>
                </c:pt>
                <c:pt idx="71">
                  <c:v>2200</c:v>
                </c:pt>
                <c:pt idx="72">
                  <c:v>2200</c:v>
                </c:pt>
                <c:pt idx="73">
                  <c:v>2200</c:v>
                </c:pt>
                <c:pt idx="74">
                  <c:v>2200</c:v>
                </c:pt>
                <c:pt idx="75">
                  <c:v>2200</c:v>
                </c:pt>
                <c:pt idx="76">
                  <c:v>2200</c:v>
                </c:pt>
                <c:pt idx="77">
                  <c:v>2200</c:v>
                </c:pt>
                <c:pt idx="78">
                  <c:v>2200</c:v>
                </c:pt>
                <c:pt idx="79">
                  <c:v>2200</c:v>
                </c:pt>
                <c:pt idx="80">
                  <c:v>2200</c:v>
                </c:pt>
                <c:pt idx="81">
                  <c:v>2200</c:v>
                </c:pt>
                <c:pt idx="82">
                  <c:v>2200</c:v>
                </c:pt>
                <c:pt idx="83">
                  <c:v>2200</c:v>
                </c:pt>
                <c:pt idx="84">
                  <c:v>2200</c:v>
                </c:pt>
                <c:pt idx="85">
                  <c:v>2200</c:v>
                </c:pt>
                <c:pt idx="86">
                  <c:v>2200</c:v>
                </c:pt>
                <c:pt idx="87">
                  <c:v>2200</c:v>
                </c:pt>
                <c:pt idx="88">
                  <c:v>2200</c:v>
                </c:pt>
                <c:pt idx="89">
                  <c:v>2200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9152464"/>
        <c:axId val="4317111"/>
      </c:lineChart>
      <c:catAx>
        <c:axId val="99152464"/>
        <c:scaling>
          <c:orientation val="minMax"/>
        </c:scaling>
        <c:delete val="0"/>
        <c:axPos val="b"/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7111"/>
        <c:crosses val="autoZero"/>
        <c:auto val="1"/>
        <c:lblAlgn val="ctr"/>
        <c:lblOffset val="100"/>
        <c:noMultiLvlLbl val="0"/>
      </c:catAx>
      <c:valAx>
        <c:axId val="43171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ккал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524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Белок: факт, среднее за 7 дней, цель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Расчёты!G10</c:f>
              <c:strCache>
                <c:ptCount val="1"/>
                <c:pt idx="0">
                  <c:v>Белок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Расчёты!$A$11:$A$100</c:f>
              <c:strCache>
                <c:ptCount val="90"/>
                <c:pt idx="0">
                  <c:v>29.09</c:v>
                </c:pt>
                <c:pt idx="1">
                  <c:v>30.09</c:v>
                </c:pt>
                <c:pt idx="2">
                  <c:v>01.10</c:v>
                </c:pt>
                <c:pt idx="3">
                  <c:v>02.10</c:v>
                </c:pt>
                <c:pt idx="4">
                  <c:v>03.10</c:v>
                </c:pt>
                <c:pt idx="5">
                  <c:v>04.10</c:v>
                </c:pt>
                <c:pt idx="6">
                  <c:v>05.10</c:v>
                </c:pt>
                <c:pt idx="7">
                  <c:v>06.10</c:v>
                </c:pt>
                <c:pt idx="8">
                  <c:v>07.10</c:v>
                </c:pt>
                <c:pt idx="9">
                  <c:v>08.10</c:v>
                </c:pt>
                <c:pt idx="10">
                  <c:v>09.10</c:v>
                </c:pt>
                <c:pt idx="11">
                  <c:v>10.10</c:v>
                </c:pt>
                <c:pt idx="12">
                  <c:v>11.10</c:v>
                </c:pt>
                <c:pt idx="13">
                  <c:v>12.10</c:v>
                </c:pt>
                <c:pt idx="14">
                  <c:v>13.10</c:v>
                </c:pt>
                <c:pt idx="15">
                  <c:v>14.10</c:v>
                </c:pt>
                <c:pt idx="16">
                  <c:v>15.10</c:v>
                </c:pt>
                <c:pt idx="17">
                  <c:v>16.10</c:v>
                </c:pt>
                <c:pt idx="18">
                  <c:v>17.10</c:v>
                </c:pt>
                <c:pt idx="19">
                  <c:v>18.10</c:v>
                </c:pt>
                <c:pt idx="20">
                  <c:v>19.10</c:v>
                </c:pt>
                <c:pt idx="21">
                  <c:v>20.10</c:v>
                </c:pt>
                <c:pt idx="22">
                  <c:v>21.10</c:v>
                </c:pt>
                <c:pt idx="23">
                  <c:v>22.10</c:v>
                </c:pt>
                <c:pt idx="24">
                  <c:v>23.10</c:v>
                </c:pt>
                <c:pt idx="25">
                  <c:v>24.10</c:v>
                </c:pt>
                <c:pt idx="26">
                  <c:v>25.10</c:v>
                </c:pt>
                <c:pt idx="27">
                  <c:v>26.10</c:v>
                </c:pt>
                <c:pt idx="28">
                  <c:v>27.10</c:v>
                </c:pt>
                <c:pt idx="29">
                  <c:v>28.10</c:v>
                </c:pt>
                <c:pt idx="30">
                  <c:v>29.10</c:v>
                </c:pt>
                <c:pt idx="31">
                  <c:v>30.10</c:v>
                </c:pt>
                <c:pt idx="32">
                  <c:v>31.10</c:v>
                </c:pt>
                <c:pt idx="33">
                  <c:v>01.11</c:v>
                </c:pt>
                <c:pt idx="34">
                  <c:v>02.11</c:v>
                </c:pt>
                <c:pt idx="35">
                  <c:v>03.11</c:v>
                </c:pt>
                <c:pt idx="36">
                  <c:v>04.11</c:v>
                </c:pt>
                <c:pt idx="37">
                  <c:v>05.11</c:v>
                </c:pt>
                <c:pt idx="38">
                  <c:v>06.11</c:v>
                </c:pt>
                <c:pt idx="39">
                  <c:v>07.11</c:v>
                </c:pt>
                <c:pt idx="40">
                  <c:v>08.11</c:v>
                </c:pt>
                <c:pt idx="41">
                  <c:v>09.11</c:v>
                </c:pt>
                <c:pt idx="42">
                  <c:v>10.11</c:v>
                </c:pt>
                <c:pt idx="43">
                  <c:v>11.11</c:v>
                </c:pt>
                <c:pt idx="44">
                  <c:v>12.11</c:v>
                </c:pt>
                <c:pt idx="45">
                  <c:v>13.11</c:v>
                </c:pt>
                <c:pt idx="46">
                  <c:v>14.11</c:v>
                </c:pt>
                <c:pt idx="47">
                  <c:v>15.11</c:v>
                </c:pt>
                <c:pt idx="48">
                  <c:v>16.11</c:v>
                </c:pt>
                <c:pt idx="49">
                  <c:v>17.11</c:v>
                </c:pt>
                <c:pt idx="50">
                  <c:v>18.11</c:v>
                </c:pt>
                <c:pt idx="51">
                  <c:v>19.11</c:v>
                </c:pt>
                <c:pt idx="52">
                  <c:v>20.11</c:v>
                </c:pt>
                <c:pt idx="53">
                  <c:v>21.11</c:v>
                </c:pt>
                <c:pt idx="54">
                  <c:v>22.11</c:v>
                </c:pt>
                <c:pt idx="55">
                  <c:v>23.11</c:v>
                </c:pt>
                <c:pt idx="56">
                  <c:v>24.11</c:v>
                </c:pt>
                <c:pt idx="57">
                  <c:v>25.11</c:v>
                </c:pt>
                <c:pt idx="58">
                  <c:v>26.11</c:v>
                </c:pt>
                <c:pt idx="59">
                  <c:v>27.11</c:v>
                </c:pt>
                <c:pt idx="60">
                  <c:v>28.11</c:v>
                </c:pt>
                <c:pt idx="61">
                  <c:v>29.11</c:v>
                </c:pt>
                <c:pt idx="62">
                  <c:v>30.11</c:v>
                </c:pt>
                <c:pt idx="63">
                  <c:v>01.12</c:v>
                </c:pt>
                <c:pt idx="64">
                  <c:v>02.12</c:v>
                </c:pt>
                <c:pt idx="65">
                  <c:v>03.12</c:v>
                </c:pt>
                <c:pt idx="66">
                  <c:v>04.12</c:v>
                </c:pt>
                <c:pt idx="67">
                  <c:v>05.12</c:v>
                </c:pt>
                <c:pt idx="68">
                  <c:v>06.12</c:v>
                </c:pt>
                <c:pt idx="69">
                  <c:v>07.12</c:v>
                </c:pt>
                <c:pt idx="70">
                  <c:v>08.12</c:v>
                </c:pt>
                <c:pt idx="71">
                  <c:v>09.12</c:v>
                </c:pt>
                <c:pt idx="72">
                  <c:v>10.12</c:v>
                </c:pt>
                <c:pt idx="73">
                  <c:v>11.12</c:v>
                </c:pt>
                <c:pt idx="74">
                  <c:v>12.12</c:v>
                </c:pt>
                <c:pt idx="75">
                  <c:v>13.12</c:v>
                </c:pt>
                <c:pt idx="76">
                  <c:v>14.12</c:v>
                </c:pt>
                <c:pt idx="77">
                  <c:v>15.12</c:v>
                </c:pt>
                <c:pt idx="78">
                  <c:v>16.12</c:v>
                </c:pt>
                <c:pt idx="79">
                  <c:v>17.12</c:v>
                </c:pt>
                <c:pt idx="80">
                  <c:v>18.12</c:v>
                </c:pt>
                <c:pt idx="81">
                  <c:v>19.12</c:v>
                </c:pt>
                <c:pt idx="82">
                  <c:v>20.12</c:v>
                </c:pt>
                <c:pt idx="83">
                  <c:v>21.12</c:v>
                </c:pt>
                <c:pt idx="84">
                  <c:v>22.12</c:v>
                </c:pt>
                <c:pt idx="85">
                  <c:v>23.12</c:v>
                </c:pt>
                <c:pt idx="86">
                  <c:v>24.12</c:v>
                </c:pt>
                <c:pt idx="87">
                  <c:v>25.12</c:v>
                </c:pt>
                <c:pt idx="88">
                  <c:v>26.12</c:v>
                </c:pt>
                <c:pt idx="89">
                  <c:v>27.12</c:v>
                </c:pt>
              </c:strCache>
            </c:strRef>
          </c:cat>
          <c:val>
            <c:numRef>
              <c:f>Расчёты!$G$11:$G$100</c:f>
              <c:numCache>
                <c:formatCode>0.0</c:formatCode>
                <c:ptCount val="90"/>
                <c:pt idx="0">
                  <c:v>165</c:v>
                </c:pt>
                <c:pt idx="1">
                  <c:v>165</c:v>
                </c:pt>
                <c:pt idx="2">
                  <c:v>165</c:v>
                </c:pt>
                <c:pt idx="3">
                  <c:v>165</c:v>
                </c:pt>
                <c:pt idx="4">
                  <c:v>165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Расчёты!H10</c:f>
              <c:strCache>
                <c:ptCount val="1"/>
                <c:pt idx="0">
                  <c:v>Ср. белок 7 дн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Расчёты!$A$11:$A$100</c:f>
              <c:strCache>
                <c:ptCount val="90"/>
                <c:pt idx="0">
                  <c:v>29.09</c:v>
                </c:pt>
                <c:pt idx="1">
                  <c:v>30.09</c:v>
                </c:pt>
                <c:pt idx="2">
                  <c:v>01.10</c:v>
                </c:pt>
                <c:pt idx="3">
                  <c:v>02.10</c:v>
                </c:pt>
                <c:pt idx="4">
                  <c:v>03.10</c:v>
                </c:pt>
                <c:pt idx="5">
                  <c:v>04.10</c:v>
                </c:pt>
                <c:pt idx="6">
                  <c:v>05.10</c:v>
                </c:pt>
                <c:pt idx="7">
                  <c:v>06.10</c:v>
                </c:pt>
                <c:pt idx="8">
                  <c:v>07.10</c:v>
                </c:pt>
                <c:pt idx="9">
                  <c:v>08.10</c:v>
                </c:pt>
                <c:pt idx="10">
                  <c:v>09.10</c:v>
                </c:pt>
                <c:pt idx="11">
                  <c:v>10.10</c:v>
                </c:pt>
                <c:pt idx="12">
                  <c:v>11.10</c:v>
                </c:pt>
                <c:pt idx="13">
                  <c:v>12.10</c:v>
                </c:pt>
                <c:pt idx="14">
                  <c:v>13.10</c:v>
                </c:pt>
                <c:pt idx="15">
                  <c:v>14.10</c:v>
                </c:pt>
                <c:pt idx="16">
                  <c:v>15.10</c:v>
                </c:pt>
                <c:pt idx="17">
                  <c:v>16.10</c:v>
                </c:pt>
                <c:pt idx="18">
                  <c:v>17.10</c:v>
                </c:pt>
                <c:pt idx="19">
                  <c:v>18.10</c:v>
                </c:pt>
                <c:pt idx="20">
                  <c:v>19.10</c:v>
                </c:pt>
                <c:pt idx="21">
                  <c:v>20.10</c:v>
                </c:pt>
                <c:pt idx="22">
                  <c:v>21.10</c:v>
                </c:pt>
                <c:pt idx="23">
                  <c:v>22.10</c:v>
                </c:pt>
                <c:pt idx="24">
                  <c:v>23.10</c:v>
                </c:pt>
                <c:pt idx="25">
                  <c:v>24.10</c:v>
                </c:pt>
                <c:pt idx="26">
                  <c:v>25.10</c:v>
                </c:pt>
                <c:pt idx="27">
                  <c:v>26.10</c:v>
                </c:pt>
                <c:pt idx="28">
                  <c:v>27.10</c:v>
                </c:pt>
                <c:pt idx="29">
                  <c:v>28.10</c:v>
                </c:pt>
                <c:pt idx="30">
                  <c:v>29.10</c:v>
                </c:pt>
                <c:pt idx="31">
                  <c:v>30.10</c:v>
                </c:pt>
                <c:pt idx="32">
                  <c:v>31.10</c:v>
                </c:pt>
                <c:pt idx="33">
                  <c:v>01.11</c:v>
                </c:pt>
                <c:pt idx="34">
                  <c:v>02.11</c:v>
                </c:pt>
                <c:pt idx="35">
                  <c:v>03.11</c:v>
                </c:pt>
                <c:pt idx="36">
                  <c:v>04.11</c:v>
                </c:pt>
                <c:pt idx="37">
                  <c:v>05.11</c:v>
                </c:pt>
                <c:pt idx="38">
                  <c:v>06.11</c:v>
                </c:pt>
                <c:pt idx="39">
                  <c:v>07.11</c:v>
                </c:pt>
                <c:pt idx="40">
                  <c:v>08.11</c:v>
                </c:pt>
                <c:pt idx="41">
                  <c:v>09.11</c:v>
                </c:pt>
                <c:pt idx="42">
                  <c:v>10.11</c:v>
                </c:pt>
                <c:pt idx="43">
                  <c:v>11.11</c:v>
                </c:pt>
                <c:pt idx="44">
                  <c:v>12.11</c:v>
                </c:pt>
                <c:pt idx="45">
                  <c:v>13.11</c:v>
                </c:pt>
                <c:pt idx="46">
                  <c:v>14.11</c:v>
                </c:pt>
                <c:pt idx="47">
                  <c:v>15.11</c:v>
                </c:pt>
                <c:pt idx="48">
                  <c:v>16.11</c:v>
                </c:pt>
                <c:pt idx="49">
                  <c:v>17.11</c:v>
                </c:pt>
                <c:pt idx="50">
                  <c:v>18.11</c:v>
                </c:pt>
                <c:pt idx="51">
                  <c:v>19.11</c:v>
                </c:pt>
                <c:pt idx="52">
                  <c:v>20.11</c:v>
                </c:pt>
                <c:pt idx="53">
                  <c:v>21.11</c:v>
                </c:pt>
                <c:pt idx="54">
                  <c:v>22.11</c:v>
                </c:pt>
                <c:pt idx="55">
                  <c:v>23.11</c:v>
                </c:pt>
                <c:pt idx="56">
                  <c:v>24.11</c:v>
                </c:pt>
                <c:pt idx="57">
                  <c:v>25.11</c:v>
                </c:pt>
                <c:pt idx="58">
                  <c:v>26.11</c:v>
                </c:pt>
                <c:pt idx="59">
                  <c:v>27.11</c:v>
                </c:pt>
                <c:pt idx="60">
                  <c:v>28.11</c:v>
                </c:pt>
                <c:pt idx="61">
                  <c:v>29.11</c:v>
                </c:pt>
                <c:pt idx="62">
                  <c:v>30.11</c:v>
                </c:pt>
                <c:pt idx="63">
                  <c:v>01.12</c:v>
                </c:pt>
                <c:pt idx="64">
                  <c:v>02.12</c:v>
                </c:pt>
                <c:pt idx="65">
                  <c:v>03.12</c:v>
                </c:pt>
                <c:pt idx="66">
                  <c:v>04.12</c:v>
                </c:pt>
                <c:pt idx="67">
                  <c:v>05.12</c:v>
                </c:pt>
                <c:pt idx="68">
                  <c:v>06.12</c:v>
                </c:pt>
                <c:pt idx="69">
                  <c:v>07.12</c:v>
                </c:pt>
                <c:pt idx="70">
                  <c:v>08.12</c:v>
                </c:pt>
                <c:pt idx="71">
                  <c:v>09.12</c:v>
                </c:pt>
                <c:pt idx="72">
                  <c:v>10.12</c:v>
                </c:pt>
                <c:pt idx="73">
                  <c:v>11.12</c:v>
                </c:pt>
                <c:pt idx="74">
                  <c:v>12.12</c:v>
                </c:pt>
                <c:pt idx="75">
                  <c:v>13.12</c:v>
                </c:pt>
                <c:pt idx="76">
                  <c:v>14.12</c:v>
                </c:pt>
                <c:pt idx="77">
                  <c:v>15.12</c:v>
                </c:pt>
                <c:pt idx="78">
                  <c:v>16.12</c:v>
                </c:pt>
                <c:pt idx="79">
                  <c:v>17.12</c:v>
                </c:pt>
                <c:pt idx="80">
                  <c:v>18.12</c:v>
                </c:pt>
                <c:pt idx="81">
                  <c:v>19.12</c:v>
                </c:pt>
                <c:pt idx="82">
                  <c:v>20.12</c:v>
                </c:pt>
                <c:pt idx="83">
                  <c:v>21.12</c:v>
                </c:pt>
                <c:pt idx="84">
                  <c:v>22.12</c:v>
                </c:pt>
                <c:pt idx="85">
                  <c:v>23.12</c:v>
                </c:pt>
                <c:pt idx="86">
                  <c:v>24.12</c:v>
                </c:pt>
                <c:pt idx="87">
                  <c:v>25.12</c:v>
                </c:pt>
                <c:pt idx="88">
                  <c:v>26.12</c:v>
                </c:pt>
                <c:pt idx="89">
                  <c:v>27.12</c:v>
                </c:pt>
              </c:strCache>
            </c:strRef>
          </c:cat>
          <c:val>
            <c:numRef>
              <c:f>Расчёты!$H$11:$H$100</c:f>
              <c:numCache>
                <c:formatCode>0.0</c:formatCode>
                <c:ptCount val="90"/>
                <c:pt idx="0">
                  <c:v>165</c:v>
                </c:pt>
                <c:pt idx="1">
                  <c:v>165</c:v>
                </c:pt>
                <c:pt idx="2">
                  <c:v>165</c:v>
                </c:pt>
                <c:pt idx="3">
                  <c:v>165</c:v>
                </c:pt>
                <c:pt idx="4">
                  <c:v>165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Расчёты!I10</c:f>
              <c:strCache>
                <c:ptCount val="1"/>
                <c:pt idx="0">
                  <c:v>Цель белка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Расчёты!$A$11:$A$100</c:f>
              <c:strCache>
                <c:ptCount val="90"/>
                <c:pt idx="0">
                  <c:v>29.09</c:v>
                </c:pt>
                <c:pt idx="1">
                  <c:v>30.09</c:v>
                </c:pt>
                <c:pt idx="2">
                  <c:v>01.10</c:v>
                </c:pt>
                <c:pt idx="3">
                  <c:v>02.10</c:v>
                </c:pt>
                <c:pt idx="4">
                  <c:v>03.10</c:v>
                </c:pt>
                <c:pt idx="5">
                  <c:v>04.10</c:v>
                </c:pt>
                <c:pt idx="6">
                  <c:v>05.10</c:v>
                </c:pt>
                <c:pt idx="7">
                  <c:v>06.10</c:v>
                </c:pt>
                <c:pt idx="8">
                  <c:v>07.10</c:v>
                </c:pt>
                <c:pt idx="9">
                  <c:v>08.10</c:v>
                </c:pt>
                <c:pt idx="10">
                  <c:v>09.10</c:v>
                </c:pt>
                <c:pt idx="11">
                  <c:v>10.10</c:v>
                </c:pt>
                <c:pt idx="12">
                  <c:v>11.10</c:v>
                </c:pt>
                <c:pt idx="13">
                  <c:v>12.10</c:v>
                </c:pt>
                <c:pt idx="14">
                  <c:v>13.10</c:v>
                </c:pt>
                <c:pt idx="15">
                  <c:v>14.10</c:v>
                </c:pt>
                <c:pt idx="16">
                  <c:v>15.10</c:v>
                </c:pt>
                <c:pt idx="17">
                  <c:v>16.10</c:v>
                </c:pt>
                <c:pt idx="18">
                  <c:v>17.10</c:v>
                </c:pt>
                <c:pt idx="19">
                  <c:v>18.10</c:v>
                </c:pt>
                <c:pt idx="20">
                  <c:v>19.10</c:v>
                </c:pt>
                <c:pt idx="21">
                  <c:v>20.10</c:v>
                </c:pt>
                <c:pt idx="22">
                  <c:v>21.10</c:v>
                </c:pt>
                <c:pt idx="23">
                  <c:v>22.10</c:v>
                </c:pt>
                <c:pt idx="24">
                  <c:v>23.10</c:v>
                </c:pt>
                <c:pt idx="25">
                  <c:v>24.10</c:v>
                </c:pt>
                <c:pt idx="26">
                  <c:v>25.10</c:v>
                </c:pt>
                <c:pt idx="27">
                  <c:v>26.10</c:v>
                </c:pt>
                <c:pt idx="28">
                  <c:v>27.10</c:v>
                </c:pt>
                <c:pt idx="29">
                  <c:v>28.10</c:v>
                </c:pt>
                <c:pt idx="30">
                  <c:v>29.10</c:v>
                </c:pt>
                <c:pt idx="31">
                  <c:v>30.10</c:v>
                </c:pt>
                <c:pt idx="32">
                  <c:v>31.10</c:v>
                </c:pt>
                <c:pt idx="33">
                  <c:v>01.11</c:v>
                </c:pt>
                <c:pt idx="34">
                  <c:v>02.11</c:v>
                </c:pt>
                <c:pt idx="35">
                  <c:v>03.11</c:v>
                </c:pt>
                <c:pt idx="36">
                  <c:v>04.11</c:v>
                </c:pt>
                <c:pt idx="37">
                  <c:v>05.11</c:v>
                </c:pt>
                <c:pt idx="38">
                  <c:v>06.11</c:v>
                </c:pt>
                <c:pt idx="39">
                  <c:v>07.11</c:v>
                </c:pt>
                <c:pt idx="40">
                  <c:v>08.11</c:v>
                </c:pt>
                <c:pt idx="41">
                  <c:v>09.11</c:v>
                </c:pt>
                <c:pt idx="42">
                  <c:v>10.11</c:v>
                </c:pt>
                <c:pt idx="43">
                  <c:v>11.11</c:v>
                </c:pt>
                <c:pt idx="44">
                  <c:v>12.11</c:v>
                </c:pt>
                <c:pt idx="45">
                  <c:v>13.11</c:v>
                </c:pt>
                <c:pt idx="46">
                  <c:v>14.11</c:v>
                </c:pt>
                <c:pt idx="47">
                  <c:v>15.11</c:v>
                </c:pt>
                <c:pt idx="48">
                  <c:v>16.11</c:v>
                </c:pt>
                <c:pt idx="49">
                  <c:v>17.11</c:v>
                </c:pt>
                <c:pt idx="50">
                  <c:v>18.11</c:v>
                </c:pt>
                <c:pt idx="51">
                  <c:v>19.11</c:v>
                </c:pt>
                <c:pt idx="52">
                  <c:v>20.11</c:v>
                </c:pt>
                <c:pt idx="53">
                  <c:v>21.11</c:v>
                </c:pt>
                <c:pt idx="54">
                  <c:v>22.11</c:v>
                </c:pt>
                <c:pt idx="55">
                  <c:v>23.11</c:v>
                </c:pt>
                <c:pt idx="56">
                  <c:v>24.11</c:v>
                </c:pt>
                <c:pt idx="57">
                  <c:v>25.11</c:v>
                </c:pt>
                <c:pt idx="58">
                  <c:v>26.11</c:v>
                </c:pt>
                <c:pt idx="59">
                  <c:v>27.11</c:v>
                </c:pt>
                <c:pt idx="60">
                  <c:v>28.11</c:v>
                </c:pt>
                <c:pt idx="61">
                  <c:v>29.11</c:v>
                </c:pt>
                <c:pt idx="62">
                  <c:v>30.11</c:v>
                </c:pt>
                <c:pt idx="63">
                  <c:v>01.12</c:v>
                </c:pt>
                <c:pt idx="64">
                  <c:v>02.12</c:v>
                </c:pt>
                <c:pt idx="65">
                  <c:v>03.12</c:v>
                </c:pt>
                <c:pt idx="66">
                  <c:v>04.12</c:v>
                </c:pt>
                <c:pt idx="67">
                  <c:v>05.12</c:v>
                </c:pt>
                <c:pt idx="68">
                  <c:v>06.12</c:v>
                </c:pt>
                <c:pt idx="69">
                  <c:v>07.12</c:v>
                </c:pt>
                <c:pt idx="70">
                  <c:v>08.12</c:v>
                </c:pt>
                <c:pt idx="71">
                  <c:v>09.12</c:v>
                </c:pt>
                <c:pt idx="72">
                  <c:v>10.12</c:v>
                </c:pt>
                <c:pt idx="73">
                  <c:v>11.12</c:v>
                </c:pt>
                <c:pt idx="74">
                  <c:v>12.12</c:v>
                </c:pt>
                <c:pt idx="75">
                  <c:v>13.12</c:v>
                </c:pt>
                <c:pt idx="76">
                  <c:v>14.12</c:v>
                </c:pt>
                <c:pt idx="77">
                  <c:v>15.12</c:v>
                </c:pt>
                <c:pt idx="78">
                  <c:v>16.12</c:v>
                </c:pt>
                <c:pt idx="79">
                  <c:v>17.12</c:v>
                </c:pt>
                <c:pt idx="80">
                  <c:v>18.12</c:v>
                </c:pt>
                <c:pt idx="81">
                  <c:v>19.12</c:v>
                </c:pt>
                <c:pt idx="82">
                  <c:v>20.12</c:v>
                </c:pt>
                <c:pt idx="83">
                  <c:v>21.12</c:v>
                </c:pt>
                <c:pt idx="84">
                  <c:v>22.12</c:v>
                </c:pt>
                <c:pt idx="85">
                  <c:v>23.12</c:v>
                </c:pt>
                <c:pt idx="86">
                  <c:v>24.12</c:v>
                </c:pt>
                <c:pt idx="87">
                  <c:v>25.12</c:v>
                </c:pt>
                <c:pt idx="88">
                  <c:v>26.12</c:v>
                </c:pt>
                <c:pt idx="89">
                  <c:v>27.12</c:v>
                </c:pt>
              </c:strCache>
            </c:strRef>
          </c:cat>
          <c:val>
            <c:numRef>
              <c:f>Расчёты!$I$11:$I$100</c:f>
              <c:numCache>
                <c:formatCode>0</c:formatCode>
                <c:ptCount val="90"/>
                <c:pt idx="0">
                  <c:v>165</c:v>
                </c:pt>
                <c:pt idx="1">
                  <c:v>165</c:v>
                </c:pt>
                <c:pt idx="2">
                  <c:v>165</c:v>
                </c:pt>
                <c:pt idx="3">
                  <c:v>165</c:v>
                </c:pt>
                <c:pt idx="4">
                  <c:v>165</c:v>
                </c:pt>
                <c:pt idx="5">
                  <c:v>165</c:v>
                </c:pt>
                <c:pt idx="6">
                  <c:v>165</c:v>
                </c:pt>
                <c:pt idx="7">
                  <c:v>165</c:v>
                </c:pt>
                <c:pt idx="8">
                  <c:v>165</c:v>
                </c:pt>
                <c:pt idx="9">
                  <c:v>165</c:v>
                </c:pt>
                <c:pt idx="10">
                  <c:v>165</c:v>
                </c:pt>
                <c:pt idx="11">
                  <c:v>165</c:v>
                </c:pt>
                <c:pt idx="12">
                  <c:v>165</c:v>
                </c:pt>
                <c:pt idx="13">
                  <c:v>165</c:v>
                </c:pt>
                <c:pt idx="14">
                  <c:v>165</c:v>
                </c:pt>
                <c:pt idx="15">
                  <c:v>165</c:v>
                </c:pt>
                <c:pt idx="16">
                  <c:v>165</c:v>
                </c:pt>
                <c:pt idx="17">
                  <c:v>165</c:v>
                </c:pt>
                <c:pt idx="18">
                  <c:v>165</c:v>
                </c:pt>
                <c:pt idx="19">
                  <c:v>165</c:v>
                </c:pt>
                <c:pt idx="20">
                  <c:v>165</c:v>
                </c:pt>
                <c:pt idx="21">
                  <c:v>165</c:v>
                </c:pt>
                <c:pt idx="22">
                  <c:v>165</c:v>
                </c:pt>
                <c:pt idx="23">
                  <c:v>165</c:v>
                </c:pt>
                <c:pt idx="24">
                  <c:v>165</c:v>
                </c:pt>
                <c:pt idx="25">
                  <c:v>165</c:v>
                </c:pt>
                <c:pt idx="26">
                  <c:v>165</c:v>
                </c:pt>
                <c:pt idx="27">
                  <c:v>165</c:v>
                </c:pt>
                <c:pt idx="28">
                  <c:v>165</c:v>
                </c:pt>
                <c:pt idx="29">
                  <c:v>165</c:v>
                </c:pt>
                <c:pt idx="30">
                  <c:v>165</c:v>
                </c:pt>
                <c:pt idx="31">
                  <c:v>165</c:v>
                </c:pt>
                <c:pt idx="32">
                  <c:v>165</c:v>
                </c:pt>
                <c:pt idx="33">
                  <c:v>165</c:v>
                </c:pt>
                <c:pt idx="34">
                  <c:v>165</c:v>
                </c:pt>
                <c:pt idx="35">
                  <c:v>165</c:v>
                </c:pt>
                <c:pt idx="36">
                  <c:v>165</c:v>
                </c:pt>
                <c:pt idx="37">
                  <c:v>165</c:v>
                </c:pt>
                <c:pt idx="38">
                  <c:v>165</c:v>
                </c:pt>
                <c:pt idx="39">
                  <c:v>165</c:v>
                </c:pt>
                <c:pt idx="40">
                  <c:v>165</c:v>
                </c:pt>
                <c:pt idx="41">
                  <c:v>165</c:v>
                </c:pt>
                <c:pt idx="42">
                  <c:v>165</c:v>
                </c:pt>
                <c:pt idx="43">
                  <c:v>165</c:v>
                </c:pt>
                <c:pt idx="44">
                  <c:v>165</c:v>
                </c:pt>
                <c:pt idx="45">
                  <c:v>165</c:v>
                </c:pt>
                <c:pt idx="46">
                  <c:v>165</c:v>
                </c:pt>
                <c:pt idx="47">
                  <c:v>165</c:v>
                </c:pt>
                <c:pt idx="48">
                  <c:v>165</c:v>
                </c:pt>
                <c:pt idx="49">
                  <c:v>165</c:v>
                </c:pt>
                <c:pt idx="50">
                  <c:v>165</c:v>
                </c:pt>
                <c:pt idx="51">
                  <c:v>165</c:v>
                </c:pt>
                <c:pt idx="52">
                  <c:v>165</c:v>
                </c:pt>
                <c:pt idx="53">
                  <c:v>165</c:v>
                </c:pt>
                <c:pt idx="54">
                  <c:v>165</c:v>
                </c:pt>
                <c:pt idx="55">
                  <c:v>165</c:v>
                </c:pt>
                <c:pt idx="56">
                  <c:v>165</c:v>
                </c:pt>
                <c:pt idx="57">
                  <c:v>165</c:v>
                </c:pt>
                <c:pt idx="58">
                  <c:v>165</c:v>
                </c:pt>
                <c:pt idx="59">
                  <c:v>165</c:v>
                </c:pt>
                <c:pt idx="60">
                  <c:v>165</c:v>
                </c:pt>
                <c:pt idx="61">
                  <c:v>165</c:v>
                </c:pt>
                <c:pt idx="62">
                  <c:v>165</c:v>
                </c:pt>
                <c:pt idx="63">
                  <c:v>165</c:v>
                </c:pt>
                <c:pt idx="64">
                  <c:v>165</c:v>
                </c:pt>
                <c:pt idx="65">
                  <c:v>165</c:v>
                </c:pt>
                <c:pt idx="66">
                  <c:v>165</c:v>
                </c:pt>
                <c:pt idx="67">
                  <c:v>165</c:v>
                </c:pt>
                <c:pt idx="68">
                  <c:v>165</c:v>
                </c:pt>
                <c:pt idx="69">
                  <c:v>165</c:v>
                </c:pt>
                <c:pt idx="70">
                  <c:v>165</c:v>
                </c:pt>
                <c:pt idx="71">
                  <c:v>165</c:v>
                </c:pt>
                <c:pt idx="72">
                  <c:v>165</c:v>
                </c:pt>
                <c:pt idx="73">
                  <c:v>165</c:v>
                </c:pt>
                <c:pt idx="74">
                  <c:v>165</c:v>
                </c:pt>
                <c:pt idx="75">
                  <c:v>165</c:v>
                </c:pt>
                <c:pt idx="76">
                  <c:v>165</c:v>
                </c:pt>
                <c:pt idx="77">
                  <c:v>165</c:v>
                </c:pt>
                <c:pt idx="78">
                  <c:v>165</c:v>
                </c:pt>
                <c:pt idx="79">
                  <c:v>165</c:v>
                </c:pt>
                <c:pt idx="80">
                  <c:v>165</c:v>
                </c:pt>
                <c:pt idx="81">
                  <c:v>165</c:v>
                </c:pt>
                <c:pt idx="82">
                  <c:v>165</c:v>
                </c:pt>
                <c:pt idx="83">
                  <c:v>165</c:v>
                </c:pt>
                <c:pt idx="84">
                  <c:v>165</c:v>
                </c:pt>
                <c:pt idx="85">
                  <c:v>165</c:v>
                </c:pt>
                <c:pt idx="86">
                  <c:v>165</c:v>
                </c:pt>
                <c:pt idx="87">
                  <c:v>165</c:v>
                </c:pt>
                <c:pt idx="88">
                  <c:v>165</c:v>
                </c:pt>
                <c:pt idx="89">
                  <c:v>165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4005890"/>
        <c:axId val="29623449"/>
      </c:lineChart>
      <c:catAx>
        <c:axId val="74005890"/>
        <c:scaling>
          <c:orientation val="minMax"/>
        </c:scaling>
        <c:delete val="0"/>
        <c:axPos val="b"/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23449"/>
        <c:crosses val="autoZero"/>
        <c:auto val="1"/>
        <c:lblAlgn val="ctr"/>
        <c:lblOffset val="100"/>
        <c:noMultiLvlLbl val="0"/>
      </c:catAx>
      <c:valAx>
        <c:axId val="29623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г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058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Силовые показатели: максимальный рабочий вес за неделю (окно 20 нед)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Расчёты!B105</c:f>
              <c:strCache>
                <c:ptCount val="1"/>
                <c:pt idx="0">
                  <c:v>Жим платформы ногами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Расчёты!$A$106:$A$125</c:f>
              <c:strCache>
                <c:ptCount val="20"/>
                <c:pt idx="0">
                  <c:v>29.09</c:v>
                </c:pt>
                <c:pt idx="1">
                  <c:v>06.10</c:v>
                </c:pt>
                <c:pt idx="2">
                  <c:v>13.10</c:v>
                </c:pt>
                <c:pt idx="3">
                  <c:v>20.10</c:v>
                </c:pt>
                <c:pt idx="4">
                  <c:v>27.10</c:v>
                </c:pt>
                <c:pt idx="5">
                  <c:v>03.11</c:v>
                </c:pt>
                <c:pt idx="6">
                  <c:v>10.11</c:v>
                </c:pt>
                <c:pt idx="7">
                  <c:v>17.11</c:v>
                </c:pt>
                <c:pt idx="8">
                  <c:v>24.11</c:v>
                </c:pt>
                <c:pt idx="9">
                  <c:v>01.12</c:v>
                </c:pt>
                <c:pt idx="10">
                  <c:v>08.12</c:v>
                </c:pt>
                <c:pt idx="11">
                  <c:v>15.12</c:v>
                </c:pt>
                <c:pt idx="12">
                  <c:v>22.12</c:v>
                </c:pt>
                <c:pt idx="13">
                  <c:v>29.12</c:v>
                </c:pt>
                <c:pt idx="14">
                  <c:v>05.01</c:v>
                </c:pt>
                <c:pt idx="15">
                  <c:v>12.01</c:v>
                </c:pt>
                <c:pt idx="16">
                  <c:v>19.01</c:v>
                </c:pt>
                <c:pt idx="17">
                  <c:v>26.01</c:v>
                </c:pt>
                <c:pt idx="18">
                  <c:v>02.02</c:v>
                </c:pt>
                <c:pt idx="19">
                  <c:v>09.02</c:v>
                </c:pt>
              </c:strCache>
            </c:strRef>
          </c:cat>
          <c:val>
            <c:numRef>
              <c:f>Расчёты!$B$106:$B$125</c:f>
              <c:numCache>
                <c:formatCode>0.0</c:formatCode>
                <c:ptCount val="20"/>
              </c:numCache>
            </c:numRef>
          </c:val>
          <c:smooth val="0"/>
        </c:ser>
        <c:ser>
          <c:idx val="1"/>
          <c:order val="1"/>
          <c:tx>
            <c:strRef>
              <c:f>Расчёты!C105</c:f>
              <c:strCache>
                <c:ptCount val="1"/>
                <c:pt idx="0">
                  <c:v>Жим в тренажёре сидя (грудь)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Расчёты!$A$106:$A$125</c:f>
              <c:strCache>
                <c:ptCount val="20"/>
                <c:pt idx="0">
                  <c:v>29.09</c:v>
                </c:pt>
                <c:pt idx="1">
                  <c:v>06.10</c:v>
                </c:pt>
                <c:pt idx="2">
                  <c:v>13.10</c:v>
                </c:pt>
                <c:pt idx="3">
                  <c:v>20.10</c:v>
                </c:pt>
                <c:pt idx="4">
                  <c:v>27.10</c:v>
                </c:pt>
                <c:pt idx="5">
                  <c:v>03.11</c:v>
                </c:pt>
                <c:pt idx="6">
                  <c:v>10.11</c:v>
                </c:pt>
                <c:pt idx="7">
                  <c:v>17.11</c:v>
                </c:pt>
                <c:pt idx="8">
                  <c:v>24.11</c:v>
                </c:pt>
                <c:pt idx="9">
                  <c:v>01.12</c:v>
                </c:pt>
                <c:pt idx="10">
                  <c:v>08.12</c:v>
                </c:pt>
                <c:pt idx="11">
                  <c:v>15.12</c:v>
                </c:pt>
                <c:pt idx="12">
                  <c:v>22.12</c:v>
                </c:pt>
                <c:pt idx="13">
                  <c:v>29.12</c:v>
                </c:pt>
                <c:pt idx="14">
                  <c:v>05.01</c:v>
                </c:pt>
                <c:pt idx="15">
                  <c:v>12.01</c:v>
                </c:pt>
                <c:pt idx="16">
                  <c:v>19.01</c:v>
                </c:pt>
                <c:pt idx="17">
                  <c:v>26.01</c:v>
                </c:pt>
                <c:pt idx="18">
                  <c:v>02.02</c:v>
                </c:pt>
                <c:pt idx="19">
                  <c:v>09.02</c:v>
                </c:pt>
              </c:strCache>
            </c:strRef>
          </c:cat>
          <c:val>
            <c:numRef>
              <c:f>Расчёты!$C$106:$C$125</c:f>
              <c:numCache>
                <c:formatCode>0.0</c:formatCode>
                <c:ptCount val="20"/>
              </c:numCache>
            </c:numRef>
          </c:val>
          <c:smooth val="0"/>
        </c:ser>
        <c:ser>
          <c:idx val="2"/>
          <c:order val="2"/>
          <c:tx>
            <c:strRef>
              <c:f>Расчёты!D105</c:f>
              <c:strCache>
                <c:ptCount val="1"/>
                <c:pt idx="0">
                  <c:v>Тяга верхнего блока (узкий/нейтральный хват)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Расчёты!$A$106:$A$125</c:f>
              <c:strCache>
                <c:ptCount val="20"/>
                <c:pt idx="0">
                  <c:v>29.09</c:v>
                </c:pt>
                <c:pt idx="1">
                  <c:v>06.10</c:v>
                </c:pt>
                <c:pt idx="2">
                  <c:v>13.10</c:v>
                </c:pt>
                <c:pt idx="3">
                  <c:v>20.10</c:v>
                </c:pt>
                <c:pt idx="4">
                  <c:v>27.10</c:v>
                </c:pt>
                <c:pt idx="5">
                  <c:v>03.11</c:v>
                </c:pt>
                <c:pt idx="6">
                  <c:v>10.11</c:v>
                </c:pt>
                <c:pt idx="7">
                  <c:v>17.11</c:v>
                </c:pt>
                <c:pt idx="8">
                  <c:v>24.11</c:v>
                </c:pt>
                <c:pt idx="9">
                  <c:v>01.12</c:v>
                </c:pt>
                <c:pt idx="10">
                  <c:v>08.12</c:v>
                </c:pt>
                <c:pt idx="11">
                  <c:v>15.12</c:v>
                </c:pt>
                <c:pt idx="12">
                  <c:v>22.12</c:v>
                </c:pt>
                <c:pt idx="13">
                  <c:v>29.12</c:v>
                </c:pt>
                <c:pt idx="14">
                  <c:v>05.01</c:v>
                </c:pt>
                <c:pt idx="15">
                  <c:v>12.01</c:v>
                </c:pt>
                <c:pt idx="16">
                  <c:v>19.01</c:v>
                </c:pt>
                <c:pt idx="17">
                  <c:v>26.01</c:v>
                </c:pt>
                <c:pt idx="18">
                  <c:v>02.02</c:v>
                </c:pt>
                <c:pt idx="19">
                  <c:v>09.02</c:v>
                </c:pt>
              </c:strCache>
            </c:strRef>
          </c:cat>
          <c:val>
            <c:numRef>
              <c:f>Расчёты!$D$106:$D$125</c:f>
              <c:numCache>
                <c:formatCode>0.0</c:formatCode>
                <c:ptCount val="20"/>
              </c:numCache>
            </c:numRef>
          </c:val>
          <c:smooth val="0"/>
        </c:ser>
        <c:ser>
          <c:idx val="3"/>
          <c:order val="3"/>
          <c:tx>
            <c:strRef>
              <c:f>Расчёты!E105</c:f>
              <c:strCache>
                <c:ptCount val="1"/>
                <c:pt idx="0">
                  <c:v>Присед в Смите (ноги чуть вперёд)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5"/>
            <c:spPr>
              <a:solidFill>
                <a:srgbClr val="7d5fa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Расчёты!$A$106:$A$125</c:f>
              <c:strCache>
                <c:ptCount val="20"/>
                <c:pt idx="0">
                  <c:v>29.09</c:v>
                </c:pt>
                <c:pt idx="1">
                  <c:v>06.10</c:v>
                </c:pt>
                <c:pt idx="2">
                  <c:v>13.10</c:v>
                </c:pt>
                <c:pt idx="3">
                  <c:v>20.10</c:v>
                </c:pt>
                <c:pt idx="4">
                  <c:v>27.10</c:v>
                </c:pt>
                <c:pt idx="5">
                  <c:v>03.11</c:v>
                </c:pt>
                <c:pt idx="6">
                  <c:v>10.11</c:v>
                </c:pt>
                <c:pt idx="7">
                  <c:v>17.11</c:v>
                </c:pt>
                <c:pt idx="8">
                  <c:v>24.11</c:v>
                </c:pt>
                <c:pt idx="9">
                  <c:v>01.12</c:v>
                </c:pt>
                <c:pt idx="10">
                  <c:v>08.12</c:v>
                </c:pt>
                <c:pt idx="11">
                  <c:v>15.12</c:v>
                </c:pt>
                <c:pt idx="12">
                  <c:v>22.12</c:v>
                </c:pt>
                <c:pt idx="13">
                  <c:v>29.12</c:v>
                </c:pt>
                <c:pt idx="14">
                  <c:v>05.01</c:v>
                </c:pt>
                <c:pt idx="15">
                  <c:v>12.01</c:v>
                </c:pt>
                <c:pt idx="16">
                  <c:v>19.01</c:v>
                </c:pt>
                <c:pt idx="17">
                  <c:v>26.01</c:v>
                </c:pt>
                <c:pt idx="18">
                  <c:v>02.02</c:v>
                </c:pt>
                <c:pt idx="19">
                  <c:v>09.02</c:v>
                </c:pt>
              </c:strCache>
            </c:strRef>
          </c:cat>
          <c:val>
            <c:numRef>
              <c:f>Расчёты!$E$106:$E$125</c:f>
              <c:numCache>
                <c:formatCode>0.0</c:formatCode>
                <c:ptCount val="20"/>
              </c:numCache>
            </c:numRef>
          </c:val>
          <c:smooth val="0"/>
        </c:ser>
        <c:ser>
          <c:idx val="4"/>
          <c:order val="4"/>
          <c:tx>
            <c:strRef>
              <c:f>Расчёты!F105</c:f>
              <c:strCache>
                <c:ptCount val="1"/>
                <c:pt idx="0">
                  <c:v>Разгибание ног сидя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circle"/>
            <c:size val="5"/>
            <c:spPr>
              <a:solidFill>
                <a:srgbClr val="46aa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Расчёты!$A$106:$A$125</c:f>
              <c:strCache>
                <c:ptCount val="20"/>
                <c:pt idx="0">
                  <c:v>29.09</c:v>
                </c:pt>
                <c:pt idx="1">
                  <c:v>06.10</c:v>
                </c:pt>
                <c:pt idx="2">
                  <c:v>13.10</c:v>
                </c:pt>
                <c:pt idx="3">
                  <c:v>20.10</c:v>
                </c:pt>
                <c:pt idx="4">
                  <c:v>27.10</c:v>
                </c:pt>
                <c:pt idx="5">
                  <c:v>03.11</c:v>
                </c:pt>
                <c:pt idx="6">
                  <c:v>10.11</c:v>
                </c:pt>
                <c:pt idx="7">
                  <c:v>17.11</c:v>
                </c:pt>
                <c:pt idx="8">
                  <c:v>24.11</c:v>
                </c:pt>
                <c:pt idx="9">
                  <c:v>01.12</c:v>
                </c:pt>
                <c:pt idx="10">
                  <c:v>08.12</c:v>
                </c:pt>
                <c:pt idx="11">
                  <c:v>15.12</c:v>
                </c:pt>
                <c:pt idx="12">
                  <c:v>22.12</c:v>
                </c:pt>
                <c:pt idx="13">
                  <c:v>29.12</c:v>
                </c:pt>
                <c:pt idx="14">
                  <c:v>05.01</c:v>
                </c:pt>
                <c:pt idx="15">
                  <c:v>12.01</c:v>
                </c:pt>
                <c:pt idx="16">
                  <c:v>19.01</c:v>
                </c:pt>
                <c:pt idx="17">
                  <c:v>26.01</c:v>
                </c:pt>
                <c:pt idx="18">
                  <c:v>02.02</c:v>
                </c:pt>
                <c:pt idx="19">
                  <c:v>09.02</c:v>
                </c:pt>
              </c:strCache>
            </c:strRef>
          </c:cat>
          <c:val>
            <c:numRef>
              <c:f>Расчёты!$F$106:$F$125</c:f>
              <c:numCache>
                <c:formatCode>0.0</c:formatCode>
                <c:ptCount val="2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537676"/>
        <c:axId val="89191206"/>
      </c:lineChart>
      <c:catAx>
        <c:axId val="65537676"/>
        <c:scaling>
          <c:orientation val="minMax"/>
        </c:scaling>
        <c:delete val="0"/>
        <c:axPos val="b"/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91206"/>
        <c:crosses val="autoZero"/>
        <c:auto val="1"/>
        <c:lblAlgn val="ctr"/>
        <c:lblOffset val="100"/>
        <c:noMultiLvlLbl val="0"/>
      </c:catAx>
      <c:valAx>
        <c:axId val="891912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кг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376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44</xdr:row>
      <xdr:rowOff>170280</xdr:rowOff>
    </xdr:from>
    <xdr:to>
      <xdr:col>5</xdr:col>
      <xdr:colOff>815400</xdr:colOff>
      <xdr:row>59</xdr:row>
      <xdr:rowOff>1440</xdr:rowOff>
    </xdr:to>
    <xdr:graphicFrame>
      <xdr:nvGraphicFramePr>
        <xdr:cNvPr id="0" name="Chart 1"/>
        <xdr:cNvGraphicFramePr/>
      </xdr:nvGraphicFramePr>
      <xdr:xfrm>
        <a:off x="0" y="11476440"/>
        <a:ext cx="86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61</xdr:row>
      <xdr:rowOff>170280</xdr:rowOff>
    </xdr:from>
    <xdr:to>
      <xdr:col>5</xdr:col>
      <xdr:colOff>815400</xdr:colOff>
      <xdr:row>77</xdr:row>
      <xdr:rowOff>1440</xdr:rowOff>
    </xdr:to>
    <xdr:graphicFrame>
      <xdr:nvGraphicFramePr>
        <xdr:cNvPr id="1" name="Chart 2"/>
        <xdr:cNvGraphicFramePr/>
      </xdr:nvGraphicFramePr>
      <xdr:xfrm>
        <a:off x="0" y="14905440"/>
        <a:ext cx="86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79</xdr:row>
      <xdr:rowOff>170280</xdr:rowOff>
    </xdr:from>
    <xdr:to>
      <xdr:col>5</xdr:col>
      <xdr:colOff>815400</xdr:colOff>
      <xdr:row>95</xdr:row>
      <xdr:rowOff>1440</xdr:rowOff>
    </xdr:to>
    <xdr:graphicFrame>
      <xdr:nvGraphicFramePr>
        <xdr:cNvPr id="2" name="Chart 3"/>
        <xdr:cNvGraphicFramePr/>
      </xdr:nvGraphicFramePr>
      <xdr:xfrm>
        <a:off x="0" y="18334440"/>
        <a:ext cx="86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97</xdr:row>
      <xdr:rowOff>170280</xdr:rowOff>
    </xdr:from>
    <xdr:to>
      <xdr:col>5</xdr:col>
      <xdr:colOff>815400</xdr:colOff>
      <xdr:row>113</xdr:row>
      <xdr:rowOff>1440</xdr:rowOff>
    </xdr:to>
    <xdr:graphicFrame>
      <xdr:nvGraphicFramePr>
        <xdr:cNvPr id="3" name="Chart 4"/>
        <xdr:cNvGraphicFramePr/>
      </xdr:nvGraphicFramePr>
      <xdr:xfrm>
        <a:off x="0" y="21763440"/>
        <a:ext cx="86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5" min="3" style="1" width="11"/>
    <col collapsed="false" customWidth="true" hidden="false" outlineLevel="0" max="7" min="6" style="1" width="12"/>
    <col collapsed="false" customWidth="true" hidden="false" outlineLevel="0" max="8" min="8" style="1" width="11"/>
    <col collapsed="false" customWidth="true" hidden="false" outlineLevel="0" max="9" min="9" style="1" width="26"/>
    <col collapsed="false" customWidth="true" hidden="false" outlineLevel="0" max="10" min="10" style="1" width="11"/>
    <col collapsed="false" customWidth="true" hidden="false" outlineLevel="0" max="12" min="11" style="1" width="12"/>
    <col collapsed="false" customWidth="true" hidden="false" outlineLevel="0" max="13" min="13" style="1" width="13"/>
    <col collapsed="false" customWidth="true" hidden="false" outlineLevel="0" max="14" min="14" style="1" width="14"/>
    <col collapsed="false" customWidth="true" hidden="false" outlineLevel="0" max="15" min="15" style="1" width="12"/>
    <col collapsed="false" customWidth="true" hidden="false" outlineLevel="0" max="16" min="16" style="1" width="11"/>
    <col collapsed="false" customWidth="true" hidden="false" outlineLevel="0" max="17" min="17" style="1" width="12"/>
    <col collapsed="false" customWidth="true" hidden="false" outlineLevel="0" max="18" min="18" style="1" width="15"/>
    <col collapsed="false" customWidth="true" hidden="false" outlineLevel="0" max="19" min="19" style="1" width="11"/>
    <col collapsed="false" customWidth="true" hidden="false" outlineLevel="0" max="20" min="20" style="1" width="13"/>
  </cols>
  <sheetData>
    <row r="1" customFormat="false" ht="17.25" hidden="false" customHeight="true" outlineLevel="0" collapsed="false">
      <c r="A1" s="2" t="s">
        <v>0</v>
      </c>
    </row>
    <row r="2" customFormat="false" ht="37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" t="n">
        <v>46294</v>
      </c>
      <c r="B3" s="5" t="n">
        <v>82.5</v>
      </c>
      <c r="C3" s="5" t="n">
        <v>2180</v>
      </c>
      <c r="D3" s="5" t="n">
        <v>165</v>
      </c>
      <c r="E3" s="5" t="n">
        <v>70</v>
      </c>
      <c r="F3" s="5" t="n">
        <v>225</v>
      </c>
      <c r="G3" s="5" t="n">
        <v>30</v>
      </c>
      <c r="H3" s="5" t="n">
        <v>2.8</v>
      </c>
      <c r="I3" s="5" t="s">
        <v>2</v>
      </c>
    </row>
    <row r="5" customFormat="false" ht="23.25" hidden="false" customHeight="true" outlineLevel="0" collapsed="false">
      <c r="A5" s="6" t="s">
        <v>3</v>
      </c>
      <c r="B5" s="6"/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</row>
    <row r="6" customFormat="false" ht="15" hidden="false" customHeight="true" outlineLevel="0" collapsed="false">
      <c r="A6" s="7" t="s">
        <v>10</v>
      </c>
      <c r="B6" s="7"/>
      <c r="C6" s="8" t="n">
        <f aca="false">TargetKcal</f>
        <v>2200</v>
      </c>
      <c r="D6" s="8" t="n">
        <f aca="false">TargetProtein</f>
        <v>165</v>
      </c>
      <c r="E6" s="8" t="n">
        <f aca="false">TargetFat</f>
        <v>70</v>
      </c>
      <c r="F6" s="8" t="n">
        <f aca="false">TargetCarb</f>
        <v>228</v>
      </c>
      <c r="G6" s="8" t="n">
        <f aca="false">TargetFiber</f>
        <v>30</v>
      </c>
      <c r="H6" s="9" t="n">
        <f aca="false">TargetWater</f>
        <v>2.8</v>
      </c>
    </row>
    <row r="7" customFormat="false" ht="15" hidden="false" customHeight="true" outlineLevel="0" collapsed="false">
      <c r="A7" s="7" t="s">
        <v>11</v>
      </c>
      <c r="B7" s="7"/>
      <c r="C7" s="8" t="n">
        <f aca="false">IF(LastFD=0,"",IFERROR(AVERAGEIFS(Питание!$C$14:$C$378,Питание!$A$14:$A$378,"&gt;"&amp;LastFD-7,Питание!$A$14:$A$378,"&lt;="&amp;LastFD,Питание!$C$14:$C$378,"&gt;0"),""))</f>
        <v>2140</v>
      </c>
      <c r="D7" s="8" t="n">
        <f aca="false">IF(LastFD=0,"",IFERROR(AVERAGEIFS(Питание!$D$14:$D$378,Питание!$A$14:$A$378,"&gt;"&amp;LastFD-7,Питание!$A$14:$A$378,"&lt;="&amp;LastFD,Питание!$D$14:$D$378,"&gt;0"),""))</f>
        <v>165</v>
      </c>
      <c r="E7" s="8" t="n">
        <f aca="false">IF(LastFD=0,"",IFERROR(AVERAGEIFS(Питание!$E$14:$E$378,Питание!$A$14:$A$378,"&gt;"&amp;LastFD-7,Питание!$A$14:$A$378,"&lt;="&amp;LastFD,Питание!$E$14:$E$378,"&gt;0"),""))</f>
        <v>70</v>
      </c>
      <c r="F7" s="8" t="n">
        <f aca="false">IF(LastFD=0,"",IFERROR(AVERAGEIFS(Питание!$F$14:$F$378,Питание!$A$14:$A$378,"&gt;"&amp;LastFD-7,Питание!$A$14:$A$378,"&lt;="&amp;LastFD,Питание!$F$14:$F$378,"&gt;0"),""))</f>
        <v>225</v>
      </c>
      <c r="G7" s="8" t="n">
        <f aca="false">IF(LastFD=0,"",IFERROR(AVERAGEIFS(Питание!$G$14:$G$378,Питание!$A$14:$A$378,"&gt;"&amp;LastFD-7,Питание!$A$14:$A$378,"&lt;="&amp;LastFD,Питание!$G$14:$G$378,"&gt;0"),""))</f>
        <v>30</v>
      </c>
      <c r="H7" s="9" t="n">
        <f aca="false">IF(LastFD=0,"",IFERROR(AVERAGEIFS(Питание!$H$14:$H$378,Питание!$A$14:$A$378,"&gt;"&amp;LastFD-7,Питание!$A$14:$A$378,"&lt;="&amp;LastFD,Питание!$H$14:$H$378,"&gt;0"),""))</f>
        <v>2.8</v>
      </c>
    </row>
    <row r="8" customFormat="false" ht="15" hidden="false" customHeight="true" outlineLevel="0" collapsed="false">
      <c r="A8" s="7" t="s">
        <v>12</v>
      </c>
      <c r="B8" s="7"/>
      <c r="C8" s="10" t="n">
        <f aca="false">IF(C7="","",C7-C6)</f>
        <v>-60</v>
      </c>
      <c r="D8" s="10" t="n">
        <f aca="false">IF(D7="","",D7-D6)</f>
        <v>0</v>
      </c>
      <c r="E8" s="10" t="n">
        <f aca="false">IF(E7="","",E7-E6)</f>
        <v>0</v>
      </c>
      <c r="F8" s="10" t="n">
        <f aca="false">IF(F7="","",F7-F6)</f>
        <v>-3</v>
      </c>
      <c r="G8" s="10" t="n">
        <f aca="false">IF(G7="","",G7-G6)</f>
        <v>0</v>
      </c>
      <c r="H8" s="11" t="n">
        <f aca="false">IF(H7="","",H7-H6)</f>
        <v>0</v>
      </c>
    </row>
    <row r="9" customFormat="false" ht="15" hidden="false" customHeight="true" outlineLevel="0" collapsed="false">
      <c r="A9" s="7" t="s">
        <v>13</v>
      </c>
      <c r="B9" s="7"/>
      <c r="C9" s="12" t="n">
        <f aca="false">IF(C7="","",C7/C6-1)</f>
        <v>-0.0272727272727272</v>
      </c>
      <c r="D9" s="12" t="n">
        <f aca="false">IF(D7="","",D7/D6-1)</f>
        <v>0</v>
      </c>
      <c r="E9" s="12" t="n">
        <f aca="false">IF(E7="","",E7/E6-1)</f>
        <v>0</v>
      </c>
      <c r="F9" s="12" t="n">
        <f aca="false">IF(F7="","",F7/F6-1)</f>
        <v>-0.0131578947368421</v>
      </c>
      <c r="G9" s="12" t="n">
        <f aca="false">IF(G7="","",G7/G6-1)</f>
        <v>0</v>
      </c>
      <c r="H9" s="12" t="n">
        <f aca="false">IF(H7="","",H7/H6-1)</f>
        <v>0</v>
      </c>
    </row>
    <row r="11" customFormat="false" ht="23.25" hidden="false" customHeight="true" outlineLevel="0" collapsed="false">
      <c r="A11" s="6" t="s">
        <v>14</v>
      </c>
      <c r="B11" s="6"/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</row>
    <row r="12" customFormat="false" ht="15" hidden="false" customHeight="true" outlineLevel="0" collapsed="false">
      <c r="A12" s="7" t="s">
        <v>21</v>
      </c>
      <c r="B12" s="7"/>
      <c r="C12" s="13" t="n">
        <f aca="false">IF(LastWD=0,"",IFERROR(AVERAGEIFS(Питание!$B$14:$B$378,Питание!$A$14:$A$378,"&gt;"&amp;LastWD-7,Питание!$A$14:$A$378,"&lt;="&amp;LastWD,Питание!$B$14:$B$378,"&gt;0"),""))</f>
        <v>82.34</v>
      </c>
      <c r="D12" s="14" t="str">
        <f aca="false">IF(C12="","",IFERROR(C12-AVERAGEIFS(Питание!$B$14:$B$378,Питание!$A$14:$A$378,"&gt;"&amp;LastWD-14,Питание!$A$14:$A$378,"&lt;="&amp;LastWD-7,Питание!$B$14:$B$378,"&gt;0"),""))</f>
        <v/>
      </c>
      <c r="E12" s="15" t="str">
        <f aca="false">IF(D12="","",D12/C12)</f>
        <v/>
      </c>
      <c r="F12" s="11" t="n">
        <f aca="false">IF(C12="","",C12-StartWeight)</f>
        <v>-0.159999999999997</v>
      </c>
      <c r="G12" s="13" t="n">
        <f aca="false">IF(LastWD=0,"",IFERROR(AVERAGEIFS(Питание!$B$14:$B$378,Питание!$A$14:$A$378,"&gt;"&amp;LastWD-30,Питание!$A$14:$A$378,"&lt;="&amp;LastWD,Питание!$B$14:$B$378,"&gt;0"),""))</f>
        <v>82.34</v>
      </c>
      <c r="H12" s="8" t="n">
        <f aca="false">COUNT(Питание!$B$14:$B$378)</f>
        <v>5</v>
      </c>
    </row>
    <row r="13" customFormat="false" ht="43.5" hidden="false" customHeight="true" outlineLevel="0" collapsed="false">
      <c r="A13" s="6" t="s">
        <v>22</v>
      </c>
      <c r="B13" s="6" t="s">
        <v>23</v>
      </c>
      <c r="C13" s="6" t="s">
        <v>4</v>
      </c>
      <c r="D13" s="6" t="s">
        <v>5</v>
      </c>
      <c r="E13" s="6" t="s">
        <v>6</v>
      </c>
      <c r="F13" s="6" t="s">
        <v>7</v>
      </c>
      <c r="G13" s="6" t="s">
        <v>8</v>
      </c>
      <c r="H13" s="6" t="s">
        <v>9</v>
      </c>
      <c r="I13" s="6" t="s">
        <v>24</v>
      </c>
      <c r="J13" s="6" t="s">
        <v>25</v>
      </c>
      <c r="K13" s="6" t="s">
        <v>26</v>
      </c>
      <c r="L13" s="6" t="s">
        <v>27</v>
      </c>
      <c r="M13" s="6" t="s">
        <v>28</v>
      </c>
      <c r="N13" s="6" t="s">
        <v>29</v>
      </c>
      <c r="O13" s="6" t="s">
        <v>15</v>
      </c>
      <c r="P13" s="6" t="s">
        <v>30</v>
      </c>
      <c r="Q13" s="6" t="s">
        <v>31</v>
      </c>
      <c r="R13" s="6" t="s">
        <v>32</v>
      </c>
      <c r="S13" s="6" t="s">
        <v>17</v>
      </c>
      <c r="T13" s="6" t="s">
        <v>33</v>
      </c>
    </row>
    <row r="14" customFormat="false" ht="15" hidden="false" customHeight="true" outlineLevel="0" collapsed="false">
      <c r="A14" s="16" t="n">
        <f aca="false">StartDate</f>
        <v>46294</v>
      </c>
      <c r="B14" s="17" t="n">
        <v>82.5</v>
      </c>
      <c r="C14" s="18" t="n">
        <v>2180</v>
      </c>
      <c r="D14" s="18" t="n">
        <v>165</v>
      </c>
      <c r="E14" s="18" t="n">
        <v>70</v>
      </c>
      <c r="F14" s="18" t="n">
        <v>225</v>
      </c>
      <c r="G14" s="18" t="n">
        <v>30</v>
      </c>
      <c r="H14" s="17" t="n">
        <v>2.8</v>
      </c>
      <c r="I14" s="19"/>
      <c r="J14" s="10" t="n">
        <f aca="false">IF(C14="","",C14-TargetKcal)</f>
        <v>-20</v>
      </c>
      <c r="K14" s="10" t="n">
        <f aca="false">IF(D14="","",D14-TargetProtein)</f>
        <v>0</v>
      </c>
      <c r="L14" s="10" t="n">
        <f aca="false">IF(E14="","",E14-TargetFat)</f>
        <v>0</v>
      </c>
      <c r="M14" s="10" t="n">
        <f aca="false">IF(F14="","",F14-TargetCarb)</f>
        <v>-3</v>
      </c>
      <c r="N14" s="10" t="n">
        <f aca="false">IF(COUNT(C14:F14)&lt;4,"",ROUND(4*D14+9*E14+4*F14-C14,0))</f>
        <v>10</v>
      </c>
      <c r="O14" s="13" t="n">
        <f aca="false">IF(B14="","",IFERROR(AVERAGEIFS(Питание!$B$14:$B$378,Питание!$A$14:$A$378,"&gt;"&amp;$A14-7,Питание!$A$14:$A$378,"&lt;="&amp;$A14,Питание!$B$14:$B$378,"&gt;0"),""))</f>
        <v>82.5</v>
      </c>
      <c r="P14" s="8" t="n">
        <f aca="false">IF(C14="","",IFERROR(AVERAGEIFS(Питание!$C$14:$C$378,Питание!$A$14:$A$378,"&gt;"&amp;$A14-7,Питание!$A$14:$A$378,"&lt;="&amp;$A14,Питание!$C$14:$C$378,"&gt;0"),""))</f>
        <v>2180</v>
      </c>
      <c r="Q14" s="8" t="n">
        <f aca="false">IF(D14="","",IFERROR(AVERAGEIFS(Питание!$D$14:$D$378,Питание!$A$14:$A$378,"&gt;"&amp;$A14-7,Питание!$A$14:$A$378,"&lt;="&amp;$A14,Питание!$D$14:$D$378,"&gt;0"),""))</f>
        <v>165</v>
      </c>
      <c r="R14" s="14" t="str">
        <f aca="false">IF(O14="","",IFERROR(O14-AVERAGEIFS(Питание!$B$14:$B$378,Питание!$A$14:$A$378,"&gt;"&amp;$A14-14,Питание!$A$14:$A$378,"&lt;="&amp;$A14-7,Питание!$B$14:$B$378,"&gt;0"),""))</f>
        <v/>
      </c>
      <c r="S14" s="15" t="str">
        <f aca="false">IF(R14="","",R14/O14)</f>
        <v/>
      </c>
      <c r="T14" s="11" t="n">
        <f aca="false">IF(O14="","",O14-StartWeight)</f>
        <v>0</v>
      </c>
    </row>
    <row r="15" customFormat="false" ht="15" hidden="false" customHeight="true" outlineLevel="0" collapsed="false">
      <c r="A15" s="16" t="n">
        <f aca="false">A14+1</f>
        <v>46295</v>
      </c>
      <c r="B15" s="17" t="n">
        <v>82.3</v>
      </c>
      <c r="C15" s="18" t="n">
        <v>2160</v>
      </c>
      <c r="D15" s="18" t="n">
        <v>165</v>
      </c>
      <c r="E15" s="18" t="n">
        <v>70</v>
      </c>
      <c r="F15" s="18" t="n">
        <v>225</v>
      </c>
      <c r="G15" s="18" t="n">
        <v>30</v>
      </c>
      <c r="H15" s="17" t="n">
        <v>2.8</v>
      </c>
      <c r="I15" s="19"/>
      <c r="J15" s="10" t="n">
        <f aca="false">IF(C15="","",C15-TargetKcal)</f>
        <v>-40</v>
      </c>
      <c r="K15" s="10" t="n">
        <f aca="false">IF(D15="","",D15-TargetProtein)</f>
        <v>0</v>
      </c>
      <c r="L15" s="10" t="n">
        <f aca="false">IF(E15="","",E15-TargetFat)</f>
        <v>0</v>
      </c>
      <c r="M15" s="10" t="n">
        <f aca="false">IF(F15="","",F15-TargetCarb)</f>
        <v>-3</v>
      </c>
      <c r="N15" s="10" t="n">
        <f aca="false">IF(COUNT(C15:F15)&lt;4,"",ROUND(4*D15+9*E15+4*F15-C15,0))</f>
        <v>30</v>
      </c>
      <c r="O15" s="13" t="n">
        <f aca="false">IF(B15="","",IFERROR(AVERAGEIFS(Питание!$B$14:$B$378,Питание!$A$14:$A$378,"&gt;"&amp;$A15-7,Питание!$A$14:$A$378,"&lt;="&amp;$A15,Питание!$B$14:$B$378,"&gt;0"),""))</f>
        <v>82.4</v>
      </c>
      <c r="P15" s="8" t="n">
        <f aca="false">IF(C15="","",IFERROR(AVERAGEIFS(Питание!$C$14:$C$378,Питание!$A$14:$A$378,"&gt;"&amp;$A15-7,Питание!$A$14:$A$378,"&lt;="&amp;$A15,Питание!$C$14:$C$378,"&gt;0"),""))</f>
        <v>2170</v>
      </c>
      <c r="Q15" s="8" t="n">
        <f aca="false">IF(D15="","",IFERROR(AVERAGEIFS(Питание!$D$14:$D$378,Питание!$A$14:$A$378,"&gt;"&amp;$A15-7,Питание!$A$14:$A$378,"&lt;="&amp;$A15,Питание!$D$14:$D$378,"&gt;0"),""))</f>
        <v>165</v>
      </c>
      <c r="R15" s="14" t="str">
        <f aca="false">IF(O15="","",IFERROR(O15-AVERAGEIFS(Питание!$B$14:$B$378,Питание!$A$14:$A$378,"&gt;"&amp;$A15-14,Питание!$A$14:$A$378,"&lt;="&amp;$A15-7,Питание!$B$14:$B$378,"&gt;0"),""))</f>
        <v/>
      </c>
      <c r="S15" s="15" t="str">
        <f aca="false">IF(R15="","",R15/O15)</f>
        <v/>
      </c>
      <c r="T15" s="11" t="n">
        <f aca="false">IF(O15="","",O15-StartWeight)</f>
        <v>-0.0999999999999943</v>
      </c>
    </row>
    <row r="16" customFormat="false" ht="15" hidden="false" customHeight="true" outlineLevel="0" collapsed="false">
      <c r="A16" s="16" t="n">
        <f aca="false">A15+1</f>
        <v>46296</v>
      </c>
      <c r="B16" s="17" t="n">
        <v>82.6</v>
      </c>
      <c r="C16" s="18" t="n">
        <v>2140</v>
      </c>
      <c r="D16" s="18" t="n">
        <v>165</v>
      </c>
      <c r="E16" s="18" t="n">
        <v>70</v>
      </c>
      <c r="F16" s="18" t="n">
        <v>225</v>
      </c>
      <c r="G16" s="18" t="n">
        <v>30</v>
      </c>
      <c r="H16" s="17" t="n">
        <v>2.8</v>
      </c>
      <c r="I16" s="19"/>
      <c r="J16" s="10" t="n">
        <f aca="false">IF(C16="","",C16-TargetKcal)</f>
        <v>-60</v>
      </c>
      <c r="K16" s="10" t="n">
        <f aca="false">IF(D16="","",D16-TargetProtein)</f>
        <v>0</v>
      </c>
      <c r="L16" s="10" t="n">
        <f aca="false">IF(E16="","",E16-TargetFat)</f>
        <v>0</v>
      </c>
      <c r="M16" s="10" t="n">
        <f aca="false">IF(F16="","",F16-TargetCarb)</f>
        <v>-3</v>
      </c>
      <c r="N16" s="10" t="n">
        <f aca="false">IF(COUNT(C16:F16)&lt;4,"",ROUND(4*D16+9*E16+4*F16-C16,0))</f>
        <v>50</v>
      </c>
      <c r="O16" s="13" t="n">
        <f aca="false">IF(B16="","",IFERROR(AVERAGEIFS(Питание!$B$14:$B$378,Питание!$A$14:$A$378,"&gt;"&amp;$A16-7,Питание!$A$14:$A$378,"&lt;="&amp;$A16,Питание!$B$14:$B$378,"&gt;0"),""))</f>
        <v>82.4666666666667</v>
      </c>
      <c r="P16" s="8" t="n">
        <f aca="false">IF(C16="","",IFERROR(AVERAGEIFS(Питание!$C$14:$C$378,Питание!$A$14:$A$378,"&gt;"&amp;$A16-7,Питание!$A$14:$A$378,"&lt;="&amp;$A16,Питание!$C$14:$C$378,"&gt;0"),""))</f>
        <v>2160</v>
      </c>
      <c r="Q16" s="8" t="n">
        <f aca="false">IF(D16="","",IFERROR(AVERAGEIFS(Питание!$D$14:$D$378,Питание!$A$14:$A$378,"&gt;"&amp;$A16-7,Питание!$A$14:$A$378,"&lt;="&amp;$A16,Питание!$D$14:$D$378,"&gt;0"),""))</f>
        <v>165</v>
      </c>
      <c r="R16" s="14" t="str">
        <f aca="false">IF(O16="","",IFERROR(O16-AVERAGEIFS(Питание!$B$14:$B$378,Питание!$A$14:$A$378,"&gt;"&amp;$A16-14,Питание!$A$14:$A$378,"&lt;="&amp;$A16-7,Питание!$B$14:$B$378,"&gt;0"),""))</f>
        <v/>
      </c>
      <c r="S16" s="15" t="str">
        <f aca="false">IF(R16="","",R16/O16)</f>
        <v/>
      </c>
      <c r="T16" s="11" t="n">
        <f aca="false">IF(O16="","",O16-StartWeight)</f>
        <v>-0.0333333333333457</v>
      </c>
    </row>
    <row r="17" customFormat="false" ht="15" hidden="false" customHeight="true" outlineLevel="0" collapsed="false">
      <c r="A17" s="16" t="n">
        <f aca="false">A16+1</f>
        <v>46297</v>
      </c>
      <c r="B17" s="17" t="n">
        <v>82.2</v>
      </c>
      <c r="C17" s="18" t="n">
        <v>2120</v>
      </c>
      <c r="D17" s="18" t="n">
        <v>165</v>
      </c>
      <c r="E17" s="18" t="n">
        <v>70</v>
      </c>
      <c r="F17" s="18" t="n">
        <v>225</v>
      </c>
      <c r="G17" s="18" t="n">
        <v>30</v>
      </c>
      <c r="H17" s="17" t="n">
        <v>2.8</v>
      </c>
      <c r="I17" s="19"/>
      <c r="J17" s="10" t="n">
        <f aca="false">IF(C17="","",C17-TargetKcal)</f>
        <v>-80</v>
      </c>
      <c r="K17" s="10" t="n">
        <f aca="false">IF(D17="","",D17-TargetProtein)</f>
        <v>0</v>
      </c>
      <c r="L17" s="10" t="n">
        <f aca="false">IF(E17="","",E17-TargetFat)</f>
        <v>0</v>
      </c>
      <c r="M17" s="10" t="n">
        <f aca="false">IF(F17="","",F17-TargetCarb)</f>
        <v>-3</v>
      </c>
      <c r="N17" s="10" t="n">
        <f aca="false">IF(COUNT(C17:F17)&lt;4,"",ROUND(4*D17+9*E17+4*F17-C17,0))</f>
        <v>70</v>
      </c>
      <c r="O17" s="13" t="n">
        <f aca="false">IF(B17="","",IFERROR(AVERAGEIFS(Питание!$B$14:$B$378,Питание!$A$14:$A$378,"&gt;"&amp;$A17-7,Питание!$A$14:$A$378,"&lt;="&amp;$A17,Питание!$B$14:$B$378,"&gt;0"),""))</f>
        <v>82.4</v>
      </c>
      <c r="P17" s="8" t="n">
        <f aca="false">IF(C17="","",IFERROR(AVERAGEIFS(Питание!$C$14:$C$378,Питание!$A$14:$A$378,"&gt;"&amp;$A17-7,Питание!$A$14:$A$378,"&lt;="&amp;$A17,Питание!$C$14:$C$378,"&gt;0"),""))</f>
        <v>2150</v>
      </c>
      <c r="Q17" s="8" t="n">
        <f aca="false">IF(D17="","",IFERROR(AVERAGEIFS(Питание!$D$14:$D$378,Питание!$A$14:$A$378,"&gt;"&amp;$A17-7,Питание!$A$14:$A$378,"&lt;="&amp;$A17,Питание!$D$14:$D$378,"&gt;0"),""))</f>
        <v>165</v>
      </c>
      <c r="R17" s="14" t="str">
        <f aca="false">IF(O17="","",IFERROR(O17-AVERAGEIFS(Питание!$B$14:$B$378,Питание!$A$14:$A$378,"&gt;"&amp;$A17-14,Питание!$A$14:$A$378,"&lt;="&amp;$A17-7,Питание!$B$14:$B$378,"&gt;0"),""))</f>
        <v/>
      </c>
      <c r="S17" s="15" t="str">
        <f aca="false">IF(R17="","",R17/O17)</f>
        <v/>
      </c>
      <c r="T17" s="11" t="n">
        <f aca="false">IF(O17="","",O17-StartWeight)</f>
        <v>-0.0999999999999943</v>
      </c>
    </row>
    <row r="18" customFormat="false" ht="15" hidden="false" customHeight="true" outlineLevel="0" collapsed="false">
      <c r="A18" s="16" t="n">
        <f aca="false">A17+1</f>
        <v>46298</v>
      </c>
      <c r="B18" s="17" t="n">
        <v>82.1</v>
      </c>
      <c r="C18" s="18" t="n">
        <v>2100</v>
      </c>
      <c r="D18" s="18" t="n">
        <v>165</v>
      </c>
      <c r="E18" s="18" t="n">
        <v>70</v>
      </c>
      <c r="F18" s="18" t="n">
        <v>225</v>
      </c>
      <c r="G18" s="18" t="n">
        <v>30</v>
      </c>
      <c r="H18" s="17" t="n">
        <v>2.8</v>
      </c>
      <c r="I18" s="19"/>
      <c r="J18" s="10" t="n">
        <f aca="false">IF(C18="","",C18-TargetKcal)</f>
        <v>-100</v>
      </c>
      <c r="K18" s="10" t="n">
        <f aca="false">IF(D18="","",D18-TargetProtein)</f>
        <v>0</v>
      </c>
      <c r="L18" s="10" t="n">
        <f aca="false">IF(E18="","",E18-TargetFat)</f>
        <v>0</v>
      </c>
      <c r="M18" s="10" t="n">
        <f aca="false">IF(F18="","",F18-TargetCarb)</f>
        <v>-3</v>
      </c>
      <c r="N18" s="10" t="n">
        <f aca="false">IF(COUNT(C18:F18)&lt;4,"",ROUND(4*D18+9*E18+4*F18-C18,0))</f>
        <v>90</v>
      </c>
      <c r="O18" s="13" t="n">
        <f aca="false">IF(B18="","",IFERROR(AVERAGEIFS(Питание!$B$14:$B$378,Питание!$A$14:$A$378,"&gt;"&amp;$A18-7,Питание!$A$14:$A$378,"&lt;="&amp;$A18,Питание!$B$14:$B$378,"&gt;0"),""))</f>
        <v>82.34</v>
      </c>
      <c r="P18" s="8" t="n">
        <f aca="false">IF(C18="","",IFERROR(AVERAGEIFS(Питание!$C$14:$C$378,Питание!$A$14:$A$378,"&gt;"&amp;$A18-7,Питание!$A$14:$A$378,"&lt;="&amp;$A18,Питание!$C$14:$C$378,"&gt;0"),""))</f>
        <v>2140</v>
      </c>
      <c r="Q18" s="8" t="n">
        <f aca="false">IF(D18="","",IFERROR(AVERAGEIFS(Питание!$D$14:$D$378,Питание!$A$14:$A$378,"&gt;"&amp;$A18-7,Питание!$A$14:$A$378,"&lt;="&amp;$A18,Питание!$D$14:$D$378,"&gt;0"),""))</f>
        <v>165</v>
      </c>
      <c r="R18" s="14" t="str">
        <f aca="false">IF(O18="","",IFERROR(O18-AVERAGEIFS(Питание!$B$14:$B$378,Питание!$A$14:$A$378,"&gt;"&amp;$A18-14,Питание!$A$14:$A$378,"&lt;="&amp;$A18-7,Питание!$B$14:$B$378,"&gt;0"),""))</f>
        <v/>
      </c>
      <c r="S18" s="15" t="str">
        <f aca="false">IF(R18="","",R18/O18)</f>
        <v/>
      </c>
      <c r="T18" s="11" t="n">
        <f aca="false">IF(O18="","",O18-StartWeight)</f>
        <v>-0.159999999999997</v>
      </c>
    </row>
    <row r="19" customFormat="false" ht="15" hidden="false" customHeight="true" outlineLevel="0" collapsed="false">
      <c r="A19" s="16" t="n">
        <f aca="false">A18+1</f>
        <v>46299</v>
      </c>
      <c r="B19" s="17" t="s">
        <v>34</v>
      </c>
      <c r="C19" s="18"/>
      <c r="D19" s="18"/>
      <c r="E19" s="18"/>
      <c r="F19" s="18"/>
      <c r="G19" s="18"/>
      <c r="H19" s="17"/>
      <c r="I19" s="19"/>
      <c r="J19" s="10" t="str">
        <f aca="false">IF(C19="","",C19-TargetKcal)</f>
        <v/>
      </c>
      <c r="K19" s="10" t="str">
        <f aca="false">IF(D19="","",D19-TargetProtein)</f>
        <v/>
      </c>
      <c r="L19" s="10" t="str">
        <f aca="false">IF(E19="","",E19-TargetFat)</f>
        <v/>
      </c>
      <c r="M19" s="10" t="str">
        <f aca="false">IF(F19="","",F19-TargetCarb)</f>
        <v/>
      </c>
      <c r="N19" s="10" t="str">
        <f aca="false">IF(COUNT(C19:F19)&lt;4,"",ROUND(4*D19+9*E19+4*F19-C19,0))</f>
        <v/>
      </c>
      <c r="O19" s="13" t="n">
        <f aca="false">IF(B19="","",IFERROR(AVERAGEIFS(Питание!$B$14:$B$378,Питание!$A$14:$A$378,"&gt;"&amp;$A19-7,Питание!$A$14:$A$378,"&lt;="&amp;$A19,Питание!$B$14:$B$378,"&gt;0"),""))</f>
        <v>82.34</v>
      </c>
      <c r="P19" s="8" t="str">
        <f aca="false">IF(C19="","",IFERROR(AVERAGEIFS(Питание!$C$14:$C$378,Питание!$A$14:$A$378,"&gt;"&amp;$A19-7,Питание!$A$14:$A$378,"&lt;="&amp;$A19,Питание!$C$14:$C$378,"&gt;0"),""))</f>
        <v/>
      </c>
      <c r="Q19" s="8" t="str">
        <f aca="false">IF(D19="","",IFERROR(AVERAGEIFS(Питание!$D$14:$D$378,Питание!$A$14:$A$378,"&gt;"&amp;$A19-7,Питание!$A$14:$A$378,"&lt;="&amp;$A19,Питание!$D$14:$D$378,"&gt;0"),""))</f>
        <v/>
      </c>
      <c r="R19" s="14" t="str">
        <f aca="false">IF(O19="","",IFERROR(O19-AVERAGEIFS(Питание!$B$14:$B$378,Питание!$A$14:$A$378,"&gt;"&amp;$A19-14,Питание!$A$14:$A$378,"&lt;="&amp;$A19-7,Питание!$B$14:$B$378,"&gt;0"),""))</f>
        <v/>
      </c>
      <c r="S19" s="15" t="str">
        <f aca="false">IF(R19="","",R19/O19)</f>
        <v/>
      </c>
      <c r="T19" s="11" t="n">
        <f aca="false">IF(O19="","",O19-StartWeight)</f>
        <v>-0.159999999999997</v>
      </c>
    </row>
    <row r="20" customFormat="false" ht="15" hidden="false" customHeight="true" outlineLevel="0" collapsed="false">
      <c r="A20" s="16" t="n">
        <f aca="false">A19+1</f>
        <v>46300</v>
      </c>
      <c r="B20" s="17"/>
      <c r="C20" s="18"/>
      <c r="D20" s="18"/>
      <c r="E20" s="18"/>
      <c r="F20" s="18"/>
      <c r="G20" s="18"/>
      <c r="H20" s="17"/>
      <c r="I20" s="19"/>
      <c r="J20" s="10" t="str">
        <f aca="false">IF(C20="","",C20-TargetKcal)</f>
        <v/>
      </c>
      <c r="K20" s="10" t="str">
        <f aca="false">IF(D20="","",D20-TargetProtein)</f>
        <v/>
      </c>
      <c r="L20" s="10" t="str">
        <f aca="false">IF(E20="","",E20-TargetFat)</f>
        <v/>
      </c>
      <c r="M20" s="10" t="str">
        <f aca="false">IF(F20="","",F20-TargetCarb)</f>
        <v/>
      </c>
      <c r="N20" s="10" t="str">
        <f aca="false">IF(COUNT(C20:F20)&lt;4,"",ROUND(4*D20+9*E20+4*F20-C20,0))</f>
        <v/>
      </c>
      <c r="O20" s="13" t="str">
        <f aca="false">IF(B20="","",IFERROR(AVERAGEIFS(Питание!$B$14:$B$378,Питание!$A$14:$A$378,"&gt;"&amp;$A20-7,Питание!$A$14:$A$378,"&lt;="&amp;$A20,Питание!$B$14:$B$378,"&gt;0"),""))</f>
        <v/>
      </c>
      <c r="P20" s="8" t="str">
        <f aca="false">IF(C20="","",IFERROR(AVERAGEIFS(Питание!$C$14:$C$378,Питание!$A$14:$A$378,"&gt;"&amp;$A20-7,Питание!$A$14:$A$378,"&lt;="&amp;$A20,Питание!$C$14:$C$378,"&gt;0"),""))</f>
        <v/>
      </c>
      <c r="Q20" s="8" t="str">
        <f aca="false">IF(D20="","",IFERROR(AVERAGEIFS(Питание!$D$14:$D$378,Питание!$A$14:$A$378,"&gt;"&amp;$A20-7,Питание!$A$14:$A$378,"&lt;="&amp;$A20,Питание!$D$14:$D$378,"&gt;0"),""))</f>
        <v/>
      </c>
      <c r="R20" s="14" t="str">
        <f aca="false">IF(O20="","",IFERROR(O20-AVERAGEIFS(Питание!$B$14:$B$378,Питание!$A$14:$A$378,"&gt;"&amp;$A20-14,Питание!$A$14:$A$378,"&lt;="&amp;$A20-7,Питание!$B$14:$B$378,"&gt;0"),""))</f>
        <v/>
      </c>
      <c r="S20" s="15" t="str">
        <f aca="false">IF(R20="","",R20/O20)</f>
        <v/>
      </c>
      <c r="T20" s="11" t="str">
        <f aca="false">IF(O20="","",O20-StartWeight)</f>
        <v/>
      </c>
    </row>
    <row r="21" customFormat="false" ht="15" hidden="false" customHeight="true" outlineLevel="0" collapsed="false">
      <c r="A21" s="16" t="n">
        <f aca="false">A20+1</f>
        <v>46301</v>
      </c>
      <c r="B21" s="17"/>
      <c r="C21" s="18"/>
      <c r="D21" s="18"/>
      <c r="E21" s="18"/>
      <c r="F21" s="18"/>
      <c r="G21" s="18"/>
      <c r="H21" s="17"/>
      <c r="I21" s="19"/>
      <c r="J21" s="10" t="str">
        <f aca="false">IF(C21="","",C21-TargetKcal)</f>
        <v/>
      </c>
      <c r="K21" s="10" t="str">
        <f aca="false">IF(D21="","",D21-TargetProtein)</f>
        <v/>
      </c>
      <c r="L21" s="10" t="str">
        <f aca="false">IF(E21="","",E21-TargetFat)</f>
        <v/>
      </c>
      <c r="M21" s="10" t="str">
        <f aca="false">IF(F21="","",F21-TargetCarb)</f>
        <v/>
      </c>
      <c r="N21" s="10" t="str">
        <f aca="false">IF(COUNT(C21:F21)&lt;4,"",ROUND(4*D21+9*E21+4*F21-C21,0))</f>
        <v/>
      </c>
      <c r="O21" s="13" t="str">
        <f aca="false">IF(B21="","",IFERROR(AVERAGEIFS(Питание!$B$14:$B$378,Питание!$A$14:$A$378,"&gt;"&amp;$A21-7,Питание!$A$14:$A$378,"&lt;="&amp;$A21,Питание!$B$14:$B$378,"&gt;0"),""))</f>
        <v/>
      </c>
      <c r="P21" s="8" t="str">
        <f aca="false">IF(C21="","",IFERROR(AVERAGEIFS(Питание!$C$14:$C$378,Питание!$A$14:$A$378,"&gt;"&amp;$A21-7,Питание!$A$14:$A$378,"&lt;="&amp;$A21,Питание!$C$14:$C$378,"&gt;0"),""))</f>
        <v/>
      </c>
      <c r="Q21" s="8" t="str">
        <f aca="false">IF(D21="","",IFERROR(AVERAGEIFS(Питание!$D$14:$D$378,Питание!$A$14:$A$378,"&gt;"&amp;$A21-7,Питание!$A$14:$A$378,"&lt;="&amp;$A21,Питание!$D$14:$D$378,"&gt;0"),""))</f>
        <v/>
      </c>
      <c r="R21" s="14" t="str">
        <f aca="false">IF(O21="","",IFERROR(O21-AVERAGEIFS(Питание!$B$14:$B$378,Питание!$A$14:$A$378,"&gt;"&amp;$A21-14,Питание!$A$14:$A$378,"&lt;="&amp;$A21-7,Питание!$B$14:$B$378,"&gt;0"),""))</f>
        <v/>
      </c>
      <c r="S21" s="15" t="str">
        <f aca="false">IF(R21="","",R21/O21)</f>
        <v/>
      </c>
      <c r="T21" s="11" t="str">
        <f aca="false">IF(O21="","",O21-StartWeight)</f>
        <v/>
      </c>
    </row>
    <row r="22" customFormat="false" ht="15" hidden="false" customHeight="true" outlineLevel="0" collapsed="false">
      <c r="A22" s="16" t="n">
        <f aca="false">A21+1</f>
        <v>46302</v>
      </c>
      <c r="B22" s="17"/>
      <c r="C22" s="18"/>
      <c r="D22" s="18"/>
      <c r="E22" s="18"/>
      <c r="F22" s="18"/>
      <c r="G22" s="18"/>
      <c r="H22" s="17"/>
      <c r="I22" s="19"/>
      <c r="J22" s="10" t="str">
        <f aca="false">IF(C22="","",C22-TargetKcal)</f>
        <v/>
      </c>
      <c r="K22" s="10" t="str">
        <f aca="false">IF(D22="","",D22-TargetProtein)</f>
        <v/>
      </c>
      <c r="L22" s="10" t="str">
        <f aca="false">IF(E22="","",E22-TargetFat)</f>
        <v/>
      </c>
      <c r="M22" s="10" t="str">
        <f aca="false">IF(F22="","",F22-TargetCarb)</f>
        <v/>
      </c>
      <c r="N22" s="10" t="str">
        <f aca="false">IF(COUNT(C22:F22)&lt;4,"",ROUND(4*D22+9*E22+4*F22-C22,0))</f>
        <v/>
      </c>
      <c r="O22" s="13" t="str">
        <f aca="false">IF(B22="","",IFERROR(AVERAGEIFS(Питание!$B$14:$B$378,Питание!$A$14:$A$378,"&gt;"&amp;$A22-7,Питание!$A$14:$A$378,"&lt;="&amp;$A22,Питание!$B$14:$B$378,"&gt;0"),""))</f>
        <v/>
      </c>
      <c r="P22" s="8" t="str">
        <f aca="false">IF(C22="","",IFERROR(AVERAGEIFS(Питание!$C$14:$C$378,Питание!$A$14:$A$378,"&gt;"&amp;$A22-7,Питание!$A$14:$A$378,"&lt;="&amp;$A22,Питание!$C$14:$C$378,"&gt;0"),""))</f>
        <v/>
      </c>
      <c r="Q22" s="8" t="str">
        <f aca="false">IF(D22="","",IFERROR(AVERAGEIFS(Питание!$D$14:$D$378,Питание!$A$14:$A$378,"&gt;"&amp;$A22-7,Питание!$A$14:$A$378,"&lt;="&amp;$A22,Питание!$D$14:$D$378,"&gt;0"),""))</f>
        <v/>
      </c>
      <c r="R22" s="14" t="str">
        <f aca="false">IF(O22="","",IFERROR(O22-AVERAGEIFS(Питание!$B$14:$B$378,Питание!$A$14:$A$378,"&gt;"&amp;$A22-14,Питание!$A$14:$A$378,"&lt;="&amp;$A22-7,Питание!$B$14:$B$378,"&gt;0"),""))</f>
        <v/>
      </c>
      <c r="S22" s="15" t="str">
        <f aca="false">IF(R22="","",R22/O22)</f>
        <v/>
      </c>
      <c r="T22" s="11" t="str">
        <f aca="false">IF(O22="","",O22-StartWeight)</f>
        <v/>
      </c>
    </row>
    <row r="23" customFormat="false" ht="15" hidden="false" customHeight="true" outlineLevel="0" collapsed="false">
      <c r="A23" s="16" t="n">
        <f aca="false">A22+1</f>
        <v>46303</v>
      </c>
      <c r="B23" s="17"/>
      <c r="C23" s="18"/>
      <c r="D23" s="18"/>
      <c r="E23" s="18"/>
      <c r="F23" s="18"/>
      <c r="G23" s="18"/>
      <c r="H23" s="17"/>
      <c r="I23" s="19"/>
      <c r="J23" s="10" t="str">
        <f aca="false">IF(C23="","",C23-TargetKcal)</f>
        <v/>
      </c>
      <c r="K23" s="10" t="str">
        <f aca="false">IF(D23="","",D23-TargetProtein)</f>
        <v/>
      </c>
      <c r="L23" s="10" t="str">
        <f aca="false">IF(E23="","",E23-TargetFat)</f>
        <v/>
      </c>
      <c r="M23" s="10" t="str">
        <f aca="false">IF(F23="","",F23-TargetCarb)</f>
        <v/>
      </c>
      <c r="N23" s="10" t="str">
        <f aca="false">IF(COUNT(C23:F23)&lt;4,"",ROUND(4*D23+9*E23+4*F23-C23,0))</f>
        <v/>
      </c>
      <c r="O23" s="13" t="str">
        <f aca="false">IF(B23="","",IFERROR(AVERAGEIFS(Питание!$B$14:$B$378,Питание!$A$14:$A$378,"&gt;"&amp;$A23-7,Питание!$A$14:$A$378,"&lt;="&amp;$A23,Питание!$B$14:$B$378,"&gt;0"),""))</f>
        <v/>
      </c>
      <c r="P23" s="8" t="str">
        <f aca="false">IF(C23="","",IFERROR(AVERAGEIFS(Питание!$C$14:$C$378,Питание!$A$14:$A$378,"&gt;"&amp;$A23-7,Питание!$A$14:$A$378,"&lt;="&amp;$A23,Питание!$C$14:$C$378,"&gt;0"),""))</f>
        <v/>
      </c>
      <c r="Q23" s="8" t="str">
        <f aca="false">IF(D23="","",IFERROR(AVERAGEIFS(Питание!$D$14:$D$378,Питание!$A$14:$A$378,"&gt;"&amp;$A23-7,Питание!$A$14:$A$378,"&lt;="&amp;$A23,Питание!$D$14:$D$378,"&gt;0"),""))</f>
        <v/>
      </c>
      <c r="R23" s="14" t="str">
        <f aca="false">IF(O23="","",IFERROR(O23-AVERAGEIFS(Питание!$B$14:$B$378,Питание!$A$14:$A$378,"&gt;"&amp;$A23-14,Питание!$A$14:$A$378,"&lt;="&amp;$A23-7,Питание!$B$14:$B$378,"&gt;0"),""))</f>
        <v/>
      </c>
      <c r="S23" s="15" t="str">
        <f aca="false">IF(R23="","",R23/O23)</f>
        <v/>
      </c>
      <c r="T23" s="11" t="str">
        <f aca="false">IF(O23="","",O23-StartWeight)</f>
        <v/>
      </c>
    </row>
    <row r="24" customFormat="false" ht="15" hidden="false" customHeight="true" outlineLevel="0" collapsed="false">
      <c r="A24" s="16" t="n">
        <f aca="false">A23+1</f>
        <v>46304</v>
      </c>
      <c r="B24" s="17"/>
      <c r="C24" s="18"/>
      <c r="D24" s="18"/>
      <c r="E24" s="18"/>
      <c r="F24" s="18"/>
      <c r="G24" s="18"/>
      <c r="H24" s="17"/>
      <c r="I24" s="19"/>
      <c r="J24" s="10" t="str">
        <f aca="false">IF(C24="","",C24-TargetKcal)</f>
        <v/>
      </c>
      <c r="K24" s="10" t="str">
        <f aca="false">IF(D24="","",D24-TargetProtein)</f>
        <v/>
      </c>
      <c r="L24" s="10" t="str">
        <f aca="false">IF(E24="","",E24-TargetFat)</f>
        <v/>
      </c>
      <c r="M24" s="10" t="str">
        <f aca="false">IF(F24="","",F24-TargetCarb)</f>
        <v/>
      </c>
      <c r="N24" s="10" t="str">
        <f aca="false">IF(COUNT(C24:F24)&lt;4,"",ROUND(4*D24+9*E24+4*F24-C24,0))</f>
        <v/>
      </c>
      <c r="O24" s="13" t="str">
        <f aca="false">IF(B24="","",IFERROR(AVERAGEIFS(Питание!$B$14:$B$378,Питание!$A$14:$A$378,"&gt;"&amp;$A24-7,Питание!$A$14:$A$378,"&lt;="&amp;$A24,Питание!$B$14:$B$378,"&gt;0"),""))</f>
        <v/>
      </c>
      <c r="P24" s="8" t="str">
        <f aca="false">IF(C24="","",IFERROR(AVERAGEIFS(Питание!$C$14:$C$378,Питание!$A$14:$A$378,"&gt;"&amp;$A24-7,Питание!$A$14:$A$378,"&lt;="&amp;$A24,Питание!$C$14:$C$378,"&gt;0"),""))</f>
        <v/>
      </c>
      <c r="Q24" s="8" t="str">
        <f aca="false">IF(D24="","",IFERROR(AVERAGEIFS(Питание!$D$14:$D$378,Питание!$A$14:$A$378,"&gt;"&amp;$A24-7,Питание!$A$14:$A$378,"&lt;="&amp;$A24,Питание!$D$14:$D$378,"&gt;0"),""))</f>
        <v/>
      </c>
      <c r="R24" s="14" t="str">
        <f aca="false">IF(O24="","",IFERROR(O24-AVERAGEIFS(Питание!$B$14:$B$378,Питание!$A$14:$A$378,"&gt;"&amp;$A24-14,Питание!$A$14:$A$378,"&lt;="&amp;$A24-7,Питание!$B$14:$B$378,"&gt;0"),""))</f>
        <v/>
      </c>
      <c r="S24" s="15" t="str">
        <f aca="false">IF(R24="","",R24/O24)</f>
        <v/>
      </c>
      <c r="T24" s="11" t="str">
        <f aca="false">IF(O24="","",O24-StartWeight)</f>
        <v/>
      </c>
    </row>
    <row r="25" customFormat="false" ht="15" hidden="false" customHeight="true" outlineLevel="0" collapsed="false">
      <c r="A25" s="16" t="n">
        <f aca="false">A24+1</f>
        <v>46305</v>
      </c>
      <c r="B25" s="17"/>
      <c r="C25" s="18"/>
      <c r="D25" s="18"/>
      <c r="E25" s="18"/>
      <c r="F25" s="18"/>
      <c r="G25" s="18"/>
      <c r="H25" s="17"/>
      <c r="I25" s="19"/>
      <c r="J25" s="10" t="str">
        <f aca="false">IF(C25="","",C25-TargetKcal)</f>
        <v/>
      </c>
      <c r="K25" s="10" t="str">
        <f aca="false">IF(D25="","",D25-TargetProtein)</f>
        <v/>
      </c>
      <c r="L25" s="10" t="str">
        <f aca="false">IF(E25="","",E25-TargetFat)</f>
        <v/>
      </c>
      <c r="M25" s="10" t="str">
        <f aca="false">IF(F25="","",F25-TargetCarb)</f>
        <v/>
      </c>
      <c r="N25" s="10" t="str">
        <f aca="false">IF(COUNT(C25:F25)&lt;4,"",ROUND(4*D25+9*E25+4*F25-C25,0))</f>
        <v/>
      </c>
      <c r="O25" s="13" t="str">
        <f aca="false">IF(B25="","",IFERROR(AVERAGEIFS(Питание!$B$14:$B$378,Питание!$A$14:$A$378,"&gt;"&amp;$A25-7,Питание!$A$14:$A$378,"&lt;="&amp;$A25,Питание!$B$14:$B$378,"&gt;0"),""))</f>
        <v/>
      </c>
      <c r="P25" s="8" t="str">
        <f aca="false">IF(C25="","",IFERROR(AVERAGEIFS(Питание!$C$14:$C$378,Питание!$A$14:$A$378,"&gt;"&amp;$A25-7,Питание!$A$14:$A$378,"&lt;="&amp;$A25,Питание!$C$14:$C$378,"&gt;0"),""))</f>
        <v/>
      </c>
      <c r="Q25" s="8" t="str">
        <f aca="false">IF(D25="","",IFERROR(AVERAGEIFS(Питание!$D$14:$D$378,Питание!$A$14:$A$378,"&gt;"&amp;$A25-7,Питание!$A$14:$A$378,"&lt;="&amp;$A25,Питание!$D$14:$D$378,"&gt;0"),""))</f>
        <v/>
      </c>
      <c r="R25" s="14" t="str">
        <f aca="false">IF(O25="","",IFERROR(O25-AVERAGEIFS(Питание!$B$14:$B$378,Питание!$A$14:$A$378,"&gt;"&amp;$A25-14,Питание!$A$14:$A$378,"&lt;="&amp;$A25-7,Питание!$B$14:$B$378,"&gt;0"),""))</f>
        <v/>
      </c>
      <c r="S25" s="15" t="str">
        <f aca="false">IF(R25="","",R25/O25)</f>
        <v/>
      </c>
      <c r="T25" s="11" t="str">
        <f aca="false">IF(O25="","",O25-StartWeight)</f>
        <v/>
      </c>
    </row>
    <row r="26" customFormat="false" ht="15" hidden="false" customHeight="true" outlineLevel="0" collapsed="false">
      <c r="A26" s="16" t="n">
        <f aca="false">A25+1</f>
        <v>46306</v>
      </c>
      <c r="B26" s="17"/>
      <c r="C26" s="18"/>
      <c r="D26" s="18"/>
      <c r="E26" s="18"/>
      <c r="F26" s="18"/>
      <c r="G26" s="18"/>
      <c r="H26" s="17"/>
      <c r="I26" s="19"/>
      <c r="J26" s="10" t="str">
        <f aca="false">IF(C26="","",C26-TargetKcal)</f>
        <v/>
      </c>
      <c r="K26" s="10" t="str">
        <f aca="false">IF(D26="","",D26-TargetProtein)</f>
        <v/>
      </c>
      <c r="L26" s="10" t="str">
        <f aca="false">IF(E26="","",E26-TargetFat)</f>
        <v/>
      </c>
      <c r="M26" s="10" t="str">
        <f aca="false">IF(F26="","",F26-TargetCarb)</f>
        <v/>
      </c>
      <c r="N26" s="10" t="str">
        <f aca="false">IF(COUNT(C26:F26)&lt;4,"",ROUND(4*D26+9*E26+4*F26-C26,0))</f>
        <v/>
      </c>
      <c r="O26" s="13" t="str">
        <f aca="false">IF(B26="","",IFERROR(AVERAGEIFS(Питание!$B$14:$B$378,Питание!$A$14:$A$378,"&gt;"&amp;$A26-7,Питание!$A$14:$A$378,"&lt;="&amp;$A26,Питание!$B$14:$B$378,"&gt;0"),""))</f>
        <v/>
      </c>
      <c r="P26" s="8" t="str">
        <f aca="false">IF(C26="","",IFERROR(AVERAGEIFS(Питание!$C$14:$C$378,Питание!$A$14:$A$378,"&gt;"&amp;$A26-7,Питание!$A$14:$A$378,"&lt;="&amp;$A26,Питание!$C$14:$C$378,"&gt;0"),""))</f>
        <v/>
      </c>
      <c r="Q26" s="8" t="str">
        <f aca="false">IF(D26="","",IFERROR(AVERAGEIFS(Питание!$D$14:$D$378,Питание!$A$14:$A$378,"&gt;"&amp;$A26-7,Питание!$A$14:$A$378,"&lt;="&amp;$A26,Питание!$D$14:$D$378,"&gt;0"),""))</f>
        <v/>
      </c>
      <c r="R26" s="14" t="str">
        <f aca="false">IF(O26="","",IFERROR(O26-AVERAGEIFS(Питание!$B$14:$B$378,Питание!$A$14:$A$378,"&gt;"&amp;$A26-14,Питание!$A$14:$A$378,"&lt;="&amp;$A26-7,Питание!$B$14:$B$378,"&gt;0"),""))</f>
        <v/>
      </c>
      <c r="S26" s="15" t="str">
        <f aca="false">IF(R26="","",R26/O26)</f>
        <v/>
      </c>
      <c r="T26" s="11" t="str">
        <f aca="false">IF(O26="","",O26-StartWeight)</f>
        <v/>
      </c>
    </row>
    <row r="27" customFormat="false" ht="15" hidden="false" customHeight="true" outlineLevel="0" collapsed="false">
      <c r="A27" s="16" t="n">
        <f aca="false">A26+1</f>
        <v>46307</v>
      </c>
      <c r="B27" s="17"/>
      <c r="C27" s="18"/>
      <c r="D27" s="18"/>
      <c r="E27" s="18"/>
      <c r="F27" s="18"/>
      <c r="G27" s="18"/>
      <c r="H27" s="17"/>
      <c r="I27" s="19"/>
      <c r="J27" s="10" t="str">
        <f aca="false">IF(C27="","",C27-TargetKcal)</f>
        <v/>
      </c>
      <c r="K27" s="10" t="str">
        <f aca="false">IF(D27="","",D27-TargetProtein)</f>
        <v/>
      </c>
      <c r="L27" s="10" t="str">
        <f aca="false">IF(E27="","",E27-TargetFat)</f>
        <v/>
      </c>
      <c r="M27" s="10" t="str">
        <f aca="false">IF(F27="","",F27-TargetCarb)</f>
        <v/>
      </c>
      <c r="N27" s="10" t="str">
        <f aca="false">IF(COUNT(C27:F27)&lt;4,"",ROUND(4*D27+9*E27+4*F27-C27,0))</f>
        <v/>
      </c>
      <c r="O27" s="13" t="str">
        <f aca="false">IF(B27="","",IFERROR(AVERAGEIFS(Питание!$B$14:$B$378,Питание!$A$14:$A$378,"&gt;"&amp;$A27-7,Питание!$A$14:$A$378,"&lt;="&amp;$A27,Питание!$B$14:$B$378,"&gt;0"),""))</f>
        <v/>
      </c>
      <c r="P27" s="8" t="str">
        <f aca="false">IF(C27="","",IFERROR(AVERAGEIFS(Питание!$C$14:$C$378,Питание!$A$14:$A$378,"&gt;"&amp;$A27-7,Питание!$A$14:$A$378,"&lt;="&amp;$A27,Питание!$C$14:$C$378,"&gt;0"),""))</f>
        <v/>
      </c>
      <c r="Q27" s="8" t="str">
        <f aca="false">IF(D27="","",IFERROR(AVERAGEIFS(Питание!$D$14:$D$378,Питание!$A$14:$A$378,"&gt;"&amp;$A27-7,Питание!$A$14:$A$378,"&lt;="&amp;$A27,Питание!$D$14:$D$378,"&gt;0"),""))</f>
        <v/>
      </c>
      <c r="R27" s="14" t="str">
        <f aca="false">IF(O27="","",IFERROR(O27-AVERAGEIFS(Питание!$B$14:$B$378,Питание!$A$14:$A$378,"&gt;"&amp;$A27-14,Питание!$A$14:$A$378,"&lt;="&amp;$A27-7,Питание!$B$14:$B$378,"&gt;0"),""))</f>
        <v/>
      </c>
      <c r="S27" s="15" t="str">
        <f aca="false">IF(R27="","",R27/O27)</f>
        <v/>
      </c>
      <c r="T27" s="11" t="str">
        <f aca="false">IF(O27="","",O27-StartWeight)</f>
        <v/>
      </c>
    </row>
    <row r="28" customFormat="false" ht="15" hidden="false" customHeight="true" outlineLevel="0" collapsed="false">
      <c r="A28" s="16" t="n">
        <f aca="false">A27+1</f>
        <v>46308</v>
      </c>
      <c r="B28" s="17"/>
      <c r="C28" s="18"/>
      <c r="D28" s="18"/>
      <c r="E28" s="18"/>
      <c r="F28" s="18"/>
      <c r="G28" s="18"/>
      <c r="H28" s="17"/>
      <c r="I28" s="19"/>
      <c r="J28" s="10" t="str">
        <f aca="false">IF(C28="","",C28-TargetKcal)</f>
        <v/>
      </c>
      <c r="K28" s="10" t="str">
        <f aca="false">IF(D28="","",D28-TargetProtein)</f>
        <v/>
      </c>
      <c r="L28" s="10" t="str">
        <f aca="false">IF(E28="","",E28-TargetFat)</f>
        <v/>
      </c>
      <c r="M28" s="10" t="str">
        <f aca="false">IF(F28="","",F28-TargetCarb)</f>
        <v/>
      </c>
      <c r="N28" s="10" t="str">
        <f aca="false">IF(COUNT(C28:F28)&lt;4,"",ROUND(4*D28+9*E28+4*F28-C28,0))</f>
        <v/>
      </c>
      <c r="O28" s="13" t="str">
        <f aca="false">IF(B28="","",IFERROR(AVERAGEIFS(Питание!$B$14:$B$378,Питание!$A$14:$A$378,"&gt;"&amp;$A28-7,Питание!$A$14:$A$378,"&lt;="&amp;$A28,Питание!$B$14:$B$378,"&gt;0"),""))</f>
        <v/>
      </c>
      <c r="P28" s="8" t="str">
        <f aca="false">IF(C28="","",IFERROR(AVERAGEIFS(Питание!$C$14:$C$378,Питание!$A$14:$A$378,"&gt;"&amp;$A28-7,Питание!$A$14:$A$378,"&lt;="&amp;$A28,Питание!$C$14:$C$378,"&gt;0"),""))</f>
        <v/>
      </c>
      <c r="Q28" s="8" t="str">
        <f aca="false">IF(D28="","",IFERROR(AVERAGEIFS(Питание!$D$14:$D$378,Питание!$A$14:$A$378,"&gt;"&amp;$A28-7,Питание!$A$14:$A$378,"&lt;="&amp;$A28,Питание!$D$14:$D$378,"&gt;0"),""))</f>
        <v/>
      </c>
      <c r="R28" s="14" t="str">
        <f aca="false">IF(O28="","",IFERROR(O28-AVERAGEIFS(Питание!$B$14:$B$378,Питание!$A$14:$A$378,"&gt;"&amp;$A28-14,Питание!$A$14:$A$378,"&lt;="&amp;$A28-7,Питание!$B$14:$B$378,"&gt;0"),""))</f>
        <v/>
      </c>
      <c r="S28" s="15" t="str">
        <f aca="false">IF(R28="","",R28/O28)</f>
        <v/>
      </c>
      <c r="T28" s="11" t="str">
        <f aca="false">IF(O28="","",O28-StartWeight)</f>
        <v/>
      </c>
    </row>
    <row r="29" customFormat="false" ht="15" hidden="false" customHeight="true" outlineLevel="0" collapsed="false">
      <c r="A29" s="16" t="n">
        <f aca="false">A28+1</f>
        <v>46309</v>
      </c>
      <c r="B29" s="17"/>
      <c r="C29" s="18"/>
      <c r="D29" s="18"/>
      <c r="E29" s="18"/>
      <c r="F29" s="18"/>
      <c r="G29" s="18"/>
      <c r="H29" s="17"/>
      <c r="I29" s="19"/>
      <c r="J29" s="10" t="str">
        <f aca="false">IF(C29="","",C29-TargetKcal)</f>
        <v/>
      </c>
      <c r="K29" s="10" t="str">
        <f aca="false">IF(D29="","",D29-TargetProtein)</f>
        <v/>
      </c>
      <c r="L29" s="10" t="str">
        <f aca="false">IF(E29="","",E29-TargetFat)</f>
        <v/>
      </c>
      <c r="M29" s="10" t="str">
        <f aca="false">IF(F29="","",F29-TargetCarb)</f>
        <v/>
      </c>
      <c r="N29" s="10" t="str">
        <f aca="false">IF(COUNT(C29:F29)&lt;4,"",ROUND(4*D29+9*E29+4*F29-C29,0))</f>
        <v/>
      </c>
      <c r="O29" s="13" t="str">
        <f aca="false">IF(B29="","",IFERROR(AVERAGEIFS(Питание!$B$14:$B$378,Питание!$A$14:$A$378,"&gt;"&amp;$A29-7,Питание!$A$14:$A$378,"&lt;="&amp;$A29,Питание!$B$14:$B$378,"&gt;0"),""))</f>
        <v/>
      </c>
      <c r="P29" s="8" t="str">
        <f aca="false">IF(C29="","",IFERROR(AVERAGEIFS(Питание!$C$14:$C$378,Питание!$A$14:$A$378,"&gt;"&amp;$A29-7,Питание!$A$14:$A$378,"&lt;="&amp;$A29,Питание!$C$14:$C$378,"&gt;0"),""))</f>
        <v/>
      </c>
      <c r="Q29" s="8" t="str">
        <f aca="false">IF(D29="","",IFERROR(AVERAGEIFS(Питание!$D$14:$D$378,Питание!$A$14:$A$378,"&gt;"&amp;$A29-7,Питание!$A$14:$A$378,"&lt;="&amp;$A29,Питание!$D$14:$D$378,"&gt;0"),""))</f>
        <v/>
      </c>
      <c r="R29" s="14" t="str">
        <f aca="false">IF(O29="","",IFERROR(O29-AVERAGEIFS(Питание!$B$14:$B$378,Питание!$A$14:$A$378,"&gt;"&amp;$A29-14,Питание!$A$14:$A$378,"&lt;="&amp;$A29-7,Питание!$B$14:$B$378,"&gt;0"),""))</f>
        <v/>
      </c>
      <c r="S29" s="15" t="str">
        <f aca="false">IF(R29="","",R29/O29)</f>
        <v/>
      </c>
      <c r="T29" s="11" t="str">
        <f aca="false">IF(O29="","",O29-StartWeight)</f>
        <v/>
      </c>
    </row>
    <row r="30" customFormat="false" ht="15" hidden="false" customHeight="true" outlineLevel="0" collapsed="false">
      <c r="A30" s="16" t="n">
        <f aca="false">A29+1</f>
        <v>46310</v>
      </c>
      <c r="B30" s="17"/>
      <c r="C30" s="18"/>
      <c r="D30" s="18"/>
      <c r="E30" s="18"/>
      <c r="F30" s="18"/>
      <c r="G30" s="18"/>
      <c r="H30" s="17"/>
      <c r="I30" s="19"/>
      <c r="J30" s="10" t="str">
        <f aca="false">IF(C30="","",C30-TargetKcal)</f>
        <v/>
      </c>
      <c r="K30" s="10" t="str">
        <f aca="false">IF(D30="","",D30-TargetProtein)</f>
        <v/>
      </c>
      <c r="L30" s="10" t="str">
        <f aca="false">IF(E30="","",E30-TargetFat)</f>
        <v/>
      </c>
      <c r="M30" s="10" t="str">
        <f aca="false">IF(F30="","",F30-TargetCarb)</f>
        <v/>
      </c>
      <c r="N30" s="10" t="str">
        <f aca="false">IF(COUNT(C30:F30)&lt;4,"",ROUND(4*D30+9*E30+4*F30-C30,0))</f>
        <v/>
      </c>
      <c r="O30" s="13" t="str">
        <f aca="false">IF(B30="","",IFERROR(AVERAGEIFS(Питание!$B$14:$B$378,Питание!$A$14:$A$378,"&gt;"&amp;$A30-7,Питание!$A$14:$A$378,"&lt;="&amp;$A30,Питание!$B$14:$B$378,"&gt;0"),""))</f>
        <v/>
      </c>
      <c r="P30" s="8" t="str">
        <f aca="false">IF(C30="","",IFERROR(AVERAGEIFS(Питание!$C$14:$C$378,Питание!$A$14:$A$378,"&gt;"&amp;$A30-7,Питание!$A$14:$A$378,"&lt;="&amp;$A30,Питание!$C$14:$C$378,"&gt;0"),""))</f>
        <v/>
      </c>
      <c r="Q30" s="8" t="str">
        <f aca="false">IF(D30="","",IFERROR(AVERAGEIFS(Питание!$D$14:$D$378,Питание!$A$14:$A$378,"&gt;"&amp;$A30-7,Питание!$A$14:$A$378,"&lt;="&amp;$A30,Питание!$D$14:$D$378,"&gt;0"),""))</f>
        <v/>
      </c>
      <c r="R30" s="14" t="str">
        <f aca="false">IF(O30="","",IFERROR(O30-AVERAGEIFS(Питание!$B$14:$B$378,Питание!$A$14:$A$378,"&gt;"&amp;$A30-14,Питание!$A$14:$A$378,"&lt;="&amp;$A30-7,Питание!$B$14:$B$378,"&gt;0"),""))</f>
        <v/>
      </c>
      <c r="S30" s="15" t="str">
        <f aca="false">IF(R30="","",R30/O30)</f>
        <v/>
      </c>
      <c r="T30" s="11" t="str">
        <f aca="false">IF(O30="","",O30-StartWeight)</f>
        <v/>
      </c>
    </row>
    <row r="31" customFormat="false" ht="15" hidden="false" customHeight="true" outlineLevel="0" collapsed="false">
      <c r="A31" s="16" t="n">
        <f aca="false">A30+1</f>
        <v>46311</v>
      </c>
      <c r="B31" s="17"/>
      <c r="C31" s="18"/>
      <c r="D31" s="18"/>
      <c r="E31" s="18"/>
      <c r="F31" s="18"/>
      <c r="G31" s="18"/>
      <c r="H31" s="17"/>
      <c r="I31" s="19"/>
      <c r="J31" s="10" t="str">
        <f aca="false">IF(C31="","",C31-TargetKcal)</f>
        <v/>
      </c>
      <c r="K31" s="10" t="str">
        <f aca="false">IF(D31="","",D31-TargetProtein)</f>
        <v/>
      </c>
      <c r="L31" s="10" t="str">
        <f aca="false">IF(E31="","",E31-TargetFat)</f>
        <v/>
      </c>
      <c r="M31" s="10" t="str">
        <f aca="false">IF(F31="","",F31-TargetCarb)</f>
        <v/>
      </c>
      <c r="N31" s="10" t="str">
        <f aca="false">IF(COUNT(C31:F31)&lt;4,"",ROUND(4*D31+9*E31+4*F31-C31,0))</f>
        <v/>
      </c>
      <c r="O31" s="13" t="str">
        <f aca="false">IF(B31="","",IFERROR(AVERAGEIFS(Питание!$B$14:$B$378,Питание!$A$14:$A$378,"&gt;"&amp;$A31-7,Питание!$A$14:$A$378,"&lt;="&amp;$A31,Питание!$B$14:$B$378,"&gt;0"),""))</f>
        <v/>
      </c>
      <c r="P31" s="8" t="str">
        <f aca="false">IF(C31="","",IFERROR(AVERAGEIFS(Питание!$C$14:$C$378,Питание!$A$14:$A$378,"&gt;"&amp;$A31-7,Питание!$A$14:$A$378,"&lt;="&amp;$A31,Питание!$C$14:$C$378,"&gt;0"),""))</f>
        <v/>
      </c>
      <c r="Q31" s="8" t="str">
        <f aca="false">IF(D31="","",IFERROR(AVERAGEIFS(Питание!$D$14:$D$378,Питание!$A$14:$A$378,"&gt;"&amp;$A31-7,Питание!$A$14:$A$378,"&lt;="&amp;$A31,Питание!$D$14:$D$378,"&gt;0"),""))</f>
        <v/>
      </c>
      <c r="R31" s="14" t="str">
        <f aca="false">IF(O31="","",IFERROR(O31-AVERAGEIFS(Питание!$B$14:$B$378,Питание!$A$14:$A$378,"&gt;"&amp;$A31-14,Питание!$A$14:$A$378,"&lt;="&amp;$A31-7,Питание!$B$14:$B$378,"&gt;0"),""))</f>
        <v/>
      </c>
      <c r="S31" s="15" t="str">
        <f aca="false">IF(R31="","",R31/O31)</f>
        <v/>
      </c>
      <c r="T31" s="11" t="str">
        <f aca="false">IF(O31="","",O31-StartWeight)</f>
        <v/>
      </c>
    </row>
    <row r="32" customFormat="false" ht="15" hidden="false" customHeight="true" outlineLevel="0" collapsed="false">
      <c r="A32" s="16" t="n">
        <f aca="false">A31+1</f>
        <v>46312</v>
      </c>
      <c r="B32" s="17"/>
      <c r="C32" s="18"/>
      <c r="D32" s="18"/>
      <c r="E32" s="18"/>
      <c r="F32" s="18"/>
      <c r="G32" s="18"/>
      <c r="H32" s="17"/>
      <c r="I32" s="19"/>
      <c r="J32" s="10" t="str">
        <f aca="false">IF(C32="","",C32-TargetKcal)</f>
        <v/>
      </c>
      <c r="K32" s="10" t="str">
        <f aca="false">IF(D32="","",D32-TargetProtein)</f>
        <v/>
      </c>
      <c r="L32" s="10" t="str">
        <f aca="false">IF(E32="","",E32-TargetFat)</f>
        <v/>
      </c>
      <c r="M32" s="10" t="str">
        <f aca="false">IF(F32="","",F32-TargetCarb)</f>
        <v/>
      </c>
      <c r="N32" s="10" t="str">
        <f aca="false">IF(COUNT(C32:F32)&lt;4,"",ROUND(4*D32+9*E32+4*F32-C32,0))</f>
        <v/>
      </c>
      <c r="O32" s="13" t="str">
        <f aca="false">IF(B32="","",IFERROR(AVERAGEIFS(Питание!$B$14:$B$378,Питание!$A$14:$A$378,"&gt;"&amp;$A32-7,Питание!$A$14:$A$378,"&lt;="&amp;$A32,Питание!$B$14:$B$378,"&gt;0"),""))</f>
        <v/>
      </c>
      <c r="P32" s="8" t="str">
        <f aca="false">IF(C32="","",IFERROR(AVERAGEIFS(Питание!$C$14:$C$378,Питание!$A$14:$A$378,"&gt;"&amp;$A32-7,Питание!$A$14:$A$378,"&lt;="&amp;$A32,Питание!$C$14:$C$378,"&gt;0"),""))</f>
        <v/>
      </c>
      <c r="Q32" s="8" t="str">
        <f aca="false">IF(D32="","",IFERROR(AVERAGEIFS(Питание!$D$14:$D$378,Питание!$A$14:$A$378,"&gt;"&amp;$A32-7,Питание!$A$14:$A$378,"&lt;="&amp;$A32,Питание!$D$14:$D$378,"&gt;0"),""))</f>
        <v/>
      </c>
      <c r="R32" s="14" t="str">
        <f aca="false">IF(O32="","",IFERROR(O32-AVERAGEIFS(Питание!$B$14:$B$378,Питание!$A$14:$A$378,"&gt;"&amp;$A32-14,Питание!$A$14:$A$378,"&lt;="&amp;$A32-7,Питание!$B$14:$B$378,"&gt;0"),""))</f>
        <v/>
      </c>
      <c r="S32" s="15" t="str">
        <f aca="false">IF(R32="","",R32/O32)</f>
        <v/>
      </c>
      <c r="T32" s="11" t="str">
        <f aca="false">IF(O32="","",O32-StartWeight)</f>
        <v/>
      </c>
    </row>
    <row r="33" customFormat="false" ht="15" hidden="false" customHeight="true" outlineLevel="0" collapsed="false">
      <c r="A33" s="16" t="n">
        <f aca="false">A32+1</f>
        <v>46313</v>
      </c>
      <c r="B33" s="17"/>
      <c r="C33" s="18"/>
      <c r="D33" s="18"/>
      <c r="E33" s="18"/>
      <c r="F33" s="18"/>
      <c r="G33" s="18"/>
      <c r="H33" s="17"/>
      <c r="I33" s="19"/>
      <c r="J33" s="10" t="str">
        <f aca="false">IF(C33="","",C33-TargetKcal)</f>
        <v/>
      </c>
      <c r="K33" s="10" t="str">
        <f aca="false">IF(D33="","",D33-TargetProtein)</f>
        <v/>
      </c>
      <c r="L33" s="10" t="str">
        <f aca="false">IF(E33="","",E33-TargetFat)</f>
        <v/>
      </c>
      <c r="M33" s="10" t="str">
        <f aca="false">IF(F33="","",F33-TargetCarb)</f>
        <v/>
      </c>
      <c r="N33" s="10" t="str">
        <f aca="false">IF(COUNT(C33:F33)&lt;4,"",ROUND(4*D33+9*E33+4*F33-C33,0))</f>
        <v/>
      </c>
      <c r="O33" s="13" t="str">
        <f aca="false">IF(B33="","",IFERROR(AVERAGEIFS(Питание!$B$14:$B$378,Питание!$A$14:$A$378,"&gt;"&amp;$A33-7,Питание!$A$14:$A$378,"&lt;="&amp;$A33,Питание!$B$14:$B$378,"&gt;0"),""))</f>
        <v/>
      </c>
      <c r="P33" s="8" t="str">
        <f aca="false">IF(C33="","",IFERROR(AVERAGEIFS(Питание!$C$14:$C$378,Питание!$A$14:$A$378,"&gt;"&amp;$A33-7,Питание!$A$14:$A$378,"&lt;="&amp;$A33,Питание!$C$14:$C$378,"&gt;0"),""))</f>
        <v/>
      </c>
      <c r="Q33" s="8" t="str">
        <f aca="false">IF(D33="","",IFERROR(AVERAGEIFS(Питание!$D$14:$D$378,Питание!$A$14:$A$378,"&gt;"&amp;$A33-7,Питание!$A$14:$A$378,"&lt;="&amp;$A33,Питание!$D$14:$D$378,"&gt;0"),""))</f>
        <v/>
      </c>
      <c r="R33" s="14" t="str">
        <f aca="false">IF(O33="","",IFERROR(O33-AVERAGEIFS(Питание!$B$14:$B$378,Питание!$A$14:$A$378,"&gt;"&amp;$A33-14,Питание!$A$14:$A$378,"&lt;="&amp;$A33-7,Питание!$B$14:$B$378,"&gt;0"),""))</f>
        <v/>
      </c>
      <c r="S33" s="15" t="str">
        <f aca="false">IF(R33="","",R33/O33)</f>
        <v/>
      </c>
      <c r="T33" s="11" t="str">
        <f aca="false">IF(O33="","",O33-StartWeight)</f>
        <v/>
      </c>
    </row>
    <row r="34" customFormat="false" ht="15" hidden="false" customHeight="true" outlineLevel="0" collapsed="false">
      <c r="A34" s="16" t="n">
        <f aca="false">A33+1</f>
        <v>46314</v>
      </c>
      <c r="B34" s="17"/>
      <c r="C34" s="18"/>
      <c r="D34" s="18"/>
      <c r="E34" s="18"/>
      <c r="F34" s="18"/>
      <c r="G34" s="18"/>
      <c r="H34" s="17"/>
      <c r="I34" s="19"/>
      <c r="J34" s="10" t="str">
        <f aca="false">IF(C34="","",C34-TargetKcal)</f>
        <v/>
      </c>
      <c r="K34" s="10" t="str">
        <f aca="false">IF(D34="","",D34-TargetProtein)</f>
        <v/>
      </c>
      <c r="L34" s="10" t="str">
        <f aca="false">IF(E34="","",E34-TargetFat)</f>
        <v/>
      </c>
      <c r="M34" s="10" t="str">
        <f aca="false">IF(F34="","",F34-TargetCarb)</f>
        <v/>
      </c>
      <c r="N34" s="10" t="str">
        <f aca="false">IF(COUNT(C34:F34)&lt;4,"",ROUND(4*D34+9*E34+4*F34-C34,0))</f>
        <v/>
      </c>
      <c r="O34" s="13" t="str">
        <f aca="false">IF(B34="","",IFERROR(AVERAGEIFS(Питание!$B$14:$B$378,Питание!$A$14:$A$378,"&gt;"&amp;$A34-7,Питание!$A$14:$A$378,"&lt;="&amp;$A34,Питание!$B$14:$B$378,"&gt;0"),""))</f>
        <v/>
      </c>
      <c r="P34" s="8" t="str">
        <f aca="false">IF(C34="","",IFERROR(AVERAGEIFS(Питание!$C$14:$C$378,Питание!$A$14:$A$378,"&gt;"&amp;$A34-7,Питание!$A$14:$A$378,"&lt;="&amp;$A34,Питание!$C$14:$C$378,"&gt;0"),""))</f>
        <v/>
      </c>
      <c r="Q34" s="8" t="str">
        <f aca="false">IF(D34="","",IFERROR(AVERAGEIFS(Питание!$D$14:$D$378,Питание!$A$14:$A$378,"&gt;"&amp;$A34-7,Питание!$A$14:$A$378,"&lt;="&amp;$A34,Питание!$D$14:$D$378,"&gt;0"),""))</f>
        <v/>
      </c>
      <c r="R34" s="14" t="str">
        <f aca="false">IF(O34="","",IFERROR(O34-AVERAGEIFS(Питание!$B$14:$B$378,Питание!$A$14:$A$378,"&gt;"&amp;$A34-14,Питание!$A$14:$A$378,"&lt;="&amp;$A34-7,Питание!$B$14:$B$378,"&gt;0"),""))</f>
        <v/>
      </c>
      <c r="S34" s="15" t="str">
        <f aca="false">IF(R34="","",R34/O34)</f>
        <v/>
      </c>
      <c r="T34" s="11" t="str">
        <f aca="false">IF(O34="","",O34-StartWeight)</f>
        <v/>
      </c>
    </row>
    <row r="35" customFormat="false" ht="15" hidden="false" customHeight="true" outlineLevel="0" collapsed="false">
      <c r="A35" s="16" t="n">
        <f aca="false">A34+1</f>
        <v>46315</v>
      </c>
      <c r="B35" s="17"/>
      <c r="C35" s="18"/>
      <c r="D35" s="18"/>
      <c r="E35" s="18"/>
      <c r="F35" s="18"/>
      <c r="G35" s="18"/>
      <c r="H35" s="17"/>
      <c r="I35" s="19"/>
      <c r="J35" s="10" t="str">
        <f aca="false">IF(C35="","",C35-TargetKcal)</f>
        <v/>
      </c>
      <c r="K35" s="10" t="str">
        <f aca="false">IF(D35="","",D35-TargetProtein)</f>
        <v/>
      </c>
      <c r="L35" s="10" t="str">
        <f aca="false">IF(E35="","",E35-TargetFat)</f>
        <v/>
      </c>
      <c r="M35" s="10" t="str">
        <f aca="false">IF(F35="","",F35-TargetCarb)</f>
        <v/>
      </c>
      <c r="N35" s="10" t="str">
        <f aca="false">IF(COUNT(C35:F35)&lt;4,"",ROUND(4*D35+9*E35+4*F35-C35,0))</f>
        <v/>
      </c>
      <c r="O35" s="13" t="str">
        <f aca="false">IF(B35="","",IFERROR(AVERAGEIFS(Питание!$B$14:$B$378,Питание!$A$14:$A$378,"&gt;"&amp;$A35-7,Питание!$A$14:$A$378,"&lt;="&amp;$A35,Питание!$B$14:$B$378,"&gt;0"),""))</f>
        <v/>
      </c>
      <c r="P35" s="8" t="str">
        <f aca="false">IF(C35="","",IFERROR(AVERAGEIFS(Питание!$C$14:$C$378,Питание!$A$14:$A$378,"&gt;"&amp;$A35-7,Питание!$A$14:$A$378,"&lt;="&amp;$A35,Питание!$C$14:$C$378,"&gt;0"),""))</f>
        <v/>
      </c>
      <c r="Q35" s="8" t="str">
        <f aca="false">IF(D35="","",IFERROR(AVERAGEIFS(Питание!$D$14:$D$378,Питание!$A$14:$A$378,"&gt;"&amp;$A35-7,Питание!$A$14:$A$378,"&lt;="&amp;$A35,Питание!$D$14:$D$378,"&gt;0"),""))</f>
        <v/>
      </c>
      <c r="R35" s="14" t="str">
        <f aca="false">IF(O35="","",IFERROR(O35-AVERAGEIFS(Питание!$B$14:$B$378,Питание!$A$14:$A$378,"&gt;"&amp;$A35-14,Питание!$A$14:$A$378,"&lt;="&amp;$A35-7,Питание!$B$14:$B$378,"&gt;0"),""))</f>
        <v/>
      </c>
      <c r="S35" s="15" t="str">
        <f aca="false">IF(R35="","",R35/O35)</f>
        <v/>
      </c>
      <c r="T35" s="11" t="str">
        <f aca="false">IF(O35="","",O35-StartWeight)</f>
        <v/>
      </c>
    </row>
    <row r="36" customFormat="false" ht="15" hidden="false" customHeight="true" outlineLevel="0" collapsed="false">
      <c r="A36" s="16" t="n">
        <f aca="false">A35+1</f>
        <v>46316</v>
      </c>
      <c r="B36" s="17"/>
      <c r="C36" s="18"/>
      <c r="D36" s="18"/>
      <c r="E36" s="18"/>
      <c r="F36" s="18"/>
      <c r="G36" s="18"/>
      <c r="H36" s="17"/>
      <c r="I36" s="19"/>
      <c r="J36" s="10" t="str">
        <f aca="false">IF(C36="","",C36-TargetKcal)</f>
        <v/>
      </c>
      <c r="K36" s="10" t="str">
        <f aca="false">IF(D36="","",D36-TargetProtein)</f>
        <v/>
      </c>
      <c r="L36" s="10" t="str">
        <f aca="false">IF(E36="","",E36-TargetFat)</f>
        <v/>
      </c>
      <c r="M36" s="10" t="str">
        <f aca="false">IF(F36="","",F36-TargetCarb)</f>
        <v/>
      </c>
      <c r="N36" s="10" t="str">
        <f aca="false">IF(COUNT(C36:F36)&lt;4,"",ROUND(4*D36+9*E36+4*F36-C36,0))</f>
        <v/>
      </c>
      <c r="O36" s="13" t="str">
        <f aca="false">IF(B36="","",IFERROR(AVERAGEIFS(Питание!$B$14:$B$378,Питание!$A$14:$A$378,"&gt;"&amp;$A36-7,Питание!$A$14:$A$378,"&lt;="&amp;$A36,Питание!$B$14:$B$378,"&gt;0"),""))</f>
        <v/>
      </c>
      <c r="P36" s="8" t="str">
        <f aca="false">IF(C36="","",IFERROR(AVERAGEIFS(Питание!$C$14:$C$378,Питание!$A$14:$A$378,"&gt;"&amp;$A36-7,Питание!$A$14:$A$378,"&lt;="&amp;$A36,Питание!$C$14:$C$378,"&gt;0"),""))</f>
        <v/>
      </c>
      <c r="Q36" s="8" t="str">
        <f aca="false">IF(D36="","",IFERROR(AVERAGEIFS(Питание!$D$14:$D$378,Питание!$A$14:$A$378,"&gt;"&amp;$A36-7,Питание!$A$14:$A$378,"&lt;="&amp;$A36,Питание!$D$14:$D$378,"&gt;0"),""))</f>
        <v/>
      </c>
      <c r="R36" s="14" t="str">
        <f aca="false">IF(O36="","",IFERROR(O36-AVERAGEIFS(Питание!$B$14:$B$378,Питание!$A$14:$A$378,"&gt;"&amp;$A36-14,Питание!$A$14:$A$378,"&lt;="&amp;$A36-7,Питание!$B$14:$B$378,"&gt;0"),""))</f>
        <v/>
      </c>
      <c r="S36" s="15" t="str">
        <f aca="false">IF(R36="","",R36/O36)</f>
        <v/>
      </c>
      <c r="T36" s="11" t="str">
        <f aca="false">IF(O36="","",O36-StartWeight)</f>
        <v/>
      </c>
    </row>
    <row r="37" customFormat="false" ht="15" hidden="false" customHeight="true" outlineLevel="0" collapsed="false">
      <c r="A37" s="16" t="n">
        <f aca="false">A36+1</f>
        <v>46317</v>
      </c>
      <c r="B37" s="17"/>
      <c r="C37" s="18"/>
      <c r="D37" s="18"/>
      <c r="E37" s="18"/>
      <c r="F37" s="18"/>
      <c r="G37" s="18"/>
      <c r="H37" s="17"/>
      <c r="I37" s="19"/>
      <c r="J37" s="10" t="str">
        <f aca="false">IF(C37="","",C37-TargetKcal)</f>
        <v/>
      </c>
      <c r="K37" s="10" t="str">
        <f aca="false">IF(D37="","",D37-TargetProtein)</f>
        <v/>
      </c>
      <c r="L37" s="10" t="str">
        <f aca="false">IF(E37="","",E37-TargetFat)</f>
        <v/>
      </c>
      <c r="M37" s="10" t="str">
        <f aca="false">IF(F37="","",F37-TargetCarb)</f>
        <v/>
      </c>
      <c r="N37" s="10" t="str">
        <f aca="false">IF(COUNT(C37:F37)&lt;4,"",ROUND(4*D37+9*E37+4*F37-C37,0))</f>
        <v/>
      </c>
      <c r="O37" s="13" t="str">
        <f aca="false">IF(B37="","",IFERROR(AVERAGEIFS(Питание!$B$14:$B$378,Питание!$A$14:$A$378,"&gt;"&amp;$A37-7,Питание!$A$14:$A$378,"&lt;="&amp;$A37,Питание!$B$14:$B$378,"&gt;0"),""))</f>
        <v/>
      </c>
      <c r="P37" s="8" t="str">
        <f aca="false">IF(C37="","",IFERROR(AVERAGEIFS(Питание!$C$14:$C$378,Питание!$A$14:$A$378,"&gt;"&amp;$A37-7,Питание!$A$14:$A$378,"&lt;="&amp;$A37,Питание!$C$14:$C$378,"&gt;0"),""))</f>
        <v/>
      </c>
      <c r="Q37" s="8" t="str">
        <f aca="false">IF(D37="","",IFERROR(AVERAGEIFS(Питание!$D$14:$D$378,Питание!$A$14:$A$378,"&gt;"&amp;$A37-7,Питание!$A$14:$A$378,"&lt;="&amp;$A37,Питание!$D$14:$D$378,"&gt;0"),""))</f>
        <v/>
      </c>
      <c r="R37" s="14" t="str">
        <f aca="false">IF(O37="","",IFERROR(O37-AVERAGEIFS(Питание!$B$14:$B$378,Питание!$A$14:$A$378,"&gt;"&amp;$A37-14,Питание!$A$14:$A$378,"&lt;="&amp;$A37-7,Питание!$B$14:$B$378,"&gt;0"),""))</f>
        <v/>
      </c>
      <c r="S37" s="15" t="str">
        <f aca="false">IF(R37="","",R37/O37)</f>
        <v/>
      </c>
      <c r="T37" s="11" t="str">
        <f aca="false">IF(O37="","",O37-StartWeight)</f>
        <v/>
      </c>
    </row>
    <row r="38" customFormat="false" ht="15" hidden="false" customHeight="true" outlineLevel="0" collapsed="false">
      <c r="A38" s="16" t="n">
        <f aca="false">A37+1</f>
        <v>46318</v>
      </c>
      <c r="B38" s="17"/>
      <c r="C38" s="18"/>
      <c r="D38" s="18"/>
      <c r="E38" s="18"/>
      <c r="F38" s="18"/>
      <c r="G38" s="18"/>
      <c r="H38" s="17"/>
      <c r="I38" s="19"/>
      <c r="J38" s="10" t="str">
        <f aca="false">IF(C38="","",C38-TargetKcal)</f>
        <v/>
      </c>
      <c r="K38" s="10" t="str">
        <f aca="false">IF(D38="","",D38-TargetProtein)</f>
        <v/>
      </c>
      <c r="L38" s="10" t="str">
        <f aca="false">IF(E38="","",E38-TargetFat)</f>
        <v/>
      </c>
      <c r="M38" s="10" t="str">
        <f aca="false">IF(F38="","",F38-TargetCarb)</f>
        <v/>
      </c>
      <c r="N38" s="10" t="str">
        <f aca="false">IF(COUNT(C38:F38)&lt;4,"",ROUND(4*D38+9*E38+4*F38-C38,0))</f>
        <v/>
      </c>
      <c r="O38" s="13" t="str">
        <f aca="false">IF(B38="","",IFERROR(AVERAGEIFS(Питание!$B$14:$B$378,Питание!$A$14:$A$378,"&gt;"&amp;$A38-7,Питание!$A$14:$A$378,"&lt;="&amp;$A38,Питание!$B$14:$B$378,"&gt;0"),""))</f>
        <v/>
      </c>
      <c r="P38" s="8" t="str">
        <f aca="false">IF(C38="","",IFERROR(AVERAGEIFS(Питание!$C$14:$C$378,Питание!$A$14:$A$378,"&gt;"&amp;$A38-7,Питание!$A$14:$A$378,"&lt;="&amp;$A38,Питание!$C$14:$C$378,"&gt;0"),""))</f>
        <v/>
      </c>
      <c r="Q38" s="8" t="str">
        <f aca="false">IF(D38="","",IFERROR(AVERAGEIFS(Питание!$D$14:$D$378,Питание!$A$14:$A$378,"&gt;"&amp;$A38-7,Питание!$A$14:$A$378,"&lt;="&amp;$A38,Питание!$D$14:$D$378,"&gt;0"),""))</f>
        <v/>
      </c>
      <c r="R38" s="14" t="str">
        <f aca="false">IF(O38="","",IFERROR(O38-AVERAGEIFS(Питание!$B$14:$B$378,Питание!$A$14:$A$378,"&gt;"&amp;$A38-14,Питание!$A$14:$A$378,"&lt;="&amp;$A38-7,Питание!$B$14:$B$378,"&gt;0"),""))</f>
        <v/>
      </c>
      <c r="S38" s="15" t="str">
        <f aca="false">IF(R38="","",R38/O38)</f>
        <v/>
      </c>
      <c r="T38" s="11" t="str">
        <f aca="false">IF(O38="","",O38-StartWeight)</f>
        <v/>
      </c>
    </row>
    <row r="39" customFormat="false" ht="15" hidden="false" customHeight="true" outlineLevel="0" collapsed="false">
      <c r="A39" s="16" t="n">
        <f aca="false">A38+1</f>
        <v>46319</v>
      </c>
      <c r="B39" s="17"/>
      <c r="C39" s="18"/>
      <c r="D39" s="18"/>
      <c r="E39" s="18"/>
      <c r="F39" s="18"/>
      <c r="G39" s="18"/>
      <c r="H39" s="17"/>
      <c r="I39" s="19"/>
      <c r="J39" s="10" t="str">
        <f aca="false">IF(C39="","",C39-TargetKcal)</f>
        <v/>
      </c>
      <c r="K39" s="10" t="str">
        <f aca="false">IF(D39="","",D39-TargetProtein)</f>
        <v/>
      </c>
      <c r="L39" s="10" t="str">
        <f aca="false">IF(E39="","",E39-TargetFat)</f>
        <v/>
      </c>
      <c r="M39" s="10" t="str">
        <f aca="false">IF(F39="","",F39-TargetCarb)</f>
        <v/>
      </c>
      <c r="N39" s="10" t="str">
        <f aca="false">IF(COUNT(C39:F39)&lt;4,"",ROUND(4*D39+9*E39+4*F39-C39,0))</f>
        <v/>
      </c>
      <c r="O39" s="13" t="str">
        <f aca="false">IF(B39="","",IFERROR(AVERAGEIFS(Питание!$B$14:$B$378,Питание!$A$14:$A$378,"&gt;"&amp;$A39-7,Питание!$A$14:$A$378,"&lt;="&amp;$A39,Питание!$B$14:$B$378,"&gt;0"),""))</f>
        <v/>
      </c>
      <c r="P39" s="8" t="str">
        <f aca="false">IF(C39="","",IFERROR(AVERAGEIFS(Питание!$C$14:$C$378,Питание!$A$14:$A$378,"&gt;"&amp;$A39-7,Питание!$A$14:$A$378,"&lt;="&amp;$A39,Питание!$C$14:$C$378,"&gt;0"),""))</f>
        <v/>
      </c>
      <c r="Q39" s="8" t="str">
        <f aca="false">IF(D39="","",IFERROR(AVERAGEIFS(Питание!$D$14:$D$378,Питание!$A$14:$A$378,"&gt;"&amp;$A39-7,Питание!$A$14:$A$378,"&lt;="&amp;$A39,Питание!$D$14:$D$378,"&gt;0"),""))</f>
        <v/>
      </c>
      <c r="R39" s="14" t="str">
        <f aca="false">IF(O39="","",IFERROR(O39-AVERAGEIFS(Питание!$B$14:$B$378,Питание!$A$14:$A$378,"&gt;"&amp;$A39-14,Питание!$A$14:$A$378,"&lt;="&amp;$A39-7,Питание!$B$14:$B$378,"&gt;0"),""))</f>
        <v/>
      </c>
      <c r="S39" s="15" t="str">
        <f aca="false">IF(R39="","",R39/O39)</f>
        <v/>
      </c>
      <c r="T39" s="11" t="str">
        <f aca="false">IF(O39="","",O39-StartWeight)</f>
        <v/>
      </c>
    </row>
    <row r="40" customFormat="false" ht="15" hidden="false" customHeight="true" outlineLevel="0" collapsed="false">
      <c r="A40" s="16" t="n">
        <f aca="false">A39+1</f>
        <v>46320</v>
      </c>
      <c r="B40" s="17"/>
      <c r="C40" s="18"/>
      <c r="D40" s="18"/>
      <c r="E40" s="18"/>
      <c r="F40" s="18"/>
      <c r="G40" s="18"/>
      <c r="H40" s="17"/>
      <c r="I40" s="19"/>
      <c r="J40" s="10" t="str">
        <f aca="false">IF(C40="","",C40-TargetKcal)</f>
        <v/>
      </c>
      <c r="K40" s="10" t="str">
        <f aca="false">IF(D40="","",D40-TargetProtein)</f>
        <v/>
      </c>
      <c r="L40" s="10" t="str">
        <f aca="false">IF(E40="","",E40-TargetFat)</f>
        <v/>
      </c>
      <c r="M40" s="10" t="str">
        <f aca="false">IF(F40="","",F40-TargetCarb)</f>
        <v/>
      </c>
      <c r="N40" s="10" t="str">
        <f aca="false">IF(COUNT(C40:F40)&lt;4,"",ROUND(4*D40+9*E40+4*F40-C40,0))</f>
        <v/>
      </c>
      <c r="O40" s="13" t="str">
        <f aca="false">IF(B40="","",IFERROR(AVERAGEIFS(Питание!$B$14:$B$378,Питание!$A$14:$A$378,"&gt;"&amp;$A40-7,Питание!$A$14:$A$378,"&lt;="&amp;$A40,Питание!$B$14:$B$378,"&gt;0"),""))</f>
        <v/>
      </c>
      <c r="P40" s="8" t="str">
        <f aca="false">IF(C40="","",IFERROR(AVERAGEIFS(Питание!$C$14:$C$378,Питание!$A$14:$A$378,"&gt;"&amp;$A40-7,Питание!$A$14:$A$378,"&lt;="&amp;$A40,Питание!$C$14:$C$378,"&gt;0"),""))</f>
        <v/>
      </c>
      <c r="Q40" s="8" t="str">
        <f aca="false">IF(D40="","",IFERROR(AVERAGEIFS(Питание!$D$14:$D$378,Питание!$A$14:$A$378,"&gt;"&amp;$A40-7,Питание!$A$14:$A$378,"&lt;="&amp;$A40,Питание!$D$14:$D$378,"&gt;0"),""))</f>
        <v/>
      </c>
      <c r="R40" s="14" t="str">
        <f aca="false">IF(O40="","",IFERROR(O40-AVERAGEIFS(Питание!$B$14:$B$378,Питание!$A$14:$A$378,"&gt;"&amp;$A40-14,Питание!$A$14:$A$378,"&lt;="&amp;$A40-7,Питание!$B$14:$B$378,"&gt;0"),""))</f>
        <v/>
      </c>
      <c r="S40" s="15" t="str">
        <f aca="false">IF(R40="","",R40/O40)</f>
        <v/>
      </c>
      <c r="T40" s="11" t="str">
        <f aca="false">IF(O40="","",O40-StartWeight)</f>
        <v/>
      </c>
    </row>
    <row r="41" customFormat="false" ht="15" hidden="false" customHeight="true" outlineLevel="0" collapsed="false">
      <c r="A41" s="16" t="n">
        <f aca="false">A40+1</f>
        <v>46321</v>
      </c>
      <c r="B41" s="17"/>
      <c r="C41" s="18"/>
      <c r="D41" s="18"/>
      <c r="E41" s="18"/>
      <c r="F41" s="18"/>
      <c r="G41" s="18"/>
      <c r="H41" s="17"/>
      <c r="I41" s="19"/>
      <c r="J41" s="10" t="str">
        <f aca="false">IF(C41="","",C41-TargetKcal)</f>
        <v/>
      </c>
      <c r="K41" s="10" t="str">
        <f aca="false">IF(D41="","",D41-TargetProtein)</f>
        <v/>
      </c>
      <c r="L41" s="10" t="str">
        <f aca="false">IF(E41="","",E41-TargetFat)</f>
        <v/>
      </c>
      <c r="M41" s="10" t="str">
        <f aca="false">IF(F41="","",F41-TargetCarb)</f>
        <v/>
      </c>
      <c r="N41" s="10" t="str">
        <f aca="false">IF(COUNT(C41:F41)&lt;4,"",ROUND(4*D41+9*E41+4*F41-C41,0))</f>
        <v/>
      </c>
      <c r="O41" s="13" t="str">
        <f aca="false">IF(B41="","",IFERROR(AVERAGEIFS(Питание!$B$14:$B$378,Питание!$A$14:$A$378,"&gt;"&amp;$A41-7,Питание!$A$14:$A$378,"&lt;="&amp;$A41,Питание!$B$14:$B$378,"&gt;0"),""))</f>
        <v/>
      </c>
      <c r="P41" s="8" t="str">
        <f aca="false">IF(C41="","",IFERROR(AVERAGEIFS(Питание!$C$14:$C$378,Питание!$A$14:$A$378,"&gt;"&amp;$A41-7,Питание!$A$14:$A$378,"&lt;="&amp;$A41,Питание!$C$14:$C$378,"&gt;0"),""))</f>
        <v/>
      </c>
      <c r="Q41" s="8" t="str">
        <f aca="false">IF(D41="","",IFERROR(AVERAGEIFS(Питание!$D$14:$D$378,Питание!$A$14:$A$378,"&gt;"&amp;$A41-7,Питание!$A$14:$A$378,"&lt;="&amp;$A41,Питание!$D$14:$D$378,"&gt;0"),""))</f>
        <v/>
      </c>
      <c r="R41" s="14" t="str">
        <f aca="false">IF(O41="","",IFERROR(O41-AVERAGEIFS(Питание!$B$14:$B$378,Питание!$A$14:$A$378,"&gt;"&amp;$A41-14,Питание!$A$14:$A$378,"&lt;="&amp;$A41-7,Питание!$B$14:$B$378,"&gt;0"),""))</f>
        <v/>
      </c>
      <c r="S41" s="15" t="str">
        <f aca="false">IF(R41="","",R41/O41)</f>
        <v/>
      </c>
      <c r="T41" s="11" t="str">
        <f aca="false">IF(O41="","",O41-StartWeight)</f>
        <v/>
      </c>
    </row>
    <row r="42" customFormat="false" ht="15" hidden="false" customHeight="true" outlineLevel="0" collapsed="false">
      <c r="A42" s="16" t="n">
        <f aca="false">A41+1</f>
        <v>46322</v>
      </c>
      <c r="B42" s="17"/>
      <c r="C42" s="18"/>
      <c r="D42" s="18"/>
      <c r="E42" s="18"/>
      <c r="F42" s="18"/>
      <c r="G42" s="18"/>
      <c r="H42" s="17"/>
      <c r="I42" s="19"/>
      <c r="J42" s="10" t="str">
        <f aca="false">IF(C42="","",C42-TargetKcal)</f>
        <v/>
      </c>
      <c r="K42" s="10" t="str">
        <f aca="false">IF(D42="","",D42-TargetProtein)</f>
        <v/>
      </c>
      <c r="L42" s="10" t="str">
        <f aca="false">IF(E42="","",E42-TargetFat)</f>
        <v/>
      </c>
      <c r="M42" s="10" t="str">
        <f aca="false">IF(F42="","",F42-TargetCarb)</f>
        <v/>
      </c>
      <c r="N42" s="10" t="str">
        <f aca="false">IF(COUNT(C42:F42)&lt;4,"",ROUND(4*D42+9*E42+4*F42-C42,0))</f>
        <v/>
      </c>
      <c r="O42" s="13" t="str">
        <f aca="false">IF(B42="","",IFERROR(AVERAGEIFS(Питание!$B$14:$B$378,Питание!$A$14:$A$378,"&gt;"&amp;$A42-7,Питание!$A$14:$A$378,"&lt;="&amp;$A42,Питание!$B$14:$B$378,"&gt;0"),""))</f>
        <v/>
      </c>
      <c r="P42" s="8" t="str">
        <f aca="false">IF(C42="","",IFERROR(AVERAGEIFS(Питание!$C$14:$C$378,Питание!$A$14:$A$378,"&gt;"&amp;$A42-7,Питание!$A$14:$A$378,"&lt;="&amp;$A42,Питание!$C$14:$C$378,"&gt;0"),""))</f>
        <v/>
      </c>
      <c r="Q42" s="8" t="str">
        <f aca="false">IF(D42="","",IFERROR(AVERAGEIFS(Питание!$D$14:$D$378,Питание!$A$14:$A$378,"&gt;"&amp;$A42-7,Питание!$A$14:$A$378,"&lt;="&amp;$A42,Питание!$D$14:$D$378,"&gt;0"),""))</f>
        <v/>
      </c>
      <c r="R42" s="14" t="str">
        <f aca="false">IF(O42="","",IFERROR(O42-AVERAGEIFS(Питание!$B$14:$B$378,Питание!$A$14:$A$378,"&gt;"&amp;$A42-14,Питание!$A$14:$A$378,"&lt;="&amp;$A42-7,Питание!$B$14:$B$378,"&gt;0"),""))</f>
        <v/>
      </c>
      <c r="S42" s="15" t="str">
        <f aca="false">IF(R42="","",R42/O42)</f>
        <v/>
      </c>
      <c r="T42" s="11" t="str">
        <f aca="false">IF(O42="","",O42-StartWeight)</f>
        <v/>
      </c>
    </row>
    <row r="43" customFormat="false" ht="15" hidden="false" customHeight="true" outlineLevel="0" collapsed="false">
      <c r="A43" s="16" t="n">
        <f aca="false">A42+1</f>
        <v>46323</v>
      </c>
      <c r="B43" s="17"/>
      <c r="C43" s="18"/>
      <c r="D43" s="18"/>
      <c r="E43" s="18"/>
      <c r="F43" s="18"/>
      <c r="G43" s="18"/>
      <c r="H43" s="17"/>
      <c r="I43" s="19"/>
      <c r="J43" s="10" t="str">
        <f aca="false">IF(C43="","",C43-TargetKcal)</f>
        <v/>
      </c>
      <c r="K43" s="10" t="str">
        <f aca="false">IF(D43="","",D43-TargetProtein)</f>
        <v/>
      </c>
      <c r="L43" s="10" t="str">
        <f aca="false">IF(E43="","",E43-TargetFat)</f>
        <v/>
      </c>
      <c r="M43" s="10" t="str">
        <f aca="false">IF(F43="","",F43-TargetCarb)</f>
        <v/>
      </c>
      <c r="N43" s="10" t="str">
        <f aca="false">IF(COUNT(C43:F43)&lt;4,"",ROUND(4*D43+9*E43+4*F43-C43,0))</f>
        <v/>
      </c>
      <c r="O43" s="13" t="str">
        <f aca="false">IF(B43="","",IFERROR(AVERAGEIFS(Питание!$B$14:$B$378,Питание!$A$14:$A$378,"&gt;"&amp;$A43-7,Питание!$A$14:$A$378,"&lt;="&amp;$A43,Питание!$B$14:$B$378,"&gt;0"),""))</f>
        <v/>
      </c>
      <c r="P43" s="8" t="str">
        <f aca="false">IF(C43="","",IFERROR(AVERAGEIFS(Питание!$C$14:$C$378,Питание!$A$14:$A$378,"&gt;"&amp;$A43-7,Питание!$A$14:$A$378,"&lt;="&amp;$A43,Питание!$C$14:$C$378,"&gt;0"),""))</f>
        <v/>
      </c>
      <c r="Q43" s="8" t="str">
        <f aca="false">IF(D43="","",IFERROR(AVERAGEIFS(Питание!$D$14:$D$378,Питание!$A$14:$A$378,"&gt;"&amp;$A43-7,Питание!$A$14:$A$378,"&lt;="&amp;$A43,Питание!$D$14:$D$378,"&gt;0"),""))</f>
        <v/>
      </c>
      <c r="R43" s="14" t="str">
        <f aca="false">IF(O43="","",IFERROR(O43-AVERAGEIFS(Питание!$B$14:$B$378,Питание!$A$14:$A$378,"&gt;"&amp;$A43-14,Питание!$A$14:$A$378,"&lt;="&amp;$A43-7,Питание!$B$14:$B$378,"&gt;0"),""))</f>
        <v/>
      </c>
      <c r="S43" s="15" t="str">
        <f aca="false">IF(R43="","",R43/O43)</f>
        <v/>
      </c>
      <c r="T43" s="11" t="str">
        <f aca="false">IF(O43="","",O43-StartWeight)</f>
        <v/>
      </c>
    </row>
    <row r="44" customFormat="false" ht="15" hidden="false" customHeight="true" outlineLevel="0" collapsed="false">
      <c r="A44" s="16" t="n">
        <f aca="false">A43+1</f>
        <v>46324</v>
      </c>
      <c r="B44" s="17"/>
      <c r="C44" s="18"/>
      <c r="D44" s="18"/>
      <c r="E44" s="18"/>
      <c r="F44" s="18"/>
      <c r="G44" s="18"/>
      <c r="H44" s="17"/>
      <c r="I44" s="19"/>
      <c r="J44" s="10" t="str">
        <f aca="false">IF(C44="","",C44-TargetKcal)</f>
        <v/>
      </c>
      <c r="K44" s="10" t="str">
        <f aca="false">IF(D44="","",D44-TargetProtein)</f>
        <v/>
      </c>
      <c r="L44" s="10" t="str">
        <f aca="false">IF(E44="","",E44-TargetFat)</f>
        <v/>
      </c>
      <c r="M44" s="10" t="str">
        <f aca="false">IF(F44="","",F44-TargetCarb)</f>
        <v/>
      </c>
      <c r="N44" s="10" t="str">
        <f aca="false">IF(COUNT(C44:F44)&lt;4,"",ROUND(4*D44+9*E44+4*F44-C44,0))</f>
        <v/>
      </c>
      <c r="O44" s="13" t="str">
        <f aca="false">IF(B44="","",IFERROR(AVERAGEIFS(Питание!$B$14:$B$378,Питание!$A$14:$A$378,"&gt;"&amp;$A44-7,Питание!$A$14:$A$378,"&lt;="&amp;$A44,Питание!$B$14:$B$378,"&gt;0"),""))</f>
        <v/>
      </c>
      <c r="P44" s="8" t="str">
        <f aca="false">IF(C44="","",IFERROR(AVERAGEIFS(Питание!$C$14:$C$378,Питание!$A$14:$A$378,"&gt;"&amp;$A44-7,Питание!$A$14:$A$378,"&lt;="&amp;$A44,Питание!$C$14:$C$378,"&gt;0"),""))</f>
        <v/>
      </c>
      <c r="Q44" s="8" t="str">
        <f aca="false">IF(D44="","",IFERROR(AVERAGEIFS(Питание!$D$14:$D$378,Питание!$A$14:$A$378,"&gt;"&amp;$A44-7,Питание!$A$14:$A$378,"&lt;="&amp;$A44,Питание!$D$14:$D$378,"&gt;0"),""))</f>
        <v/>
      </c>
      <c r="R44" s="14" t="str">
        <f aca="false">IF(O44="","",IFERROR(O44-AVERAGEIFS(Питание!$B$14:$B$378,Питание!$A$14:$A$378,"&gt;"&amp;$A44-14,Питание!$A$14:$A$378,"&lt;="&amp;$A44-7,Питание!$B$14:$B$378,"&gt;0"),""))</f>
        <v/>
      </c>
      <c r="S44" s="15" t="str">
        <f aca="false">IF(R44="","",R44/O44)</f>
        <v/>
      </c>
      <c r="T44" s="11" t="str">
        <f aca="false">IF(O44="","",O44-StartWeight)</f>
        <v/>
      </c>
    </row>
    <row r="45" customFormat="false" ht="15" hidden="false" customHeight="true" outlineLevel="0" collapsed="false">
      <c r="A45" s="16" t="n">
        <f aca="false">A44+1</f>
        <v>46325</v>
      </c>
      <c r="B45" s="17"/>
      <c r="C45" s="18"/>
      <c r="D45" s="18"/>
      <c r="E45" s="18"/>
      <c r="F45" s="18"/>
      <c r="G45" s="18"/>
      <c r="H45" s="17"/>
      <c r="I45" s="19"/>
      <c r="J45" s="10" t="str">
        <f aca="false">IF(C45="","",C45-TargetKcal)</f>
        <v/>
      </c>
      <c r="K45" s="10" t="str">
        <f aca="false">IF(D45="","",D45-TargetProtein)</f>
        <v/>
      </c>
      <c r="L45" s="10" t="str">
        <f aca="false">IF(E45="","",E45-TargetFat)</f>
        <v/>
      </c>
      <c r="M45" s="10" t="str">
        <f aca="false">IF(F45="","",F45-TargetCarb)</f>
        <v/>
      </c>
      <c r="N45" s="10" t="str">
        <f aca="false">IF(COUNT(C45:F45)&lt;4,"",ROUND(4*D45+9*E45+4*F45-C45,0))</f>
        <v/>
      </c>
      <c r="O45" s="13" t="str">
        <f aca="false">IF(B45="","",IFERROR(AVERAGEIFS(Питание!$B$14:$B$378,Питание!$A$14:$A$378,"&gt;"&amp;$A45-7,Питание!$A$14:$A$378,"&lt;="&amp;$A45,Питание!$B$14:$B$378,"&gt;0"),""))</f>
        <v/>
      </c>
      <c r="P45" s="8" t="str">
        <f aca="false">IF(C45="","",IFERROR(AVERAGEIFS(Питание!$C$14:$C$378,Питание!$A$14:$A$378,"&gt;"&amp;$A45-7,Питание!$A$14:$A$378,"&lt;="&amp;$A45,Питание!$C$14:$C$378,"&gt;0"),""))</f>
        <v/>
      </c>
      <c r="Q45" s="8" t="str">
        <f aca="false">IF(D45="","",IFERROR(AVERAGEIFS(Питание!$D$14:$D$378,Питание!$A$14:$A$378,"&gt;"&amp;$A45-7,Питание!$A$14:$A$378,"&lt;="&amp;$A45,Питание!$D$14:$D$378,"&gt;0"),""))</f>
        <v/>
      </c>
      <c r="R45" s="14" t="str">
        <f aca="false">IF(O45="","",IFERROR(O45-AVERAGEIFS(Питание!$B$14:$B$378,Питание!$A$14:$A$378,"&gt;"&amp;$A45-14,Питание!$A$14:$A$378,"&lt;="&amp;$A45-7,Питание!$B$14:$B$378,"&gt;0"),""))</f>
        <v/>
      </c>
      <c r="S45" s="15" t="str">
        <f aca="false">IF(R45="","",R45/O45)</f>
        <v/>
      </c>
      <c r="T45" s="11" t="str">
        <f aca="false">IF(O45="","",O45-StartWeight)</f>
        <v/>
      </c>
    </row>
    <row r="46" customFormat="false" ht="15" hidden="false" customHeight="true" outlineLevel="0" collapsed="false">
      <c r="A46" s="16" t="n">
        <f aca="false">A45+1</f>
        <v>46326</v>
      </c>
      <c r="B46" s="17"/>
      <c r="C46" s="18"/>
      <c r="D46" s="18"/>
      <c r="E46" s="18"/>
      <c r="F46" s="18"/>
      <c r="G46" s="18"/>
      <c r="H46" s="17"/>
      <c r="I46" s="19"/>
      <c r="J46" s="10" t="str">
        <f aca="false">IF(C46="","",C46-TargetKcal)</f>
        <v/>
      </c>
      <c r="K46" s="10" t="str">
        <f aca="false">IF(D46="","",D46-TargetProtein)</f>
        <v/>
      </c>
      <c r="L46" s="10" t="str">
        <f aca="false">IF(E46="","",E46-TargetFat)</f>
        <v/>
      </c>
      <c r="M46" s="10" t="str">
        <f aca="false">IF(F46="","",F46-TargetCarb)</f>
        <v/>
      </c>
      <c r="N46" s="10" t="str">
        <f aca="false">IF(COUNT(C46:F46)&lt;4,"",ROUND(4*D46+9*E46+4*F46-C46,0))</f>
        <v/>
      </c>
      <c r="O46" s="13" t="str">
        <f aca="false">IF(B46="","",IFERROR(AVERAGEIFS(Питание!$B$14:$B$378,Питание!$A$14:$A$378,"&gt;"&amp;$A46-7,Питание!$A$14:$A$378,"&lt;="&amp;$A46,Питание!$B$14:$B$378,"&gt;0"),""))</f>
        <v/>
      </c>
      <c r="P46" s="8" t="str">
        <f aca="false">IF(C46="","",IFERROR(AVERAGEIFS(Питание!$C$14:$C$378,Питание!$A$14:$A$378,"&gt;"&amp;$A46-7,Питание!$A$14:$A$378,"&lt;="&amp;$A46,Питание!$C$14:$C$378,"&gt;0"),""))</f>
        <v/>
      </c>
      <c r="Q46" s="8" t="str">
        <f aca="false">IF(D46="","",IFERROR(AVERAGEIFS(Питание!$D$14:$D$378,Питание!$A$14:$A$378,"&gt;"&amp;$A46-7,Питание!$A$14:$A$378,"&lt;="&amp;$A46,Питание!$D$14:$D$378,"&gt;0"),""))</f>
        <v/>
      </c>
      <c r="R46" s="14" t="str">
        <f aca="false">IF(O46="","",IFERROR(O46-AVERAGEIFS(Питание!$B$14:$B$378,Питание!$A$14:$A$378,"&gt;"&amp;$A46-14,Питание!$A$14:$A$378,"&lt;="&amp;$A46-7,Питание!$B$14:$B$378,"&gt;0"),""))</f>
        <v/>
      </c>
      <c r="S46" s="15" t="str">
        <f aca="false">IF(R46="","",R46/O46)</f>
        <v/>
      </c>
      <c r="T46" s="11" t="str">
        <f aca="false">IF(O46="","",O46-StartWeight)</f>
        <v/>
      </c>
    </row>
    <row r="47" customFormat="false" ht="15" hidden="false" customHeight="true" outlineLevel="0" collapsed="false">
      <c r="A47" s="16" t="n">
        <f aca="false">A46+1</f>
        <v>46327</v>
      </c>
      <c r="B47" s="17"/>
      <c r="C47" s="18"/>
      <c r="D47" s="18"/>
      <c r="E47" s="18"/>
      <c r="F47" s="18"/>
      <c r="G47" s="18"/>
      <c r="H47" s="17"/>
      <c r="I47" s="19"/>
      <c r="J47" s="10" t="str">
        <f aca="false">IF(C47="","",C47-TargetKcal)</f>
        <v/>
      </c>
      <c r="K47" s="10" t="str">
        <f aca="false">IF(D47="","",D47-TargetProtein)</f>
        <v/>
      </c>
      <c r="L47" s="10" t="str">
        <f aca="false">IF(E47="","",E47-TargetFat)</f>
        <v/>
      </c>
      <c r="M47" s="10" t="str">
        <f aca="false">IF(F47="","",F47-TargetCarb)</f>
        <v/>
      </c>
      <c r="N47" s="10" t="str">
        <f aca="false">IF(COUNT(C47:F47)&lt;4,"",ROUND(4*D47+9*E47+4*F47-C47,0))</f>
        <v/>
      </c>
      <c r="O47" s="13" t="str">
        <f aca="false">IF(B47="","",IFERROR(AVERAGEIFS(Питание!$B$14:$B$378,Питание!$A$14:$A$378,"&gt;"&amp;$A47-7,Питание!$A$14:$A$378,"&lt;="&amp;$A47,Питание!$B$14:$B$378,"&gt;0"),""))</f>
        <v/>
      </c>
      <c r="P47" s="8" t="str">
        <f aca="false">IF(C47="","",IFERROR(AVERAGEIFS(Питание!$C$14:$C$378,Питание!$A$14:$A$378,"&gt;"&amp;$A47-7,Питание!$A$14:$A$378,"&lt;="&amp;$A47,Питание!$C$14:$C$378,"&gt;0"),""))</f>
        <v/>
      </c>
      <c r="Q47" s="8" t="str">
        <f aca="false">IF(D47="","",IFERROR(AVERAGEIFS(Питание!$D$14:$D$378,Питание!$A$14:$A$378,"&gt;"&amp;$A47-7,Питание!$A$14:$A$378,"&lt;="&amp;$A47,Питание!$D$14:$D$378,"&gt;0"),""))</f>
        <v/>
      </c>
      <c r="R47" s="14" t="str">
        <f aca="false">IF(O47="","",IFERROR(O47-AVERAGEIFS(Питание!$B$14:$B$378,Питание!$A$14:$A$378,"&gt;"&amp;$A47-14,Питание!$A$14:$A$378,"&lt;="&amp;$A47-7,Питание!$B$14:$B$378,"&gt;0"),""))</f>
        <v/>
      </c>
      <c r="S47" s="15" t="str">
        <f aca="false">IF(R47="","",R47/O47)</f>
        <v/>
      </c>
      <c r="T47" s="11" t="str">
        <f aca="false">IF(O47="","",O47-StartWeight)</f>
        <v/>
      </c>
    </row>
    <row r="48" customFormat="false" ht="15" hidden="false" customHeight="true" outlineLevel="0" collapsed="false">
      <c r="A48" s="16" t="n">
        <f aca="false">A47+1</f>
        <v>46328</v>
      </c>
      <c r="B48" s="17"/>
      <c r="C48" s="18"/>
      <c r="D48" s="18"/>
      <c r="E48" s="18"/>
      <c r="F48" s="18"/>
      <c r="G48" s="18"/>
      <c r="H48" s="17"/>
      <c r="I48" s="19"/>
      <c r="J48" s="10" t="str">
        <f aca="false">IF(C48="","",C48-TargetKcal)</f>
        <v/>
      </c>
      <c r="K48" s="10" t="str">
        <f aca="false">IF(D48="","",D48-TargetProtein)</f>
        <v/>
      </c>
      <c r="L48" s="10" t="str">
        <f aca="false">IF(E48="","",E48-TargetFat)</f>
        <v/>
      </c>
      <c r="M48" s="10" t="str">
        <f aca="false">IF(F48="","",F48-TargetCarb)</f>
        <v/>
      </c>
      <c r="N48" s="10" t="str">
        <f aca="false">IF(COUNT(C48:F48)&lt;4,"",ROUND(4*D48+9*E48+4*F48-C48,0))</f>
        <v/>
      </c>
      <c r="O48" s="13" t="str">
        <f aca="false">IF(B48="","",IFERROR(AVERAGEIFS(Питание!$B$14:$B$378,Питание!$A$14:$A$378,"&gt;"&amp;$A48-7,Питание!$A$14:$A$378,"&lt;="&amp;$A48,Питание!$B$14:$B$378,"&gt;0"),""))</f>
        <v/>
      </c>
      <c r="P48" s="8" t="str">
        <f aca="false">IF(C48="","",IFERROR(AVERAGEIFS(Питание!$C$14:$C$378,Питание!$A$14:$A$378,"&gt;"&amp;$A48-7,Питание!$A$14:$A$378,"&lt;="&amp;$A48,Питание!$C$14:$C$378,"&gt;0"),""))</f>
        <v/>
      </c>
      <c r="Q48" s="8" t="str">
        <f aca="false">IF(D48="","",IFERROR(AVERAGEIFS(Питание!$D$14:$D$378,Питание!$A$14:$A$378,"&gt;"&amp;$A48-7,Питание!$A$14:$A$378,"&lt;="&amp;$A48,Питание!$D$14:$D$378,"&gt;0"),""))</f>
        <v/>
      </c>
      <c r="R48" s="14" t="str">
        <f aca="false">IF(O48="","",IFERROR(O48-AVERAGEIFS(Питание!$B$14:$B$378,Питание!$A$14:$A$378,"&gt;"&amp;$A48-14,Питание!$A$14:$A$378,"&lt;="&amp;$A48-7,Питание!$B$14:$B$378,"&gt;0"),""))</f>
        <v/>
      </c>
      <c r="S48" s="15" t="str">
        <f aca="false">IF(R48="","",R48/O48)</f>
        <v/>
      </c>
      <c r="T48" s="11" t="str">
        <f aca="false">IF(O48="","",O48-StartWeight)</f>
        <v/>
      </c>
    </row>
    <row r="49" customFormat="false" ht="15" hidden="false" customHeight="true" outlineLevel="0" collapsed="false">
      <c r="A49" s="16" t="n">
        <f aca="false">A48+1</f>
        <v>46329</v>
      </c>
      <c r="B49" s="17"/>
      <c r="C49" s="18"/>
      <c r="D49" s="18"/>
      <c r="E49" s="18"/>
      <c r="F49" s="18"/>
      <c r="G49" s="18"/>
      <c r="H49" s="17"/>
      <c r="I49" s="19"/>
      <c r="J49" s="10" t="str">
        <f aca="false">IF(C49="","",C49-TargetKcal)</f>
        <v/>
      </c>
      <c r="K49" s="10" t="str">
        <f aca="false">IF(D49="","",D49-TargetProtein)</f>
        <v/>
      </c>
      <c r="L49" s="10" t="str">
        <f aca="false">IF(E49="","",E49-TargetFat)</f>
        <v/>
      </c>
      <c r="M49" s="10" t="str">
        <f aca="false">IF(F49="","",F49-TargetCarb)</f>
        <v/>
      </c>
      <c r="N49" s="10" t="str">
        <f aca="false">IF(COUNT(C49:F49)&lt;4,"",ROUND(4*D49+9*E49+4*F49-C49,0))</f>
        <v/>
      </c>
      <c r="O49" s="13" t="str">
        <f aca="false">IF(B49="","",IFERROR(AVERAGEIFS(Питание!$B$14:$B$378,Питание!$A$14:$A$378,"&gt;"&amp;$A49-7,Питание!$A$14:$A$378,"&lt;="&amp;$A49,Питание!$B$14:$B$378,"&gt;0"),""))</f>
        <v/>
      </c>
      <c r="P49" s="8" t="str">
        <f aca="false">IF(C49="","",IFERROR(AVERAGEIFS(Питание!$C$14:$C$378,Питание!$A$14:$A$378,"&gt;"&amp;$A49-7,Питание!$A$14:$A$378,"&lt;="&amp;$A49,Питание!$C$14:$C$378,"&gt;0"),""))</f>
        <v/>
      </c>
      <c r="Q49" s="8" t="str">
        <f aca="false">IF(D49="","",IFERROR(AVERAGEIFS(Питание!$D$14:$D$378,Питание!$A$14:$A$378,"&gt;"&amp;$A49-7,Питание!$A$14:$A$378,"&lt;="&amp;$A49,Питание!$D$14:$D$378,"&gt;0"),""))</f>
        <v/>
      </c>
      <c r="R49" s="14" t="str">
        <f aca="false">IF(O49="","",IFERROR(O49-AVERAGEIFS(Питание!$B$14:$B$378,Питание!$A$14:$A$378,"&gt;"&amp;$A49-14,Питание!$A$14:$A$378,"&lt;="&amp;$A49-7,Питание!$B$14:$B$378,"&gt;0"),""))</f>
        <v/>
      </c>
      <c r="S49" s="15" t="str">
        <f aca="false">IF(R49="","",R49/O49)</f>
        <v/>
      </c>
      <c r="T49" s="11" t="str">
        <f aca="false">IF(O49="","",O49-StartWeight)</f>
        <v/>
      </c>
    </row>
    <row r="50" customFormat="false" ht="15" hidden="false" customHeight="true" outlineLevel="0" collapsed="false">
      <c r="A50" s="16" t="n">
        <f aca="false">A49+1</f>
        <v>46330</v>
      </c>
      <c r="B50" s="17"/>
      <c r="C50" s="18"/>
      <c r="D50" s="18"/>
      <c r="E50" s="18"/>
      <c r="F50" s="18"/>
      <c r="G50" s="18"/>
      <c r="H50" s="17"/>
      <c r="I50" s="19"/>
      <c r="J50" s="10" t="str">
        <f aca="false">IF(C50="","",C50-TargetKcal)</f>
        <v/>
      </c>
      <c r="K50" s="10" t="str">
        <f aca="false">IF(D50="","",D50-TargetProtein)</f>
        <v/>
      </c>
      <c r="L50" s="10" t="str">
        <f aca="false">IF(E50="","",E50-TargetFat)</f>
        <v/>
      </c>
      <c r="M50" s="10" t="str">
        <f aca="false">IF(F50="","",F50-TargetCarb)</f>
        <v/>
      </c>
      <c r="N50" s="10" t="str">
        <f aca="false">IF(COUNT(C50:F50)&lt;4,"",ROUND(4*D50+9*E50+4*F50-C50,0))</f>
        <v/>
      </c>
      <c r="O50" s="13" t="str">
        <f aca="false">IF(B50="","",IFERROR(AVERAGEIFS(Питание!$B$14:$B$378,Питание!$A$14:$A$378,"&gt;"&amp;$A50-7,Питание!$A$14:$A$378,"&lt;="&amp;$A50,Питание!$B$14:$B$378,"&gt;0"),""))</f>
        <v/>
      </c>
      <c r="P50" s="8" t="str">
        <f aca="false">IF(C50="","",IFERROR(AVERAGEIFS(Питание!$C$14:$C$378,Питание!$A$14:$A$378,"&gt;"&amp;$A50-7,Питание!$A$14:$A$378,"&lt;="&amp;$A50,Питание!$C$14:$C$378,"&gt;0"),""))</f>
        <v/>
      </c>
      <c r="Q50" s="8" t="str">
        <f aca="false">IF(D50="","",IFERROR(AVERAGEIFS(Питание!$D$14:$D$378,Питание!$A$14:$A$378,"&gt;"&amp;$A50-7,Питание!$A$14:$A$378,"&lt;="&amp;$A50,Питание!$D$14:$D$378,"&gt;0"),""))</f>
        <v/>
      </c>
      <c r="R50" s="14" t="str">
        <f aca="false">IF(O50="","",IFERROR(O50-AVERAGEIFS(Питание!$B$14:$B$378,Питание!$A$14:$A$378,"&gt;"&amp;$A50-14,Питание!$A$14:$A$378,"&lt;="&amp;$A50-7,Питание!$B$14:$B$378,"&gt;0"),""))</f>
        <v/>
      </c>
      <c r="S50" s="15" t="str">
        <f aca="false">IF(R50="","",R50/O50)</f>
        <v/>
      </c>
      <c r="T50" s="11" t="str">
        <f aca="false">IF(O50="","",O50-StartWeight)</f>
        <v/>
      </c>
    </row>
    <row r="51" customFormat="false" ht="15" hidden="false" customHeight="true" outlineLevel="0" collapsed="false">
      <c r="A51" s="16" t="n">
        <f aca="false">A50+1</f>
        <v>46331</v>
      </c>
      <c r="B51" s="17"/>
      <c r="C51" s="18"/>
      <c r="D51" s="18"/>
      <c r="E51" s="18"/>
      <c r="F51" s="18"/>
      <c r="G51" s="18"/>
      <c r="H51" s="17"/>
      <c r="I51" s="19"/>
      <c r="J51" s="10" t="str">
        <f aca="false">IF(C51="","",C51-TargetKcal)</f>
        <v/>
      </c>
      <c r="K51" s="10" t="str">
        <f aca="false">IF(D51="","",D51-TargetProtein)</f>
        <v/>
      </c>
      <c r="L51" s="10" t="str">
        <f aca="false">IF(E51="","",E51-TargetFat)</f>
        <v/>
      </c>
      <c r="M51" s="10" t="str">
        <f aca="false">IF(F51="","",F51-TargetCarb)</f>
        <v/>
      </c>
      <c r="N51" s="10" t="str">
        <f aca="false">IF(COUNT(C51:F51)&lt;4,"",ROUND(4*D51+9*E51+4*F51-C51,0))</f>
        <v/>
      </c>
      <c r="O51" s="13" t="str">
        <f aca="false">IF(B51="","",IFERROR(AVERAGEIFS(Питание!$B$14:$B$378,Питание!$A$14:$A$378,"&gt;"&amp;$A51-7,Питание!$A$14:$A$378,"&lt;="&amp;$A51,Питание!$B$14:$B$378,"&gt;0"),""))</f>
        <v/>
      </c>
      <c r="P51" s="8" t="str">
        <f aca="false">IF(C51="","",IFERROR(AVERAGEIFS(Питание!$C$14:$C$378,Питание!$A$14:$A$378,"&gt;"&amp;$A51-7,Питание!$A$14:$A$378,"&lt;="&amp;$A51,Питание!$C$14:$C$378,"&gt;0"),""))</f>
        <v/>
      </c>
      <c r="Q51" s="8" t="str">
        <f aca="false">IF(D51="","",IFERROR(AVERAGEIFS(Питание!$D$14:$D$378,Питание!$A$14:$A$378,"&gt;"&amp;$A51-7,Питание!$A$14:$A$378,"&lt;="&amp;$A51,Питание!$D$14:$D$378,"&gt;0"),""))</f>
        <v/>
      </c>
      <c r="R51" s="14" t="str">
        <f aca="false">IF(O51="","",IFERROR(O51-AVERAGEIFS(Питание!$B$14:$B$378,Питание!$A$14:$A$378,"&gt;"&amp;$A51-14,Питание!$A$14:$A$378,"&lt;="&amp;$A51-7,Питание!$B$14:$B$378,"&gt;0"),""))</f>
        <v/>
      </c>
      <c r="S51" s="15" t="str">
        <f aca="false">IF(R51="","",R51/O51)</f>
        <v/>
      </c>
      <c r="T51" s="11" t="str">
        <f aca="false">IF(O51="","",O51-StartWeight)</f>
        <v/>
      </c>
    </row>
    <row r="52" customFormat="false" ht="15" hidden="false" customHeight="true" outlineLevel="0" collapsed="false">
      <c r="A52" s="16" t="n">
        <f aca="false">A51+1</f>
        <v>46332</v>
      </c>
      <c r="B52" s="17"/>
      <c r="C52" s="18"/>
      <c r="D52" s="18"/>
      <c r="E52" s="18"/>
      <c r="F52" s="18"/>
      <c r="G52" s="18"/>
      <c r="H52" s="17"/>
      <c r="I52" s="19"/>
      <c r="J52" s="10" t="str">
        <f aca="false">IF(C52="","",C52-TargetKcal)</f>
        <v/>
      </c>
      <c r="K52" s="10" t="str">
        <f aca="false">IF(D52="","",D52-TargetProtein)</f>
        <v/>
      </c>
      <c r="L52" s="10" t="str">
        <f aca="false">IF(E52="","",E52-TargetFat)</f>
        <v/>
      </c>
      <c r="M52" s="10" t="str">
        <f aca="false">IF(F52="","",F52-TargetCarb)</f>
        <v/>
      </c>
      <c r="N52" s="10" t="str">
        <f aca="false">IF(COUNT(C52:F52)&lt;4,"",ROUND(4*D52+9*E52+4*F52-C52,0))</f>
        <v/>
      </c>
      <c r="O52" s="13" t="str">
        <f aca="false">IF(B52="","",IFERROR(AVERAGEIFS(Питание!$B$14:$B$378,Питание!$A$14:$A$378,"&gt;"&amp;$A52-7,Питание!$A$14:$A$378,"&lt;="&amp;$A52,Питание!$B$14:$B$378,"&gt;0"),""))</f>
        <v/>
      </c>
      <c r="P52" s="8" t="str">
        <f aca="false">IF(C52="","",IFERROR(AVERAGEIFS(Питание!$C$14:$C$378,Питание!$A$14:$A$378,"&gt;"&amp;$A52-7,Питание!$A$14:$A$378,"&lt;="&amp;$A52,Питание!$C$14:$C$378,"&gt;0"),""))</f>
        <v/>
      </c>
      <c r="Q52" s="8" t="str">
        <f aca="false">IF(D52="","",IFERROR(AVERAGEIFS(Питание!$D$14:$D$378,Питание!$A$14:$A$378,"&gt;"&amp;$A52-7,Питание!$A$14:$A$378,"&lt;="&amp;$A52,Питание!$D$14:$D$378,"&gt;0"),""))</f>
        <v/>
      </c>
      <c r="R52" s="14" t="str">
        <f aca="false">IF(O52="","",IFERROR(O52-AVERAGEIFS(Питание!$B$14:$B$378,Питание!$A$14:$A$378,"&gt;"&amp;$A52-14,Питание!$A$14:$A$378,"&lt;="&amp;$A52-7,Питание!$B$14:$B$378,"&gt;0"),""))</f>
        <v/>
      </c>
      <c r="S52" s="15" t="str">
        <f aca="false">IF(R52="","",R52/O52)</f>
        <v/>
      </c>
      <c r="T52" s="11" t="str">
        <f aca="false">IF(O52="","",O52-StartWeight)</f>
        <v/>
      </c>
    </row>
    <row r="53" customFormat="false" ht="15" hidden="false" customHeight="true" outlineLevel="0" collapsed="false">
      <c r="A53" s="16" t="n">
        <f aca="false">A52+1</f>
        <v>46333</v>
      </c>
      <c r="B53" s="17"/>
      <c r="C53" s="18"/>
      <c r="D53" s="18"/>
      <c r="E53" s="18"/>
      <c r="F53" s="18"/>
      <c r="G53" s="18"/>
      <c r="H53" s="17"/>
      <c r="I53" s="19"/>
      <c r="J53" s="10" t="str">
        <f aca="false">IF(C53="","",C53-TargetKcal)</f>
        <v/>
      </c>
      <c r="K53" s="10" t="str">
        <f aca="false">IF(D53="","",D53-TargetProtein)</f>
        <v/>
      </c>
      <c r="L53" s="10" t="str">
        <f aca="false">IF(E53="","",E53-TargetFat)</f>
        <v/>
      </c>
      <c r="M53" s="10" t="str">
        <f aca="false">IF(F53="","",F53-TargetCarb)</f>
        <v/>
      </c>
      <c r="N53" s="10" t="str">
        <f aca="false">IF(COUNT(C53:F53)&lt;4,"",ROUND(4*D53+9*E53+4*F53-C53,0))</f>
        <v/>
      </c>
      <c r="O53" s="13" t="str">
        <f aca="false">IF(B53="","",IFERROR(AVERAGEIFS(Питание!$B$14:$B$378,Питание!$A$14:$A$378,"&gt;"&amp;$A53-7,Питание!$A$14:$A$378,"&lt;="&amp;$A53,Питание!$B$14:$B$378,"&gt;0"),""))</f>
        <v/>
      </c>
      <c r="P53" s="8" t="str">
        <f aca="false">IF(C53="","",IFERROR(AVERAGEIFS(Питание!$C$14:$C$378,Питание!$A$14:$A$378,"&gt;"&amp;$A53-7,Питание!$A$14:$A$378,"&lt;="&amp;$A53,Питание!$C$14:$C$378,"&gt;0"),""))</f>
        <v/>
      </c>
      <c r="Q53" s="8" t="str">
        <f aca="false">IF(D53="","",IFERROR(AVERAGEIFS(Питание!$D$14:$D$378,Питание!$A$14:$A$378,"&gt;"&amp;$A53-7,Питание!$A$14:$A$378,"&lt;="&amp;$A53,Питание!$D$14:$D$378,"&gt;0"),""))</f>
        <v/>
      </c>
      <c r="R53" s="14" t="str">
        <f aca="false">IF(O53="","",IFERROR(O53-AVERAGEIFS(Питание!$B$14:$B$378,Питание!$A$14:$A$378,"&gt;"&amp;$A53-14,Питание!$A$14:$A$378,"&lt;="&amp;$A53-7,Питание!$B$14:$B$378,"&gt;0"),""))</f>
        <v/>
      </c>
      <c r="S53" s="15" t="str">
        <f aca="false">IF(R53="","",R53/O53)</f>
        <v/>
      </c>
      <c r="T53" s="11" t="str">
        <f aca="false">IF(O53="","",O53-StartWeight)</f>
        <v/>
      </c>
    </row>
    <row r="54" customFormat="false" ht="15" hidden="false" customHeight="true" outlineLevel="0" collapsed="false">
      <c r="A54" s="16" t="n">
        <f aca="false">A53+1</f>
        <v>46334</v>
      </c>
      <c r="B54" s="17"/>
      <c r="C54" s="18"/>
      <c r="D54" s="18"/>
      <c r="E54" s="18"/>
      <c r="F54" s="18"/>
      <c r="G54" s="18"/>
      <c r="H54" s="17"/>
      <c r="I54" s="19"/>
      <c r="J54" s="10" t="str">
        <f aca="false">IF(C54="","",C54-TargetKcal)</f>
        <v/>
      </c>
      <c r="K54" s="10" t="str">
        <f aca="false">IF(D54="","",D54-TargetProtein)</f>
        <v/>
      </c>
      <c r="L54" s="10" t="str">
        <f aca="false">IF(E54="","",E54-TargetFat)</f>
        <v/>
      </c>
      <c r="M54" s="10" t="str">
        <f aca="false">IF(F54="","",F54-TargetCarb)</f>
        <v/>
      </c>
      <c r="N54" s="10" t="str">
        <f aca="false">IF(COUNT(C54:F54)&lt;4,"",ROUND(4*D54+9*E54+4*F54-C54,0))</f>
        <v/>
      </c>
      <c r="O54" s="13" t="str">
        <f aca="false">IF(B54="","",IFERROR(AVERAGEIFS(Питание!$B$14:$B$378,Питание!$A$14:$A$378,"&gt;"&amp;$A54-7,Питание!$A$14:$A$378,"&lt;="&amp;$A54,Питание!$B$14:$B$378,"&gt;0"),""))</f>
        <v/>
      </c>
      <c r="P54" s="8" t="str">
        <f aca="false">IF(C54="","",IFERROR(AVERAGEIFS(Питание!$C$14:$C$378,Питание!$A$14:$A$378,"&gt;"&amp;$A54-7,Питание!$A$14:$A$378,"&lt;="&amp;$A54,Питание!$C$14:$C$378,"&gt;0"),""))</f>
        <v/>
      </c>
      <c r="Q54" s="8" t="str">
        <f aca="false">IF(D54="","",IFERROR(AVERAGEIFS(Питание!$D$14:$D$378,Питание!$A$14:$A$378,"&gt;"&amp;$A54-7,Питание!$A$14:$A$378,"&lt;="&amp;$A54,Питание!$D$14:$D$378,"&gt;0"),""))</f>
        <v/>
      </c>
      <c r="R54" s="14" t="str">
        <f aca="false">IF(O54="","",IFERROR(O54-AVERAGEIFS(Питание!$B$14:$B$378,Питание!$A$14:$A$378,"&gt;"&amp;$A54-14,Питание!$A$14:$A$378,"&lt;="&amp;$A54-7,Питание!$B$14:$B$378,"&gt;0"),""))</f>
        <v/>
      </c>
      <c r="S54" s="15" t="str">
        <f aca="false">IF(R54="","",R54/O54)</f>
        <v/>
      </c>
      <c r="T54" s="11" t="str">
        <f aca="false">IF(O54="","",O54-StartWeight)</f>
        <v/>
      </c>
    </row>
    <row r="55" customFormat="false" ht="15" hidden="false" customHeight="true" outlineLevel="0" collapsed="false">
      <c r="A55" s="16" t="n">
        <f aca="false">A54+1</f>
        <v>46335</v>
      </c>
      <c r="B55" s="17"/>
      <c r="C55" s="18"/>
      <c r="D55" s="18"/>
      <c r="E55" s="18"/>
      <c r="F55" s="18"/>
      <c r="G55" s="18"/>
      <c r="H55" s="17"/>
      <c r="I55" s="19"/>
      <c r="J55" s="10" t="str">
        <f aca="false">IF(C55="","",C55-TargetKcal)</f>
        <v/>
      </c>
      <c r="K55" s="10" t="str">
        <f aca="false">IF(D55="","",D55-TargetProtein)</f>
        <v/>
      </c>
      <c r="L55" s="10" t="str">
        <f aca="false">IF(E55="","",E55-TargetFat)</f>
        <v/>
      </c>
      <c r="M55" s="10" t="str">
        <f aca="false">IF(F55="","",F55-TargetCarb)</f>
        <v/>
      </c>
      <c r="N55" s="10" t="str">
        <f aca="false">IF(COUNT(C55:F55)&lt;4,"",ROUND(4*D55+9*E55+4*F55-C55,0))</f>
        <v/>
      </c>
      <c r="O55" s="13" t="str">
        <f aca="false">IF(B55="","",IFERROR(AVERAGEIFS(Питание!$B$14:$B$378,Питание!$A$14:$A$378,"&gt;"&amp;$A55-7,Питание!$A$14:$A$378,"&lt;="&amp;$A55,Питание!$B$14:$B$378,"&gt;0"),""))</f>
        <v/>
      </c>
      <c r="P55" s="8" t="str">
        <f aca="false">IF(C55="","",IFERROR(AVERAGEIFS(Питание!$C$14:$C$378,Питание!$A$14:$A$378,"&gt;"&amp;$A55-7,Питание!$A$14:$A$378,"&lt;="&amp;$A55,Питание!$C$14:$C$378,"&gt;0"),""))</f>
        <v/>
      </c>
      <c r="Q55" s="8" t="str">
        <f aca="false">IF(D55="","",IFERROR(AVERAGEIFS(Питание!$D$14:$D$378,Питание!$A$14:$A$378,"&gt;"&amp;$A55-7,Питание!$A$14:$A$378,"&lt;="&amp;$A55,Питание!$D$14:$D$378,"&gt;0"),""))</f>
        <v/>
      </c>
      <c r="R55" s="14" t="str">
        <f aca="false">IF(O55="","",IFERROR(O55-AVERAGEIFS(Питание!$B$14:$B$378,Питание!$A$14:$A$378,"&gt;"&amp;$A55-14,Питание!$A$14:$A$378,"&lt;="&amp;$A55-7,Питание!$B$14:$B$378,"&gt;0"),""))</f>
        <v/>
      </c>
      <c r="S55" s="15" t="str">
        <f aca="false">IF(R55="","",R55/O55)</f>
        <v/>
      </c>
      <c r="T55" s="11" t="str">
        <f aca="false">IF(O55="","",O55-StartWeight)</f>
        <v/>
      </c>
    </row>
    <row r="56" customFormat="false" ht="15" hidden="false" customHeight="true" outlineLevel="0" collapsed="false">
      <c r="A56" s="16" t="n">
        <f aca="false">A55+1</f>
        <v>46336</v>
      </c>
      <c r="B56" s="17"/>
      <c r="C56" s="18"/>
      <c r="D56" s="18"/>
      <c r="E56" s="18"/>
      <c r="F56" s="18"/>
      <c r="G56" s="18"/>
      <c r="H56" s="17"/>
      <c r="I56" s="19"/>
      <c r="J56" s="10" t="str">
        <f aca="false">IF(C56="","",C56-TargetKcal)</f>
        <v/>
      </c>
      <c r="K56" s="10" t="str">
        <f aca="false">IF(D56="","",D56-TargetProtein)</f>
        <v/>
      </c>
      <c r="L56" s="10" t="str">
        <f aca="false">IF(E56="","",E56-TargetFat)</f>
        <v/>
      </c>
      <c r="M56" s="10" t="str">
        <f aca="false">IF(F56="","",F56-TargetCarb)</f>
        <v/>
      </c>
      <c r="N56" s="10" t="str">
        <f aca="false">IF(COUNT(C56:F56)&lt;4,"",ROUND(4*D56+9*E56+4*F56-C56,0))</f>
        <v/>
      </c>
      <c r="O56" s="13" t="str">
        <f aca="false">IF(B56="","",IFERROR(AVERAGEIFS(Питание!$B$14:$B$378,Питание!$A$14:$A$378,"&gt;"&amp;$A56-7,Питание!$A$14:$A$378,"&lt;="&amp;$A56,Питание!$B$14:$B$378,"&gt;0"),""))</f>
        <v/>
      </c>
      <c r="P56" s="8" t="str">
        <f aca="false">IF(C56="","",IFERROR(AVERAGEIFS(Питание!$C$14:$C$378,Питание!$A$14:$A$378,"&gt;"&amp;$A56-7,Питание!$A$14:$A$378,"&lt;="&amp;$A56,Питание!$C$14:$C$378,"&gt;0"),""))</f>
        <v/>
      </c>
      <c r="Q56" s="8" t="str">
        <f aca="false">IF(D56="","",IFERROR(AVERAGEIFS(Питание!$D$14:$D$378,Питание!$A$14:$A$378,"&gt;"&amp;$A56-7,Питание!$A$14:$A$378,"&lt;="&amp;$A56,Питание!$D$14:$D$378,"&gt;0"),""))</f>
        <v/>
      </c>
      <c r="R56" s="14" t="str">
        <f aca="false">IF(O56="","",IFERROR(O56-AVERAGEIFS(Питание!$B$14:$B$378,Питание!$A$14:$A$378,"&gt;"&amp;$A56-14,Питание!$A$14:$A$378,"&lt;="&amp;$A56-7,Питание!$B$14:$B$378,"&gt;0"),""))</f>
        <v/>
      </c>
      <c r="S56" s="15" t="str">
        <f aca="false">IF(R56="","",R56/O56)</f>
        <v/>
      </c>
      <c r="T56" s="11" t="str">
        <f aca="false">IF(O56="","",O56-StartWeight)</f>
        <v/>
      </c>
    </row>
    <row r="57" customFormat="false" ht="15" hidden="false" customHeight="true" outlineLevel="0" collapsed="false">
      <c r="A57" s="16" t="n">
        <f aca="false">A56+1</f>
        <v>46337</v>
      </c>
      <c r="B57" s="17"/>
      <c r="C57" s="18"/>
      <c r="D57" s="18"/>
      <c r="E57" s="18"/>
      <c r="F57" s="18"/>
      <c r="G57" s="18"/>
      <c r="H57" s="17"/>
      <c r="I57" s="19"/>
      <c r="J57" s="10" t="str">
        <f aca="false">IF(C57="","",C57-TargetKcal)</f>
        <v/>
      </c>
      <c r="K57" s="10" t="str">
        <f aca="false">IF(D57="","",D57-TargetProtein)</f>
        <v/>
      </c>
      <c r="L57" s="10" t="str">
        <f aca="false">IF(E57="","",E57-TargetFat)</f>
        <v/>
      </c>
      <c r="M57" s="10" t="str">
        <f aca="false">IF(F57="","",F57-TargetCarb)</f>
        <v/>
      </c>
      <c r="N57" s="10" t="str">
        <f aca="false">IF(COUNT(C57:F57)&lt;4,"",ROUND(4*D57+9*E57+4*F57-C57,0))</f>
        <v/>
      </c>
      <c r="O57" s="13" t="str">
        <f aca="false">IF(B57="","",IFERROR(AVERAGEIFS(Питание!$B$14:$B$378,Питание!$A$14:$A$378,"&gt;"&amp;$A57-7,Питание!$A$14:$A$378,"&lt;="&amp;$A57,Питание!$B$14:$B$378,"&gt;0"),""))</f>
        <v/>
      </c>
      <c r="P57" s="8" t="str">
        <f aca="false">IF(C57="","",IFERROR(AVERAGEIFS(Питание!$C$14:$C$378,Питание!$A$14:$A$378,"&gt;"&amp;$A57-7,Питание!$A$14:$A$378,"&lt;="&amp;$A57,Питание!$C$14:$C$378,"&gt;0"),""))</f>
        <v/>
      </c>
      <c r="Q57" s="8" t="str">
        <f aca="false">IF(D57="","",IFERROR(AVERAGEIFS(Питание!$D$14:$D$378,Питание!$A$14:$A$378,"&gt;"&amp;$A57-7,Питание!$A$14:$A$378,"&lt;="&amp;$A57,Питание!$D$14:$D$378,"&gt;0"),""))</f>
        <v/>
      </c>
      <c r="R57" s="14" t="str">
        <f aca="false">IF(O57="","",IFERROR(O57-AVERAGEIFS(Питание!$B$14:$B$378,Питание!$A$14:$A$378,"&gt;"&amp;$A57-14,Питание!$A$14:$A$378,"&lt;="&amp;$A57-7,Питание!$B$14:$B$378,"&gt;0"),""))</f>
        <v/>
      </c>
      <c r="S57" s="15" t="str">
        <f aca="false">IF(R57="","",R57/O57)</f>
        <v/>
      </c>
      <c r="T57" s="11" t="str">
        <f aca="false">IF(O57="","",O57-StartWeight)</f>
        <v/>
      </c>
    </row>
    <row r="58" customFormat="false" ht="15" hidden="false" customHeight="true" outlineLevel="0" collapsed="false">
      <c r="A58" s="16" t="n">
        <f aca="false">A57+1</f>
        <v>46338</v>
      </c>
      <c r="B58" s="17"/>
      <c r="C58" s="18"/>
      <c r="D58" s="18"/>
      <c r="E58" s="18"/>
      <c r="F58" s="18"/>
      <c r="G58" s="18"/>
      <c r="H58" s="17"/>
      <c r="I58" s="19"/>
      <c r="J58" s="10" t="str">
        <f aca="false">IF(C58="","",C58-TargetKcal)</f>
        <v/>
      </c>
      <c r="K58" s="10" t="str">
        <f aca="false">IF(D58="","",D58-TargetProtein)</f>
        <v/>
      </c>
      <c r="L58" s="10" t="str">
        <f aca="false">IF(E58="","",E58-TargetFat)</f>
        <v/>
      </c>
      <c r="M58" s="10" t="str">
        <f aca="false">IF(F58="","",F58-TargetCarb)</f>
        <v/>
      </c>
      <c r="N58" s="10" t="str">
        <f aca="false">IF(COUNT(C58:F58)&lt;4,"",ROUND(4*D58+9*E58+4*F58-C58,0))</f>
        <v/>
      </c>
      <c r="O58" s="13" t="str">
        <f aca="false">IF(B58="","",IFERROR(AVERAGEIFS(Питание!$B$14:$B$378,Питание!$A$14:$A$378,"&gt;"&amp;$A58-7,Питание!$A$14:$A$378,"&lt;="&amp;$A58,Питание!$B$14:$B$378,"&gt;0"),""))</f>
        <v/>
      </c>
      <c r="P58" s="8" t="str">
        <f aca="false">IF(C58="","",IFERROR(AVERAGEIFS(Питание!$C$14:$C$378,Питание!$A$14:$A$378,"&gt;"&amp;$A58-7,Питание!$A$14:$A$378,"&lt;="&amp;$A58,Питание!$C$14:$C$378,"&gt;0"),""))</f>
        <v/>
      </c>
      <c r="Q58" s="8" t="str">
        <f aca="false">IF(D58="","",IFERROR(AVERAGEIFS(Питание!$D$14:$D$378,Питание!$A$14:$A$378,"&gt;"&amp;$A58-7,Питание!$A$14:$A$378,"&lt;="&amp;$A58,Питание!$D$14:$D$378,"&gt;0"),""))</f>
        <v/>
      </c>
      <c r="R58" s="14" t="str">
        <f aca="false">IF(O58="","",IFERROR(O58-AVERAGEIFS(Питание!$B$14:$B$378,Питание!$A$14:$A$378,"&gt;"&amp;$A58-14,Питание!$A$14:$A$378,"&lt;="&amp;$A58-7,Питание!$B$14:$B$378,"&gt;0"),""))</f>
        <v/>
      </c>
      <c r="S58" s="15" t="str">
        <f aca="false">IF(R58="","",R58/O58)</f>
        <v/>
      </c>
      <c r="T58" s="11" t="str">
        <f aca="false">IF(O58="","",O58-StartWeight)</f>
        <v/>
      </c>
    </row>
    <row r="59" customFormat="false" ht="15" hidden="false" customHeight="true" outlineLevel="0" collapsed="false">
      <c r="A59" s="16" t="n">
        <f aca="false">A58+1</f>
        <v>46339</v>
      </c>
      <c r="B59" s="17"/>
      <c r="C59" s="18"/>
      <c r="D59" s="18"/>
      <c r="E59" s="18"/>
      <c r="F59" s="18"/>
      <c r="G59" s="18"/>
      <c r="H59" s="17"/>
      <c r="I59" s="19"/>
      <c r="J59" s="10" t="str">
        <f aca="false">IF(C59="","",C59-TargetKcal)</f>
        <v/>
      </c>
      <c r="K59" s="10" t="str">
        <f aca="false">IF(D59="","",D59-TargetProtein)</f>
        <v/>
      </c>
      <c r="L59" s="10" t="str">
        <f aca="false">IF(E59="","",E59-TargetFat)</f>
        <v/>
      </c>
      <c r="M59" s="10" t="str">
        <f aca="false">IF(F59="","",F59-TargetCarb)</f>
        <v/>
      </c>
      <c r="N59" s="10" t="str">
        <f aca="false">IF(COUNT(C59:F59)&lt;4,"",ROUND(4*D59+9*E59+4*F59-C59,0))</f>
        <v/>
      </c>
      <c r="O59" s="13" t="str">
        <f aca="false">IF(B59="","",IFERROR(AVERAGEIFS(Питание!$B$14:$B$378,Питание!$A$14:$A$378,"&gt;"&amp;$A59-7,Питание!$A$14:$A$378,"&lt;="&amp;$A59,Питание!$B$14:$B$378,"&gt;0"),""))</f>
        <v/>
      </c>
      <c r="P59" s="8" t="str">
        <f aca="false">IF(C59="","",IFERROR(AVERAGEIFS(Питание!$C$14:$C$378,Питание!$A$14:$A$378,"&gt;"&amp;$A59-7,Питание!$A$14:$A$378,"&lt;="&amp;$A59,Питание!$C$14:$C$378,"&gt;0"),""))</f>
        <v/>
      </c>
      <c r="Q59" s="8" t="str">
        <f aca="false">IF(D59="","",IFERROR(AVERAGEIFS(Питание!$D$14:$D$378,Питание!$A$14:$A$378,"&gt;"&amp;$A59-7,Питание!$A$14:$A$378,"&lt;="&amp;$A59,Питание!$D$14:$D$378,"&gt;0"),""))</f>
        <v/>
      </c>
      <c r="R59" s="14" t="str">
        <f aca="false">IF(O59="","",IFERROR(O59-AVERAGEIFS(Питание!$B$14:$B$378,Питание!$A$14:$A$378,"&gt;"&amp;$A59-14,Питание!$A$14:$A$378,"&lt;="&amp;$A59-7,Питание!$B$14:$B$378,"&gt;0"),""))</f>
        <v/>
      </c>
      <c r="S59" s="15" t="str">
        <f aca="false">IF(R59="","",R59/O59)</f>
        <v/>
      </c>
      <c r="T59" s="11" t="str">
        <f aca="false">IF(O59="","",O59-StartWeight)</f>
        <v/>
      </c>
    </row>
    <row r="60" customFormat="false" ht="15" hidden="false" customHeight="true" outlineLevel="0" collapsed="false">
      <c r="A60" s="16" t="n">
        <f aca="false">A59+1</f>
        <v>46340</v>
      </c>
      <c r="B60" s="17"/>
      <c r="C60" s="18"/>
      <c r="D60" s="18"/>
      <c r="E60" s="18"/>
      <c r="F60" s="18"/>
      <c r="G60" s="18"/>
      <c r="H60" s="17"/>
      <c r="I60" s="19"/>
      <c r="J60" s="10" t="str">
        <f aca="false">IF(C60="","",C60-TargetKcal)</f>
        <v/>
      </c>
      <c r="K60" s="10" t="str">
        <f aca="false">IF(D60="","",D60-TargetProtein)</f>
        <v/>
      </c>
      <c r="L60" s="10" t="str">
        <f aca="false">IF(E60="","",E60-TargetFat)</f>
        <v/>
      </c>
      <c r="M60" s="10" t="str">
        <f aca="false">IF(F60="","",F60-TargetCarb)</f>
        <v/>
      </c>
      <c r="N60" s="10" t="str">
        <f aca="false">IF(COUNT(C60:F60)&lt;4,"",ROUND(4*D60+9*E60+4*F60-C60,0))</f>
        <v/>
      </c>
      <c r="O60" s="13" t="str">
        <f aca="false">IF(B60="","",IFERROR(AVERAGEIFS(Питание!$B$14:$B$378,Питание!$A$14:$A$378,"&gt;"&amp;$A60-7,Питание!$A$14:$A$378,"&lt;="&amp;$A60,Питание!$B$14:$B$378,"&gt;0"),""))</f>
        <v/>
      </c>
      <c r="P60" s="8" t="str">
        <f aca="false">IF(C60="","",IFERROR(AVERAGEIFS(Питание!$C$14:$C$378,Питание!$A$14:$A$378,"&gt;"&amp;$A60-7,Питание!$A$14:$A$378,"&lt;="&amp;$A60,Питание!$C$14:$C$378,"&gt;0"),""))</f>
        <v/>
      </c>
      <c r="Q60" s="8" t="str">
        <f aca="false">IF(D60="","",IFERROR(AVERAGEIFS(Питание!$D$14:$D$378,Питание!$A$14:$A$378,"&gt;"&amp;$A60-7,Питание!$A$14:$A$378,"&lt;="&amp;$A60,Питание!$D$14:$D$378,"&gt;0"),""))</f>
        <v/>
      </c>
      <c r="R60" s="14" t="str">
        <f aca="false">IF(O60="","",IFERROR(O60-AVERAGEIFS(Питание!$B$14:$B$378,Питание!$A$14:$A$378,"&gt;"&amp;$A60-14,Питание!$A$14:$A$378,"&lt;="&amp;$A60-7,Питание!$B$14:$B$378,"&gt;0"),""))</f>
        <v/>
      </c>
      <c r="S60" s="15" t="str">
        <f aca="false">IF(R60="","",R60/O60)</f>
        <v/>
      </c>
      <c r="T60" s="11" t="str">
        <f aca="false">IF(O60="","",O60-StartWeight)</f>
        <v/>
      </c>
    </row>
    <row r="61" customFormat="false" ht="15" hidden="false" customHeight="true" outlineLevel="0" collapsed="false">
      <c r="A61" s="16" t="n">
        <f aca="false">A60+1</f>
        <v>46341</v>
      </c>
      <c r="B61" s="17"/>
      <c r="C61" s="18"/>
      <c r="D61" s="18"/>
      <c r="E61" s="18"/>
      <c r="F61" s="18"/>
      <c r="G61" s="18"/>
      <c r="H61" s="17"/>
      <c r="I61" s="19"/>
      <c r="J61" s="10" t="str">
        <f aca="false">IF(C61="","",C61-TargetKcal)</f>
        <v/>
      </c>
      <c r="K61" s="10" t="str">
        <f aca="false">IF(D61="","",D61-TargetProtein)</f>
        <v/>
      </c>
      <c r="L61" s="10" t="str">
        <f aca="false">IF(E61="","",E61-TargetFat)</f>
        <v/>
      </c>
      <c r="M61" s="10" t="str">
        <f aca="false">IF(F61="","",F61-TargetCarb)</f>
        <v/>
      </c>
      <c r="N61" s="10" t="str">
        <f aca="false">IF(COUNT(C61:F61)&lt;4,"",ROUND(4*D61+9*E61+4*F61-C61,0))</f>
        <v/>
      </c>
      <c r="O61" s="13" t="str">
        <f aca="false">IF(B61="","",IFERROR(AVERAGEIFS(Питание!$B$14:$B$378,Питание!$A$14:$A$378,"&gt;"&amp;$A61-7,Питание!$A$14:$A$378,"&lt;="&amp;$A61,Питание!$B$14:$B$378,"&gt;0"),""))</f>
        <v/>
      </c>
      <c r="P61" s="8" t="str">
        <f aca="false">IF(C61="","",IFERROR(AVERAGEIFS(Питание!$C$14:$C$378,Питание!$A$14:$A$378,"&gt;"&amp;$A61-7,Питание!$A$14:$A$378,"&lt;="&amp;$A61,Питание!$C$14:$C$378,"&gt;0"),""))</f>
        <v/>
      </c>
      <c r="Q61" s="8" t="str">
        <f aca="false">IF(D61="","",IFERROR(AVERAGEIFS(Питание!$D$14:$D$378,Питание!$A$14:$A$378,"&gt;"&amp;$A61-7,Питание!$A$14:$A$378,"&lt;="&amp;$A61,Питание!$D$14:$D$378,"&gt;0"),""))</f>
        <v/>
      </c>
      <c r="R61" s="14" t="str">
        <f aca="false">IF(O61="","",IFERROR(O61-AVERAGEIFS(Питание!$B$14:$B$378,Питание!$A$14:$A$378,"&gt;"&amp;$A61-14,Питание!$A$14:$A$378,"&lt;="&amp;$A61-7,Питание!$B$14:$B$378,"&gt;0"),""))</f>
        <v/>
      </c>
      <c r="S61" s="15" t="str">
        <f aca="false">IF(R61="","",R61/O61)</f>
        <v/>
      </c>
      <c r="T61" s="11" t="str">
        <f aca="false">IF(O61="","",O61-StartWeight)</f>
        <v/>
      </c>
    </row>
    <row r="62" customFormat="false" ht="15" hidden="false" customHeight="true" outlineLevel="0" collapsed="false">
      <c r="A62" s="16" t="n">
        <f aca="false">A61+1</f>
        <v>46342</v>
      </c>
      <c r="B62" s="17"/>
      <c r="C62" s="18"/>
      <c r="D62" s="18"/>
      <c r="E62" s="18"/>
      <c r="F62" s="18"/>
      <c r="G62" s="18"/>
      <c r="H62" s="17"/>
      <c r="I62" s="19"/>
      <c r="J62" s="10" t="str">
        <f aca="false">IF(C62="","",C62-TargetKcal)</f>
        <v/>
      </c>
      <c r="K62" s="10" t="str">
        <f aca="false">IF(D62="","",D62-TargetProtein)</f>
        <v/>
      </c>
      <c r="L62" s="10" t="str">
        <f aca="false">IF(E62="","",E62-TargetFat)</f>
        <v/>
      </c>
      <c r="M62" s="10" t="str">
        <f aca="false">IF(F62="","",F62-TargetCarb)</f>
        <v/>
      </c>
      <c r="N62" s="10" t="str">
        <f aca="false">IF(COUNT(C62:F62)&lt;4,"",ROUND(4*D62+9*E62+4*F62-C62,0))</f>
        <v/>
      </c>
      <c r="O62" s="13" t="str">
        <f aca="false">IF(B62="","",IFERROR(AVERAGEIFS(Питание!$B$14:$B$378,Питание!$A$14:$A$378,"&gt;"&amp;$A62-7,Питание!$A$14:$A$378,"&lt;="&amp;$A62,Питание!$B$14:$B$378,"&gt;0"),""))</f>
        <v/>
      </c>
      <c r="P62" s="8" t="str">
        <f aca="false">IF(C62="","",IFERROR(AVERAGEIFS(Питание!$C$14:$C$378,Питание!$A$14:$A$378,"&gt;"&amp;$A62-7,Питание!$A$14:$A$378,"&lt;="&amp;$A62,Питание!$C$14:$C$378,"&gt;0"),""))</f>
        <v/>
      </c>
      <c r="Q62" s="8" t="str">
        <f aca="false">IF(D62="","",IFERROR(AVERAGEIFS(Питание!$D$14:$D$378,Питание!$A$14:$A$378,"&gt;"&amp;$A62-7,Питание!$A$14:$A$378,"&lt;="&amp;$A62,Питание!$D$14:$D$378,"&gt;0"),""))</f>
        <v/>
      </c>
      <c r="R62" s="14" t="str">
        <f aca="false">IF(O62="","",IFERROR(O62-AVERAGEIFS(Питание!$B$14:$B$378,Питание!$A$14:$A$378,"&gt;"&amp;$A62-14,Питание!$A$14:$A$378,"&lt;="&amp;$A62-7,Питание!$B$14:$B$378,"&gt;0"),""))</f>
        <v/>
      </c>
      <c r="S62" s="15" t="str">
        <f aca="false">IF(R62="","",R62/O62)</f>
        <v/>
      </c>
      <c r="T62" s="11" t="str">
        <f aca="false">IF(O62="","",O62-StartWeight)</f>
        <v/>
      </c>
    </row>
    <row r="63" customFormat="false" ht="15" hidden="false" customHeight="true" outlineLevel="0" collapsed="false">
      <c r="A63" s="16" t="n">
        <f aca="false">A62+1</f>
        <v>46343</v>
      </c>
      <c r="B63" s="17"/>
      <c r="C63" s="18"/>
      <c r="D63" s="18"/>
      <c r="E63" s="18"/>
      <c r="F63" s="18"/>
      <c r="G63" s="18"/>
      <c r="H63" s="17"/>
      <c r="I63" s="19"/>
      <c r="J63" s="10" t="str">
        <f aca="false">IF(C63="","",C63-TargetKcal)</f>
        <v/>
      </c>
      <c r="K63" s="10" t="str">
        <f aca="false">IF(D63="","",D63-TargetProtein)</f>
        <v/>
      </c>
      <c r="L63" s="10" t="str">
        <f aca="false">IF(E63="","",E63-TargetFat)</f>
        <v/>
      </c>
      <c r="M63" s="10" t="str">
        <f aca="false">IF(F63="","",F63-TargetCarb)</f>
        <v/>
      </c>
      <c r="N63" s="10" t="str">
        <f aca="false">IF(COUNT(C63:F63)&lt;4,"",ROUND(4*D63+9*E63+4*F63-C63,0))</f>
        <v/>
      </c>
      <c r="O63" s="13" t="str">
        <f aca="false">IF(B63="","",IFERROR(AVERAGEIFS(Питание!$B$14:$B$378,Питание!$A$14:$A$378,"&gt;"&amp;$A63-7,Питание!$A$14:$A$378,"&lt;="&amp;$A63,Питание!$B$14:$B$378,"&gt;0"),""))</f>
        <v/>
      </c>
      <c r="P63" s="8" t="str">
        <f aca="false">IF(C63="","",IFERROR(AVERAGEIFS(Питание!$C$14:$C$378,Питание!$A$14:$A$378,"&gt;"&amp;$A63-7,Питание!$A$14:$A$378,"&lt;="&amp;$A63,Питание!$C$14:$C$378,"&gt;0"),""))</f>
        <v/>
      </c>
      <c r="Q63" s="8" t="str">
        <f aca="false">IF(D63="","",IFERROR(AVERAGEIFS(Питание!$D$14:$D$378,Питание!$A$14:$A$378,"&gt;"&amp;$A63-7,Питание!$A$14:$A$378,"&lt;="&amp;$A63,Питание!$D$14:$D$378,"&gt;0"),""))</f>
        <v/>
      </c>
      <c r="R63" s="14" t="str">
        <f aca="false">IF(O63="","",IFERROR(O63-AVERAGEIFS(Питание!$B$14:$B$378,Питание!$A$14:$A$378,"&gt;"&amp;$A63-14,Питание!$A$14:$A$378,"&lt;="&amp;$A63-7,Питание!$B$14:$B$378,"&gt;0"),""))</f>
        <v/>
      </c>
      <c r="S63" s="15" t="str">
        <f aca="false">IF(R63="","",R63/O63)</f>
        <v/>
      </c>
      <c r="T63" s="11" t="str">
        <f aca="false">IF(O63="","",O63-StartWeight)</f>
        <v/>
      </c>
    </row>
    <row r="64" customFormat="false" ht="15" hidden="false" customHeight="true" outlineLevel="0" collapsed="false">
      <c r="A64" s="16" t="n">
        <f aca="false">A63+1</f>
        <v>46344</v>
      </c>
      <c r="B64" s="17"/>
      <c r="C64" s="18"/>
      <c r="D64" s="18"/>
      <c r="E64" s="18"/>
      <c r="F64" s="18"/>
      <c r="G64" s="18"/>
      <c r="H64" s="17"/>
      <c r="I64" s="19"/>
      <c r="J64" s="10" t="str">
        <f aca="false">IF(C64="","",C64-TargetKcal)</f>
        <v/>
      </c>
      <c r="K64" s="10" t="str">
        <f aca="false">IF(D64="","",D64-TargetProtein)</f>
        <v/>
      </c>
      <c r="L64" s="10" t="str">
        <f aca="false">IF(E64="","",E64-TargetFat)</f>
        <v/>
      </c>
      <c r="M64" s="10" t="str">
        <f aca="false">IF(F64="","",F64-TargetCarb)</f>
        <v/>
      </c>
      <c r="N64" s="10" t="str">
        <f aca="false">IF(COUNT(C64:F64)&lt;4,"",ROUND(4*D64+9*E64+4*F64-C64,0))</f>
        <v/>
      </c>
      <c r="O64" s="13" t="str">
        <f aca="false">IF(B64="","",IFERROR(AVERAGEIFS(Питание!$B$14:$B$378,Питание!$A$14:$A$378,"&gt;"&amp;$A64-7,Питание!$A$14:$A$378,"&lt;="&amp;$A64,Питание!$B$14:$B$378,"&gt;0"),""))</f>
        <v/>
      </c>
      <c r="P64" s="8" t="str">
        <f aca="false">IF(C64="","",IFERROR(AVERAGEIFS(Питание!$C$14:$C$378,Питание!$A$14:$A$378,"&gt;"&amp;$A64-7,Питание!$A$14:$A$378,"&lt;="&amp;$A64,Питание!$C$14:$C$378,"&gt;0"),""))</f>
        <v/>
      </c>
      <c r="Q64" s="8" t="str">
        <f aca="false">IF(D64="","",IFERROR(AVERAGEIFS(Питание!$D$14:$D$378,Питание!$A$14:$A$378,"&gt;"&amp;$A64-7,Питание!$A$14:$A$378,"&lt;="&amp;$A64,Питание!$D$14:$D$378,"&gt;0"),""))</f>
        <v/>
      </c>
      <c r="R64" s="14" t="str">
        <f aca="false">IF(O64="","",IFERROR(O64-AVERAGEIFS(Питание!$B$14:$B$378,Питание!$A$14:$A$378,"&gt;"&amp;$A64-14,Питание!$A$14:$A$378,"&lt;="&amp;$A64-7,Питание!$B$14:$B$378,"&gt;0"),""))</f>
        <v/>
      </c>
      <c r="S64" s="15" t="str">
        <f aca="false">IF(R64="","",R64/O64)</f>
        <v/>
      </c>
      <c r="T64" s="11" t="str">
        <f aca="false">IF(O64="","",O64-StartWeight)</f>
        <v/>
      </c>
    </row>
    <row r="65" customFormat="false" ht="15" hidden="false" customHeight="true" outlineLevel="0" collapsed="false">
      <c r="A65" s="16" t="n">
        <f aca="false">A64+1</f>
        <v>46345</v>
      </c>
      <c r="B65" s="17"/>
      <c r="C65" s="18"/>
      <c r="D65" s="18"/>
      <c r="E65" s="18"/>
      <c r="F65" s="18"/>
      <c r="G65" s="18"/>
      <c r="H65" s="17"/>
      <c r="I65" s="19"/>
      <c r="J65" s="10" t="str">
        <f aca="false">IF(C65="","",C65-TargetKcal)</f>
        <v/>
      </c>
      <c r="K65" s="10" t="str">
        <f aca="false">IF(D65="","",D65-TargetProtein)</f>
        <v/>
      </c>
      <c r="L65" s="10" t="str">
        <f aca="false">IF(E65="","",E65-TargetFat)</f>
        <v/>
      </c>
      <c r="M65" s="10" t="str">
        <f aca="false">IF(F65="","",F65-TargetCarb)</f>
        <v/>
      </c>
      <c r="N65" s="10" t="str">
        <f aca="false">IF(COUNT(C65:F65)&lt;4,"",ROUND(4*D65+9*E65+4*F65-C65,0))</f>
        <v/>
      </c>
      <c r="O65" s="13" t="str">
        <f aca="false">IF(B65="","",IFERROR(AVERAGEIFS(Питание!$B$14:$B$378,Питание!$A$14:$A$378,"&gt;"&amp;$A65-7,Питание!$A$14:$A$378,"&lt;="&amp;$A65,Питание!$B$14:$B$378,"&gt;0"),""))</f>
        <v/>
      </c>
      <c r="P65" s="8" t="str">
        <f aca="false">IF(C65="","",IFERROR(AVERAGEIFS(Питание!$C$14:$C$378,Питание!$A$14:$A$378,"&gt;"&amp;$A65-7,Питание!$A$14:$A$378,"&lt;="&amp;$A65,Питание!$C$14:$C$378,"&gt;0"),""))</f>
        <v/>
      </c>
      <c r="Q65" s="8" t="str">
        <f aca="false">IF(D65="","",IFERROR(AVERAGEIFS(Питание!$D$14:$D$378,Питание!$A$14:$A$378,"&gt;"&amp;$A65-7,Питание!$A$14:$A$378,"&lt;="&amp;$A65,Питание!$D$14:$D$378,"&gt;0"),""))</f>
        <v/>
      </c>
      <c r="R65" s="14" t="str">
        <f aca="false">IF(O65="","",IFERROR(O65-AVERAGEIFS(Питание!$B$14:$B$378,Питание!$A$14:$A$378,"&gt;"&amp;$A65-14,Питание!$A$14:$A$378,"&lt;="&amp;$A65-7,Питание!$B$14:$B$378,"&gt;0"),""))</f>
        <v/>
      </c>
      <c r="S65" s="15" t="str">
        <f aca="false">IF(R65="","",R65/O65)</f>
        <v/>
      </c>
      <c r="T65" s="11" t="str">
        <f aca="false">IF(O65="","",O65-StartWeight)</f>
        <v/>
      </c>
    </row>
    <row r="66" customFormat="false" ht="15" hidden="false" customHeight="true" outlineLevel="0" collapsed="false">
      <c r="A66" s="16" t="n">
        <f aca="false">A65+1</f>
        <v>46346</v>
      </c>
      <c r="B66" s="17"/>
      <c r="C66" s="18"/>
      <c r="D66" s="18"/>
      <c r="E66" s="18"/>
      <c r="F66" s="18"/>
      <c r="G66" s="18"/>
      <c r="H66" s="17"/>
      <c r="I66" s="19"/>
      <c r="J66" s="10" t="str">
        <f aca="false">IF(C66="","",C66-TargetKcal)</f>
        <v/>
      </c>
      <c r="K66" s="10" t="str">
        <f aca="false">IF(D66="","",D66-TargetProtein)</f>
        <v/>
      </c>
      <c r="L66" s="10" t="str">
        <f aca="false">IF(E66="","",E66-TargetFat)</f>
        <v/>
      </c>
      <c r="M66" s="10" t="str">
        <f aca="false">IF(F66="","",F66-TargetCarb)</f>
        <v/>
      </c>
      <c r="N66" s="10" t="str">
        <f aca="false">IF(COUNT(C66:F66)&lt;4,"",ROUND(4*D66+9*E66+4*F66-C66,0))</f>
        <v/>
      </c>
      <c r="O66" s="13" t="str">
        <f aca="false">IF(B66="","",IFERROR(AVERAGEIFS(Питание!$B$14:$B$378,Питание!$A$14:$A$378,"&gt;"&amp;$A66-7,Питание!$A$14:$A$378,"&lt;="&amp;$A66,Питание!$B$14:$B$378,"&gt;0"),""))</f>
        <v/>
      </c>
      <c r="P66" s="8" t="str">
        <f aca="false">IF(C66="","",IFERROR(AVERAGEIFS(Питание!$C$14:$C$378,Питание!$A$14:$A$378,"&gt;"&amp;$A66-7,Питание!$A$14:$A$378,"&lt;="&amp;$A66,Питание!$C$14:$C$378,"&gt;0"),""))</f>
        <v/>
      </c>
      <c r="Q66" s="8" t="str">
        <f aca="false">IF(D66="","",IFERROR(AVERAGEIFS(Питание!$D$14:$D$378,Питание!$A$14:$A$378,"&gt;"&amp;$A66-7,Питание!$A$14:$A$378,"&lt;="&amp;$A66,Питание!$D$14:$D$378,"&gt;0"),""))</f>
        <v/>
      </c>
      <c r="R66" s="14" t="str">
        <f aca="false">IF(O66="","",IFERROR(O66-AVERAGEIFS(Питание!$B$14:$B$378,Питание!$A$14:$A$378,"&gt;"&amp;$A66-14,Питание!$A$14:$A$378,"&lt;="&amp;$A66-7,Питание!$B$14:$B$378,"&gt;0"),""))</f>
        <v/>
      </c>
      <c r="S66" s="15" t="str">
        <f aca="false">IF(R66="","",R66/O66)</f>
        <v/>
      </c>
      <c r="T66" s="11" t="str">
        <f aca="false">IF(O66="","",O66-StartWeight)</f>
        <v/>
      </c>
    </row>
    <row r="67" customFormat="false" ht="15" hidden="false" customHeight="true" outlineLevel="0" collapsed="false">
      <c r="A67" s="16" t="n">
        <f aca="false">A66+1</f>
        <v>46347</v>
      </c>
      <c r="B67" s="17"/>
      <c r="C67" s="18"/>
      <c r="D67" s="18"/>
      <c r="E67" s="18"/>
      <c r="F67" s="18"/>
      <c r="G67" s="18"/>
      <c r="H67" s="17"/>
      <c r="I67" s="19"/>
      <c r="J67" s="10" t="str">
        <f aca="false">IF(C67="","",C67-TargetKcal)</f>
        <v/>
      </c>
      <c r="K67" s="10" t="str">
        <f aca="false">IF(D67="","",D67-TargetProtein)</f>
        <v/>
      </c>
      <c r="L67" s="10" t="str">
        <f aca="false">IF(E67="","",E67-TargetFat)</f>
        <v/>
      </c>
      <c r="M67" s="10" t="str">
        <f aca="false">IF(F67="","",F67-TargetCarb)</f>
        <v/>
      </c>
      <c r="N67" s="10" t="str">
        <f aca="false">IF(COUNT(C67:F67)&lt;4,"",ROUND(4*D67+9*E67+4*F67-C67,0))</f>
        <v/>
      </c>
      <c r="O67" s="13" t="str">
        <f aca="false">IF(B67="","",IFERROR(AVERAGEIFS(Питание!$B$14:$B$378,Питание!$A$14:$A$378,"&gt;"&amp;$A67-7,Питание!$A$14:$A$378,"&lt;="&amp;$A67,Питание!$B$14:$B$378,"&gt;0"),""))</f>
        <v/>
      </c>
      <c r="P67" s="8" t="str">
        <f aca="false">IF(C67="","",IFERROR(AVERAGEIFS(Питание!$C$14:$C$378,Питание!$A$14:$A$378,"&gt;"&amp;$A67-7,Питание!$A$14:$A$378,"&lt;="&amp;$A67,Питание!$C$14:$C$378,"&gt;0"),""))</f>
        <v/>
      </c>
      <c r="Q67" s="8" t="str">
        <f aca="false">IF(D67="","",IFERROR(AVERAGEIFS(Питание!$D$14:$D$378,Питание!$A$14:$A$378,"&gt;"&amp;$A67-7,Питание!$A$14:$A$378,"&lt;="&amp;$A67,Питание!$D$14:$D$378,"&gt;0"),""))</f>
        <v/>
      </c>
      <c r="R67" s="14" t="str">
        <f aca="false">IF(O67="","",IFERROR(O67-AVERAGEIFS(Питание!$B$14:$B$378,Питание!$A$14:$A$378,"&gt;"&amp;$A67-14,Питание!$A$14:$A$378,"&lt;="&amp;$A67-7,Питание!$B$14:$B$378,"&gt;0"),""))</f>
        <v/>
      </c>
      <c r="S67" s="15" t="str">
        <f aca="false">IF(R67="","",R67/O67)</f>
        <v/>
      </c>
      <c r="T67" s="11" t="str">
        <f aca="false">IF(O67="","",O67-StartWeight)</f>
        <v/>
      </c>
    </row>
    <row r="68" customFormat="false" ht="15" hidden="false" customHeight="true" outlineLevel="0" collapsed="false">
      <c r="A68" s="16" t="n">
        <f aca="false">A67+1</f>
        <v>46348</v>
      </c>
      <c r="B68" s="17"/>
      <c r="C68" s="18"/>
      <c r="D68" s="18"/>
      <c r="E68" s="18"/>
      <c r="F68" s="18"/>
      <c r="G68" s="18"/>
      <c r="H68" s="17"/>
      <c r="I68" s="19"/>
      <c r="J68" s="10" t="str">
        <f aca="false">IF(C68="","",C68-TargetKcal)</f>
        <v/>
      </c>
      <c r="K68" s="10" t="str">
        <f aca="false">IF(D68="","",D68-TargetProtein)</f>
        <v/>
      </c>
      <c r="L68" s="10" t="str">
        <f aca="false">IF(E68="","",E68-TargetFat)</f>
        <v/>
      </c>
      <c r="M68" s="10" t="str">
        <f aca="false">IF(F68="","",F68-TargetCarb)</f>
        <v/>
      </c>
      <c r="N68" s="10" t="str">
        <f aca="false">IF(COUNT(C68:F68)&lt;4,"",ROUND(4*D68+9*E68+4*F68-C68,0))</f>
        <v/>
      </c>
      <c r="O68" s="13" t="str">
        <f aca="false">IF(B68="","",IFERROR(AVERAGEIFS(Питание!$B$14:$B$378,Питание!$A$14:$A$378,"&gt;"&amp;$A68-7,Питание!$A$14:$A$378,"&lt;="&amp;$A68,Питание!$B$14:$B$378,"&gt;0"),""))</f>
        <v/>
      </c>
      <c r="P68" s="8" t="str">
        <f aca="false">IF(C68="","",IFERROR(AVERAGEIFS(Питание!$C$14:$C$378,Питание!$A$14:$A$378,"&gt;"&amp;$A68-7,Питание!$A$14:$A$378,"&lt;="&amp;$A68,Питание!$C$14:$C$378,"&gt;0"),""))</f>
        <v/>
      </c>
      <c r="Q68" s="8" t="str">
        <f aca="false">IF(D68="","",IFERROR(AVERAGEIFS(Питание!$D$14:$D$378,Питание!$A$14:$A$378,"&gt;"&amp;$A68-7,Питание!$A$14:$A$378,"&lt;="&amp;$A68,Питание!$D$14:$D$378,"&gt;0"),""))</f>
        <v/>
      </c>
      <c r="R68" s="14" t="str">
        <f aca="false">IF(O68="","",IFERROR(O68-AVERAGEIFS(Питание!$B$14:$B$378,Питание!$A$14:$A$378,"&gt;"&amp;$A68-14,Питание!$A$14:$A$378,"&lt;="&amp;$A68-7,Питание!$B$14:$B$378,"&gt;0"),""))</f>
        <v/>
      </c>
      <c r="S68" s="15" t="str">
        <f aca="false">IF(R68="","",R68/O68)</f>
        <v/>
      </c>
      <c r="T68" s="11" t="str">
        <f aca="false">IF(O68="","",O68-StartWeight)</f>
        <v/>
      </c>
    </row>
    <row r="69" customFormat="false" ht="15" hidden="false" customHeight="true" outlineLevel="0" collapsed="false">
      <c r="A69" s="16" t="n">
        <f aca="false">A68+1</f>
        <v>46349</v>
      </c>
      <c r="B69" s="17"/>
      <c r="C69" s="18"/>
      <c r="D69" s="18"/>
      <c r="E69" s="18"/>
      <c r="F69" s="18"/>
      <c r="G69" s="18"/>
      <c r="H69" s="17"/>
      <c r="I69" s="19"/>
      <c r="J69" s="10" t="str">
        <f aca="false">IF(C69="","",C69-TargetKcal)</f>
        <v/>
      </c>
      <c r="K69" s="10" t="str">
        <f aca="false">IF(D69="","",D69-TargetProtein)</f>
        <v/>
      </c>
      <c r="L69" s="10" t="str">
        <f aca="false">IF(E69="","",E69-TargetFat)</f>
        <v/>
      </c>
      <c r="M69" s="10" t="str">
        <f aca="false">IF(F69="","",F69-TargetCarb)</f>
        <v/>
      </c>
      <c r="N69" s="10" t="str">
        <f aca="false">IF(COUNT(C69:F69)&lt;4,"",ROUND(4*D69+9*E69+4*F69-C69,0))</f>
        <v/>
      </c>
      <c r="O69" s="13" t="str">
        <f aca="false">IF(B69="","",IFERROR(AVERAGEIFS(Питание!$B$14:$B$378,Питание!$A$14:$A$378,"&gt;"&amp;$A69-7,Питание!$A$14:$A$378,"&lt;="&amp;$A69,Питание!$B$14:$B$378,"&gt;0"),""))</f>
        <v/>
      </c>
      <c r="P69" s="8" t="str">
        <f aca="false">IF(C69="","",IFERROR(AVERAGEIFS(Питание!$C$14:$C$378,Питание!$A$14:$A$378,"&gt;"&amp;$A69-7,Питание!$A$14:$A$378,"&lt;="&amp;$A69,Питание!$C$14:$C$378,"&gt;0"),""))</f>
        <v/>
      </c>
      <c r="Q69" s="8" t="str">
        <f aca="false">IF(D69="","",IFERROR(AVERAGEIFS(Питание!$D$14:$D$378,Питание!$A$14:$A$378,"&gt;"&amp;$A69-7,Питание!$A$14:$A$378,"&lt;="&amp;$A69,Питание!$D$14:$D$378,"&gt;0"),""))</f>
        <v/>
      </c>
      <c r="R69" s="14" t="str">
        <f aca="false">IF(O69="","",IFERROR(O69-AVERAGEIFS(Питание!$B$14:$B$378,Питание!$A$14:$A$378,"&gt;"&amp;$A69-14,Питание!$A$14:$A$378,"&lt;="&amp;$A69-7,Питание!$B$14:$B$378,"&gt;0"),""))</f>
        <v/>
      </c>
      <c r="S69" s="15" t="str">
        <f aca="false">IF(R69="","",R69/O69)</f>
        <v/>
      </c>
      <c r="T69" s="11" t="str">
        <f aca="false">IF(O69="","",O69-StartWeight)</f>
        <v/>
      </c>
    </row>
    <row r="70" customFormat="false" ht="15" hidden="false" customHeight="true" outlineLevel="0" collapsed="false">
      <c r="A70" s="16" t="n">
        <f aca="false">A69+1</f>
        <v>46350</v>
      </c>
      <c r="B70" s="17"/>
      <c r="C70" s="18"/>
      <c r="D70" s="18"/>
      <c r="E70" s="18"/>
      <c r="F70" s="18"/>
      <c r="G70" s="18"/>
      <c r="H70" s="17"/>
      <c r="I70" s="19"/>
      <c r="J70" s="10" t="str">
        <f aca="false">IF(C70="","",C70-TargetKcal)</f>
        <v/>
      </c>
      <c r="K70" s="10" t="str">
        <f aca="false">IF(D70="","",D70-TargetProtein)</f>
        <v/>
      </c>
      <c r="L70" s="10" t="str">
        <f aca="false">IF(E70="","",E70-TargetFat)</f>
        <v/>
      </c>
      <c r="M70" s="10" t="str">
        <f aca="false">IF(F70="","",F70-TargetCarb)</f>
        <v/>
      </c>
      <c r="N70" s="10" t="str">
        <f aca="false">IF(COUNT(C70:F70)&lt;4,"",ROUND(4*D70+9*E70+4*F70-C70,0))</f>
        <v/>
      </c>
      <c r="O70" s="13" t="str">
        <f aca="false">IF(B70="","",IFERROR(AVERAGEIFS(Питание!$B$14:$B$378,Питание!$A$14:$A$378,"&gt;"&amp;$A70-7,Питание!$A$14:$A$378,"&lt;="&amp;$A70,Питание!$B$14:$B$378,"&gt;0"),""))</f>
        <v/>
      </c>
      <c r="P70" s="8" t="str">
        <f aca="false">IF(C70="","",IFERROR(AVERAGEIFS(Питание!$C$14:$C$378,Питание!$A$14:$A$378,"&gt;"&amp;$A70-7,Питание!$A$14:$A$378,"&lt;="&amp;$A70,Питание!$C$14:$C$378,"&gt;0"),""))</f>
        <v/>
      </c>
      <c r="Q70" s="8" t="str">
        <f aca="false">IF(D70="","",IFERROR(AVERAGEIFS(Питание!$D$14:$D$378,Питание!$A$14:$A$378,"&gt;"&amp;$A70-7,Питание!$A$14:$A$378,"&lt;="&amp;$A70,Питание!$D$14:$D$378,"&gt;0"),""))</f>
        <v/>
      </c>
      <c r="R70" s="14" t="str">
        <f aca="false">IF(O70="","",IFERROR(O70-AVERAGEIFS(Питание!$B$14:$B$378,Питание!$A$14:$A$378,"&gt;"&amp;$A70-14,Питание!$A$14:$A$378,"&lt;="&amp;$A70-7,Питание!$B$14:$B$378,"&gt;0"),""))</f>
        <v/>
      </c>
      <c r="S70" s="15" t="str">
        <f aca="false">IF(R70="","",R70/O70)</f>
        <v/>
      </c>
      <c r="T70" s="11" t="str">
        <f aca="false">IF(O70="","",O70-StartWeight)</f>
        <v/>
      </c>
    </row>
    <row r="71" customFormat="false" ht="15" hidden="false" customHeight="true" outlineLevel="0" collapsed="false">
      <c r="A71" s="16" t="n">
        <f aca="false">A70+1</f>
        <v>46351</v>
      </c>
      <c r="B71" s="17"/>
      <c r="C71" s="18"/>
      <c r="D71" s="18"/>
      <c r="E71" s="18"/>
      <c r="F71" s="18"/>
      <c r="G71" s="18"/>
      <c r="H71" s="17"/>
      <c r="I71" s="19"/>
      <c r="J71" s="10" t="str">
        <f aca="false">IF(C71="","",C71-TargetKcal)</f>
        <v/>
      </c>
      <c r="K71" s="10" t="str">
        <f aca="false">IF(D71="","",D71-TargetProtein)</f>
        <v/>
      </c>
      <c r="L71" s="10" t="str">
        <f aca="false">IF(E71="","",E71-TargetFat)</f>
        <v/>
      </c>
      <c r="M71" s="10" t="str">
        <f aca="false">IF(F71="","",F71-TargetCarb)</f>
        <v/>
      </c>
      <c r="N71" s="10" t="str">
        <f aca="false">IF(COUNT(C71:F71)&lt;4,"",ROUND(4*D71+9*E71+4*F71-C71,0))</f>
        <v/>
      </c>
      <c r="O71" s="13" t="str">
        <f aca="false">IF(B71="","",IFERROR(AVERAGEIFS(Питание!$B$14:$B$378,Питание!$A$14:$A$378,"&gt;"&amp;$A71-7,Питание!$A$14:$A$378,"&lt;="&amp;$A71,Питание!$B$14:$B$378,"&gt;0"),""))</f>
        <v/>
      </c>
      <c r="P71" s="8" t="str">
        <f aca="false">IF(C71="","",IFERROR(AVERAGEIFS(Питание!$C$14:$C$378,Питание!$A$14:$A$378,"&gt;"&amp;$A71-7,Питание!$A$14:$A$378,"&lt;="&amp;$A71,Питание!$C$14:$C$378,"&gt;0"),""))</f>
        <v/>
      </c>
      <c r="Q71" s="8" t="str">
        <f aca="false">IF(D71="","",IFERROR(AVERAGEIFS(Питание!$D$14:$D$378,Питание!$A$14:$A$378,"&gt;"&amp;$A71-7,Питание!$A$14:$A$378,"&lt;="&amp;$A71,Питание!$D$14:$D$378,"&gt;0"),""))</f>
        <v/>
      </c>
      <c r="R71" s="14" t="str">
        <f aca="false">IF(O71="","",IFERROR(O71-AVERAGEIFS(Питание!$B$14:$B$378,Питание!$A$14:$A$378,"&gt;"&amp;$A71-14,Питание!$A$14:$A$378,"&lt;="&amp;$A71-7,Питание!$B$14:$B$378,"&gt;0"),""))</f>
        <v/>
      </c>
      <c r="S71" s="15" t="str">
        <f aca="false">IF(R71="","",R71/O71)</f>
        <v/>
      </c>
      <c r="T71" s="11" t="str">
        <f aca="false">IF(O71="","",O71-StartWeight)</f>
        <v/>
      </c>
    </row>
    <row r="72" customFormat="false" ht="15" hidden="false" customHeight="true" outlineLevel="0" collapsed="false">
      <c r="A72" s="16" t="n">
        <f aca="false">A71+1</f>
        <v>46352</v>
      </c>
      <c r="B72" s="17"/>
      <c r="C72" s="18"/>
      <c r="D72" s="18"/>
      <c r="E72" s="18"/>
      <c r="F72" s="18"/>
      <c r="G72" s="18"/>
      <c r="H72" s="17"/>
      <c r="I72" s="19"/>
      <c r="J72" s="10" t="str">
        <f aca="false">IF(C72="","",C72-TargetKcal)</f>
        <v/>
      </c>
      <c r="K72" s="10" t="str">
        <f aca="false">IF(D72="","",D72-TargetProtein)</f>
        <v/>
      </c>
      <c r="L72" s="10" t="str">
        <f aca="false">IF(E72="","",E72-TargetFat)</f>
        <v/>
      </c>
      <c r="M72" s="10" t="str">
        <f aca="false">IF(F72="","",F72-TargetCarb)</f>
        <v/>
      </c>
      <c r="N72" s="10" t="str">
        <f aca="false">IF(COUNT(C72:F72)&lt;4,"",ROUND(4*D72+9*E72+4*F72-C72,0))</f>
        <v/>
      </c>
      <c r="O72" s="13" t="str">
        <f aca="false">IF(B72="","",IFERROR(AVERAGEIFS(Питание!$B$14:$B$378,Питание!$A$14:$A$378,"&gt;"&amp;$A72-7,Питание!$A$14:$A$378,"&lt;="&amp;$A72,Питание!$B$14:$B$378,"&gt;0"),""))</f>
        <v/>
      </c>
      <c r="P72" s="8" t="str">
        <f aca="false">IF(C72="","",IFERROR(AVERAGEIFS(Питание!$C$14:$C$378,Питание!$A$14:$A$378,"&gt;"&amp;$A72-7,Питание!$A$14:$A$378,"&lt;="&amp;$A72,Питание!$C$14:$C$378,"&gt;0"),""))</f>
        <v/>
      </c>
      <c r="Q72" s="8" t="str">
        <f aca="false">IF(D72="","",IFERROR(AVERAGEIFS(Питание!$D$14:$D$378,Питание!$A$14:$A$378,"&gt;"&amp;$A72-7,Питание!$A$14:$A$378,"&lt;="&amp;$A72,Питание!$D$14:$D$378,"&gt;0"),""))</f>
        <v/>
      </c>
      <c r="R72" s="14" t="str">
        <f aca="false">IF(O72="","",IFERROR(O72-AVERAGEIFS(Питание!$B$14:$B$378,Питание!$A$14:$A$378,"&gt;"&amp;$A72-14,Питание!$A$14:$A$378,"&lt;="&amp;$A72-7,Питание!$B$14:$B$378,"&gt;0"),""))</f>
        <v/>
      </c>
      <c r="S72" s="15" t="str">
        <f aca="false">IF(R72="","",R72/O72)</f>
        <v/>
      </c>
      <c r="T72" s="11" t="str">
        <f aca="false">IF(O72="","",O72-StartWeight)</f>
        <v/>
      </c>
    </row>
    <row r="73" customFormat="false" ht="15" hidden="false" customHeight="true" outlineLevel="0" collapsed="false">
      <c r="A73" s="16" t="n">
        <f aca="false">A72+1</f>
        <v>46353</v>
      </c>
      <c r="B73" s="17"/>
      <c r="C73" s="18"/>
      <c r="D73" s="18"/>
      <c r="E73" s="18"/>
      <c r="F73" s="18"/>
      <c r="G73" s="18"/>
      <c r="H73" s="17"/>
      <c r="I73" s="19"/>
      <c r="J73" s="10" t="str">
        <f aca="false">IF(C73="","",C73-TargetKcal)</f>
        <v/>
      </c>
      <c r="K73" s="10" t="str">
        <f aca="false">IF(D73="","",D73-TargetProtein)</f>
        <v/>
      </c>
      <c r="L73" s="10" t="str">
        <f aca="false">IF(E73="","",E73-TargetFat)</f>
        <v/>
      </c>
      <c r="M73" s="10" t="str">
        <f aca="false">IF(F73="","",F73-TargetCarb)</f>
        <v/>
      </c>
      <c r="N73" s="10" t="str">
        <f aca="false">IF(COUNT(C73:F73)&lt;4,"",ROUND(4*D73+9*E73+4*F73-C73,0))</f>
        <v/>
      </c>
      <c r="O73" s="13" t="str">
        <f aca="false">IF(B73="","",IFERROR(AVERAGEIFS(Питание!$B$14:$B$378,Питание!$A$14:$A$378,"&gt;"&amp;$A73-7,Питание!$A$14:$A$378,"&lt;="&amp;$A73,Питание!$B$14:$B$378,"&gt;0"),""))</f>
        <v/>
      </c>
      <c r="P73" s="8" t="str">
        <f aca="false">IF(C73="","",IFERROR(AVERAGEIFS(Питание!$C$14:$C$378,Питание!$A$14:$A$378,"&gt;"&amp;$A73-7,Питание!$A$14:$A$378,"&lt;="&amp;$A73,Питание!$C$14:$C$378,"&gt;0"),""))</f>
        <v/>
      </c>
      <c r="Q73" s="8" t="str">
        <f aca="false">IF(D73="","",IFERROR(AVERAGEIFS(Питание!$D$14:$D$378,Питание!$A$14:$A$378,"&gt;"&amp;$A73-7,Питание!$A$14:$A$378,"&lt;="&amp;$A73,Питание!$D$14:$D$378,"&gt;0"),""))</f>
        <v/>
      </c>
      <c r="R73" s="14" t="str">
        <f aca="false">IF(O73="","",IFERROR(O73-AVERAGEIFS(Питание!$B$14:$B$378,Питание!$A$14:$A$378,"&gt;"&amp;$A73-14,Питание!$A$14:$A$378,"&lt;="&amp;$A73-7,Питание!$B$14:$B$378,"&gt;0"),""))</f>
        <v/>
      </c>
      <c r="S73" s="15" t="str">
        <f aca="false">IF(R73="","",R73/O73)</f>
        <v/>
      </c>
      <c r="T73" s="11" t="str">
        <f aca="false">IF(O73="","",O73-StartWeight)</f>
        <v/>
      </c>
    </row>
    <row r="74" customFormat="false" ht="15" hidden="false" customHeight="true" outlineLevel="0" collapsed="false">
      <c r="A74" s="16" t="n">
        <f aca="false">A73+1</f>
        <v>46354</v>
      </c>
      <c r="B74" s="17"/>
      <c r="C74" s="18"/>
      <c r="D74" s="18"/>
      <c r="E74" s="18"/>
      <c r="F74" s="18"/>
      <c r="G74" s="18"/>
      <c r="H74" s="17"/>
      <c r="I74" s="19"/>
      <c r="J74" s="10" t="str">
        <f aca="false">IF(C74="","",C74-TargetKcal)</f>
        <v/>
      </c>
      <c r="K74" s="10" t="str">
        <f aca="false">IF(D74="","",D74-TargetProtein)</f>
        <v/>
      </c>
      <c r="L74" s="10" t="str">
        <f aca="false">IF(E74="","",E74-TargetFat)</f>
        <v/>
      </c>
      <c r="M74" s="10" t="str">
        <f aca="false">IF(F74="","",F74-TargetCarb)</f>
        <v/>
      </c>
      <c r="N74" s="10" t="str">
        <f aca="false">IF(COUNT(C74:F74)&lt;4,"",ROUND(4*D74+9*E74+4*F74-C74,0))</f>
        <v/>
      </c>
      <c r="O74" s="13" t="str">
        <f aca="false">IF(B74="","",IFERROR(AVERAGEIFS(Питание!$B$14:$B$378,Питание!$A$14:$A$378,"&gt;"&amp;$A74-7,Питание!$A$14:$A$378,"&lt;="&amp;$A74,Питание!$B$14:$B$378,"&gt;0"),""))</f>
        <v/>
      </c>
      <c r="P74" s="8" t="str">
        <f aca="false">IF(C74="","",IFERROR(AVERAGEIFS(Питание!$C$14:$C$378,Питание!$A$14:$A$378,"&gt;"&amp;$A74-7,Питание!$A$14:$A$378,"&lt;="&amp;$A74,Питание!$C$14:$C$378,"&gt;0"),""))</f>
        <v/>
      </c>
      <c r="Q74" s="8" t="str">
        <f aca="false">IF(D74="","",IFERROR(AVERAGEIFS(Питание!$D$14:$D$378,Питание!$A$14:$A$378,"&gt;"&amp;$A74-7,Питание!$A$14:$A$378,"&lt;="&amp;$A74,Питание!$D$14:$D$378,"&gt;0"),""))</f>
        <v/>
      </c>
      <c r="R74" s="14" t="str">
        <f aca="false">IF(O74="","",IFERROR(O74-AVERAGEIFS(Питание!$B$14:$B$378,Питание!$A$14:$A$378,"&gt;"&amp;$A74-14,Питание!$A$14:$A$378,"&lt;="&amp;$A74-7,Питание!$B$14:$B$378,"&gt;0"),""))</f>
        <v/>
      </c>
      <c r="S74" s="15" t="str">
        <f aca="false">IF(R74="","",R74/O74)</f>
        <v/>
      </c>
      <c r="T74" s="11" t="str">
        <f aca="false">IF(O74="","",O74-StartWeight)</f>
        <v/>
      </c>
    </row>
    <row r="75" customFormat="false" ht="15" hidden="false" customHeight="true" outlineLevel="0" collapsed="false">
      <c r="A75" s="16" t="n">
        <f aca="false">A74+1</f>
        <v>46355</v>
      </c>
      <c r="B75" s="17"/>
      <c r="C75" s="18"/>
      <c r="D75" s="18"/>
      <c r="E75" s="18"/>
      <c r="F75" s="18"/>
      <c r="G75" s="18"/>
      <c r="H75" s="17"/>
      <c r="I75" s="19"/>
      <c r="J75" s="10" t="str">
        <f aca="false">IF(C75="","",C75-TargetKcal)</f>
        <v/>
      </c>
      <c r="K75" s="10" t="str">
        <f aca="false">IF(D75="","",D75-TargetProtein)</f>
        <v/>
      </c>
      <c r="L75" s="10" t="str">
        <f aca="false">IF(E75="","",E75-TargetFat)</f>
        <v/>
      </c>
      <c r="M75" s="10" t="str">
        <f aca="false">IF(F75="","",F75-TargetCarb)</f>
        <v/>
      </c>
      <c r="N75" s="10" t="str">
        <f aca="false">IF(COUNT(C75:F75)&lt;4,"",ROUND(4*D75+9*E75+4*F75-C75,0))</f>
        <v/>
      </c>
      <c r="O75" s="13" t="str">
        <f aca="false">IF(B75="","",IFERROR(AVERAGEIFS(Питание!$B$14:$B$378,Питание!$A$14:$A$378,"&gt;"&amp;$A75-7,Питание!$A$14:$A$378,"&lt;="&amp;$A75,Питание!$B$14:$B$378,"&gt;0"),""))</f>
        <v/>
      </c>
      <c r="P75" s="8" t="str">
        <f aca="false">IF(C75="","",IFERROR(AVERAGEIFS(Питание!$C$14:$C$378,Питание!$A$14:$A$378,"&gt;"&amp;$A75-7,Питание!$A$14:$A$378,"&lt;="&amp;$A75,Питание!$C$14:$C$378,"&gt;0"),""))</f>
        <v/>
      </c>
      <c r="Q75" s="8" t="str">
        <f aca="false">IF(D75="","",IFERROR(AVERAGEIFS(Питание!$D$14:$D$378,Питание!$A$14:$A$378,"&gt;"&amp;$A75-7,Питание!$A$14:$A$378,"&lt;="&amp;$A75,Питание!$D$14:$D$378,"&gt;0"),""))</f>
        <v/>
      </c>
      <c r="R75" s="14" t="str">
        <f aca="false">IF(O75="","",IFERROR(O75-AVERAGEIFS(Питание!$B$14:$B$378,Питание!$A$14:$A$378,"&gt;"&amp;$A75-14,Питание!$A$14:$A$378,"&lt;="&amp;$A75-7,Питание!$B$14:$B$378,"&gt;0"),""))</f>
        <v/>
      </c>
      <c r="S75" s="15" t="str">
        <f aca="false">IF(R75="","",R75/O75)</f>
        <v/>
      </c>
      <c r="T75" s="11" t="str">
        <f aca="false">IF(O75="","",O75-StartWeight)</f>
        <v/>
      </c>
    </row>
    <row r="76" customFormat="false" ht="15" hidden="false" customHeight="true" outlineLevel="0" collapsed="false">
      <c r="A76" s="16" t="n">
        <f aca="false">A75+1</f>
        <v>46356</v>
      </c>
      <c r="B76" s="17"/>
      <c r="C76" s="18"/>
      <c r="D76" s="18"/>
      <c r="E76" s="18"/>
      <c r="F76" s="18"/>
      <c r="G76" s="18"/>
      <c r="H76" s="17"/>
      <c r="I76" s="19"/>
      <c r="J76" s="10" t="str">
        <f aca="false">IF(C76="","",C76-TargetKcal)</f>
        <v/>
      </c>
      <c r="K76" s="10" t="str">
        <f aca="false">IF(D76="","",D76-TargetProtein)</f>
        <v/>
      </c>
      <c r="L76" s="10" t="str">
        <f aca="false">IF(E76="","",E76-TargetFat)</f>
        <v/>
      </c>
      <c r="M76" s="10" t="str">
        <f aca="false">IF(F76="","",F76-TargetCarb)</f>
        <v/>
      </c>
      <c r="N76" s="10" t="str">
        <f aca="false">IF(COUNT(C76:F76)&lt;4,"",ROUND(4*D76+9*E76+4*F76-C76,0))</f>
        <v/>
      </c>
      <c r="O76" s="13" t="str">
        <f aca="false">IF(B76="","",IFERROR(AVERAGEIFS(Питание!$B$14:$B$378,Питание!$A$14:$A$378,"&gt;"&amp;$A76-7,Питание!$A$14:$A$378,"&lt;="&amp;$A76,Питание!$B$14:$B$378,"&gt;0"),""))</f>
        <v/>
      </c>
      <c r="P76" s="8" t="str">
        <f aca="false">IF(C76="","",IFERROR(AVERAGEIFS(Питание!$C$14:$C$378,Питание!$A$14:$A$378,"&gt;"&amp;$A76-7,Питание!$A$14:$A$378,"&lt;="&amp;$A76,Питание!$C$14:$C$378,"&gt;0"),""))</f>
        <v/>
      </c>
      <c r="Q76" s="8" t="str">
        <f aca="false">IF(D76="","",IFERROR(AVERAGEIFS(Питание!$D$14:$D$378,Питание!$A$14:$A$378,"&gt;"&amp;$A76-7,Питание!$A$14:$A$378,"&lt;="&amp;$A76,Питание!$D$14:$D$378,"&gt;0"),""))</f>
        <v/>
      </c>
      <c r="R76" s="14" t="str">
        <f aca="false">IF(O76="","",IFERROR(O76-AVERAGEIFS(Питание!$B$14:$B$378,Питание!$A$14:$A$378,"&gt;"&amp;$A76-14,Питание!$A$14:$A$378,"&lt;="&amp;$A76-7,Питание!$B$14:$B$378,"&gt;0"),""))</f>
        <v/>
      </c>
      <c r="S76" s="15" t="str">
        <f aca="false">IF(R76="","",R76/O76)</f>
        <v/>
      </c>
      <c r="T76" s="11" t="str">
        <f aca="false">IF(O76="","",O76-StartWeight)</f>
        <v/>
      </c>
    </row>
    <row r="77" customFormat="false" ht="15" hidden="false" customHeight="true" outlineLevel="0" collapsed="false">
      <c r="A77" s="16" t="n">
        <f aca="false">A76+1</f>
        <v>46357</v>
      </c>
      <c r="B77" s="17"/>
      <c r="C77" s="18"/>
      <c r="D77" s="18"/>
      <c r="E77" s="18"/>
      <c r="F77" s="18"/>
      <c r="G77" s="18"/>
      <c r="H77" s="17"/>
      <c r="I77" s="19"/>
      <c r="J77" s="10" t="str">
        <f aca="false">IF(C77="","",C77-TargetKcal)</f>
        <v/>
      </c>
      <c r="K77" s="10" t="str">
        <f aca="false">IF(D77="","",D77-TargetProtein)</f>
        <v/>
      </c>
      <c r="L77" s="10" t="str">
        <f aca="false">IF(E77="","",E77-TargetFat)</f>
        <v/>
      </c>
      <c r="M77" s="10" t="str">
        <f aca="false">IF(F77="","",F77-TargetCarb)</f>
        <v/>
      </c>
      <c r="N77" s="10" t="str">
        <f aca="false">IF(COUNT(C77:F77)&lt;4,"",ROUND(4*D77+9*E77+4*F77-C77,0))</f>
        <v/>
      </c>
      <c r="O77" s="13" t="str">
        <f aca="false">IF(B77="","",IFERROR(AVERAGEIFS(Питание!$B$14:$B$378,Питание!$A$14:$A$378,"&gt;"&amp;$A77-7,Питание!$A$14:$A$378,"&lt;="&amp;$A77,Питание!$B$14:$B$378,"&gt;0"),""))</f>
        <v/>
      </c>
      <c r="P77" s="8" t="str">
        <f aca="false">IF(C77="","",IFERROR(AVERAGEIFS(Питание!$C$14:$C$378,Питание!$A$14:$A$378,"&gt;"&amp;$A77-7,Питание!$A$14:$A$378,"&lt;="&amp;$A77,Питание!$C$14:$C$378,"&gt;0"),""))</f>
        <v/>
      </c>
      <c r="Q77" s="8" t="str">
        <f aca="false">IF(D77="","",IFERROR(AVERAGEIFS(Питание!$D$14:$D$378,Питание!$A$14:$A$378,"&gt;"&amp;$A77-7,Питание!$A$14:$A$378,"&lt;="&amp;$A77,Питание!$D$14:$D$378,"&gt;0"),""))</f>
        <v/>
      </c>
      <c r="R77" s="14" t="str">
        <f aca="false">IF(O77="","",IFERROR(O77-AVERAGEIFS(Питание!$B$14:$B$378,Питание!$A$14:$A$378,"&gt;"&amp;$A77-14,Питание!$A$14:$A$378,"&lt;="&amp;$A77-7,Питание!$B$14:$B$378,"&gt;0"),""))</f>
        <v/>
      </c>
      <c r="S77" s="15" t="str">
        <f aca="false">IF(R77="","",R77/O77)</f>
        <v/>
      </c>
      <c r="T77" s="11" t="str">
        <f aca="false">IF(O77="","",O77-StartWeight)</f>
        <v/>
      </c>
    </row>
    <row r="78" customFormat="false" ht="15" hidden="false" customHeight="true" outlineLevel="0" collapsed="false">
      <c r="A78" s="16" t="n">
        <f aca="false">A77+1</f>
        <v>46358</v>
      </c>
      <c r="B78" s="17"/>
      <c r="C78" s="18"/>
      <c r="D78" s="18"/>
      <c r="E78" s="18"/>
      <c r="F78" s="18"/>
      <c r="G78" s="18"/>
      <c r="H78" s="17"/>
      <c r="I78" s="19"/>
      <c r="J78" s="10" t="str">
        <f aca="false">IF(C78="","",C78-TargetKcal)</f>
        <v/>
      </c>
      <c r="K78" s="10" t="str">
        <f aca="false">IF(D78="","",D78-TargetProtein)</f>
        <v/>
      </c>
      <c r="L78" s="10" t="str">
        <f aca="false">IF(E78="","",E78-TargetFat)</f>
        <v/>
      </c>
      <c r="M78" s="10" t="str">
        <f aca="false">IF(F78="","",F78-TargetCarb)</f>
        <v/>
      </c>
      <c r="N78" s="10" t="str">
        <f aca="false">IF(COUNT(C78:F78)&lt;4,"",ROUND(4*D78+9*E78+4*F78-C78,0))</f>
        <v/>
      </c>
      <c r="O78" s="13" t="str">
        <f aca="false">IF(B78="","",IFERROR(AVERAGEIFS(Питание!$B$14:$B$378,Питание!$A$14:$A$378,"&gt;"&amp;$A78-7,Питание!$A$14:$A$378,"&lt;="&amp;$A78,Питание!$B$14:$B$378,"&gt;0"),""))</f>
        <v/>
      </c>
      <c r="P78" s="8" t="str">
        <f aca="false">IF(C78="","",IFERROR(AVERAGEIFS(Питание!$C$14:$C$378,Питание!$A$14:$A$378,"&gt;"&amp;$A78-7,Питание!$A$14:$A$378,"&lt;="&amp;$A78,Питание!$C$14:$C$378,"&gt;0"),""))</f>
        <v/>
      </c>
      <c r="Q78" s="8" t="str">
        <f aca="false">IF(D78="","",IFERROR(AVERAGEIFS(Питание!$D$14:$D$378,Питание!$A$14:$A$378,"&gt;"&amp;$A78-7,Питание!$A$14:$A$378,"&lt;="&amp;$A78,Питание!$D$14:$D$378,"&gt;0"),""))</f>
        <v/>
      </c>
      <c r="R78" s="14" t="str">
        <f aca="false">IF(O78="","",IFERROR(O78-AVERAGEIFS(Питание!$B$14:$B$378,Питание!$A$14:$A$378,"&gt;"&amp;$A78-14,Питание!$A$14:$A$378,"&lt;="&amp;$A78-7,Питание!$B$14:$B$378,"&gt;0"),""))</f>
        <v/>
      </c>
      <c r="S78" s="15" t="str">
        <f aca="false">IF(R78="","",R78/O78)</f>
        <v/>
      </c>
      <c r="T78" s="11" t="str">
        <f aca="false">IF(O78="","",O78-StartWeight)</f>
        <v/>
      </c>
    </row>
    <row r="79" customFormat="false" ht="15" hidden="false" customHeight="true" outlineLevel="0" collapsed="false">
      <c r="A79" s="16" t="n">
        <f aca="false">A78+1</f>
        <v>46359</v>
      </c>
      <c r="B79" s="17"/>
      <c r="C79" s="18"/>
      <c r="D79" s="18"/>
      <c r="E79" s="18"/>
      <c r="F79" s="18"/>
      <c r="G79" s="18"/>
      <c r="H79" s="17"/>
      <c r="I79" s="19"/>
      <c r="J79" s="10" t="str">
        <f aca="false">IF(C79="","",C79-TargetKcal)</f>
        <v/>
      </c>
      <c r="K79" s="10" t="str">
        <f aca="false">IF(D79="","",D79-TargetProtein)</f>
        <v/>
      </c>
      <c r="L79" s="10" t="str">
        <f aca="false">IF(E79="","",E79-TargetFat)</f>
        <v/>
      </c>
      <c r="M79" s="10" t="str">
        <f aca="false">IF(F79="","",F79-TargetCarb)</f>
        <v/>
      </c>
      <c r="N79" s="10" t="str">
        <f aca="false">IF(COUNT(C79:F79)&lt;4,"",ROUND(4*D79+9*E79+4*F79-C79,0))</f>
        <v/>
      </c>
      <c r="O79" s="13" t="str">
        <f aca="false">IF(B79="","",IFERROR(AVERAGEIFS(Питание!$B$14:$B$378,Питание!$A$14:$A$378,"&gt;"&amp;$A79-7,Питание!$A$14:$A$378,"&lt;="&amp;$A79,Питание!$B$14:$B$378,"&gt;0"),""))</f>
        <v/>
      </c>
      <c r="P79" s="8" t="str">
        <f aca="false">IF(C79="","",IFERROR(AVERAGEIFS(Питание!$C$14:$C$378,Питание!$A$14:$A$378,"&gt;"&amp;$A79-7,Питание!$A$14:$A$378,"&lt;="&amp;$A79,Питание!$C$14:$C$378,"&gt;0"),""))</f>
        <v/>
      </c>
      <c r="Q79" s="8" t="str">
        <f aca="false">IF(D79="","",IFERROR(AVERAGEIFS(Питание!$D$14:$D$378,Питание!$A$14:$A$378,"&gt;"&amp;$A79-7,Питание!$A$14:$A$378,"&lt;="&amp;$A79,Питание!$D$14:$D$378,"&gt;0"),""))</f>
        <v/>
      </c>
      <c r="R79" s="14" t="str">
        <f aca="false">IF(O79="","",IFERROR(O79-AVERAGEIFS(Питание!$B$14:$B$378,Питание!$A$14:$A$378,"&gt;"&amp;$A79-14,Питание!$A$14:$A$378,"&lt;="&amp;$A79-7,Питание!$B$14:$B$378,"&gt;0"),""))</f>
        <v/>
      </c>
      <c r="S79" s="15" t="str">
        <f aca="false">IF(R79="","",R79/O79)</f>
        <v/>
      </c>
      <c r="T79" s="11" t="str">
        <f aca="false">IF(O79="","",O79-StartWeight)</f>
        <v/>
      </c>
    </row>
    <row r="80" customFormat="false" ht="15" hidden="false" customHeight="true" outlineLevel="0" collapsed="false">
      <c r="A80" s="16" t="n">
        <f aca="false">A79+1</f>
        <v>46360</v>
      </c>
      <c r="B80" s="17"/>
      <c r="C80" s="18"/>
      <c r="D80" s="18"/>
      <c r="E80" s="18"/>
      <c r="F80" s="18"/>
      <c r="G80" s="18"/>
      <c r="H80" s="17"/>
      <c r="I80" s="19"/>
      <c r="J80" s="10" t="str">
        <f aca="false">IF(C80="","",C80-TargetKcal)</f>
        <v/>
      </c>
      <c r="K80" s="10" t="str">
        <f aca="false">IF(D80="","",D80-TargetProtein)</f>
        <v/>
      </c>
      <c r="L80" s="10" t="str">
        <f aca="false">IF(E80="","",E80-TargetFat)</f>
        <v/>
      </c>
      <c r="M80" s="10" t="str">
        <f aca="false">IF(F80="","",F80-TargetCarb)</f>
        <v/>
      </c>
      <c r="N80" s="10" t="str">
        <f aca="false">IF(COUNT(C80:F80)&lt;4,"",ROUND(4*D80+9*E80+4*F80-C80,0))</f>
        <v/>
      </c>
      <c r="O80" s="13" t="str">
        <f aca="false">IF(B80="","",IFERROR(AVERAGEIFS(Питание!$B$14:$B$378,Питание!$A$14:$A$378,"&gt;"&amp;$A80-7,Питание!$A$14:$A$378,"&lt;="&amp;$A80,Питание!$B$14:$B$378,"&gt;0"),""))</f>
        <v/>
      </c>
      <c r="P80" s="8" t="str">
        <f aca="false">IF(C80="","",IFERROR(AVERAGEIFS(Питание!$C$14:$C$378,Питание!$A$14:$A$378,"&gt;"&amp;$A80-7,Питание!$A$14:$A$378,"&lt;="&amp;$A80,Питание!$C$14:$C$378,"&gt;0"),""))</f>
        <v/>
      </c>
      <c r="Q80" s="8" t="str">
        <f aca="false">IF(D80="","",IFERROR(AVERAGEIFS(Питание!$D$14:$D$378,Питание!$A$14:$A$378,"&gt;"&amp;$A80-7,Питание!$A$14:$A$378,"&lt;="&amp;$A80,Питание!$D$14:$D$378,"&gt;0"),""))</f>
        <v/>
      </c>
      <c r="R80" s="14" t="str">
        <f aca="false">IF(O80="","",IFERROR(O80-AVERAGEIFS(Питание!$B$14:$B$378,Питание!$A$14:$A$378,"&gt;"&amp;$A80-14,Питание!$A$14:$A$378,"&lt;="&amp;$A80-7,Питание!$B$14:$B$378,"&gt;0"),""))</f>
        <v/>
      </c>
      <c r="S80" s="15" t="str">
        <f aca="false">IF(R80="","",R80/O80)</f>
        <v/>
      </c>
      <c r="T80" s="11" t="str">
        <f aca="false">IF(O80="","",O80-StartWeight)</f>
        <v/>
      </c>
    </row>
    <row r="81" customFormat="false" ht="15" hidden="false" customHeight="true" outlineLevel="0" collapsed="false">
      <c r="A81" s="16" t="n">
        <f aca="false">A80+1</f>
        <v>46361</v>
      </c>
      <c r="B81" s="17"/>
      <c r="C81" s="18"/>
      <c r="D81" s="18"/>
      <c r="E81" s="18"/>
      <c r="F81" s="18"/>
      <c r="G81" s="18"/>
      <c r="H81" s="17"/>
      <c r="I81" s="19"/>
      <c r="J81" s="10" t="str">
        <f aca="false">IF(C81="","",C81-TargetKcal)</f>
        <v/>
      </c>
      <c r="K81" s="10" t="str">
        <f aca="false">IF(D81="","",D81-TargetProtein)</f>
        <v/>
      </c>
      <c r="L81" s="10" t="str">
        <f aca="false">IF(E81="","",E81-TargetFat)</f>
        <v/>
      </c>
      <c r="M81" s="10" t="str">
        <f aca="false">IF(F81="","",F81-TargetCarb)</f>
        <v/>
      </c>
      <c r="N81" s="10" t="str">
        <f aca="false">IF(COUNT(C81:F81)&lt;4,"",ROUND(4*D81+9*E81+4*F81-C81,0))</f>
        <v/>
      </c>
      <c r="O81" s="13" t="str">
        <f aca="false">IF(B81="","",IFERROR(AVERAGEIFS(Питание!$B$14:$B$378,Питание!$A$14:$A$378,"&gt;"&amp;$A81-7,Питание!$A$14:$A$378,"&lt;="&amp;$A81,Питание!$B$14:$B$378,"&gt;0"),""))</f>
        <v/>
      </c>
      <c r="P81" s="8" t="str">
        <f aca="false">IF(C81="","",IFERROR(AVERAGEIFS(Питание!$C$14:$C$378,Питание!$A$14:$A$378,"&gt;"&amp;$A81-7,Питание!$A$14:$A$378,"&lt;="&amp;$A81,Питание!$C$14:$C$378,"&gt;0"),""))</f>
        <v/>
      </c>
      <c r="Q81" s="8" t="str">
        <f aca="false">IF(D81="","",IFERROR(AVERAGEIFS(Питание!$D$14:$D$378,Питание!$A$14:$A$378,"&gt;"&amp;$A81-7,Питание!$A$14:$A$378,"&lt;="&amp;$A81,Питание!$D$14:$D$378,"&gt;0"),""))</f>
        <v/>
      </c>
      <c r="R81" s="14" t="str">
        <f aca="false">IF(O81="","",IFERROR(O81-AVERAGEIFS(Питание!$B$14:$B$378,Питание!$A$14:$A$378,"&gt;"&amp;$A81-14,Питание!$A$14:$A$378,"&lt;="&amp;$A81-7,Питание!$B$14:$B$378,"&gt;0"),""))</f>
        <v/>
      </c>
      <c r="S81" s="15" t="str">
        <f aca="false">IF(R81="","",R81/O81)</f>
        <v/>
      </c>
      <c r="T81" s="11" t="str">
        <f aca="false">IF(O81="","",O81-StartWeight)</f>
        <v/>
      </c>
    </row>
    <row r="82" customFormat="false" ht="15" hidden="false" customHeight="true" outlineLevel="0" collapsed="false">
      <c r="A82" s="16" t="n">
        <f aca="false">A81+1</f>
        <v>46362</v>
      </c>
      <c r="B82" s="17"/>
      <c r="C82" s="18"/>
      <c r="D82" s="18"/>
      <c r="E82" s="18"/>
      <c r="F82" s="18"/>
      <c r="G82" s="18"/>
      <c r="H82" s="17"/>
      <c r="I82" s="19"/>
      <c r="J82" s="10" t="str">
        <f aca="false">IF(C82="","",C82-TargetKcal)</f>
        <v/>
      </c>
      <c r="K82" s="10" t="str">
        <f aca="false">IF(D82="","",D82-TargetProtein)</f>
        <v/>
      </c>
      <c r="L82" s="10" t="str">
        <f aca="false">IF(E82="","",E82-TargetFat)</f>
        <v/>
      </c>
      <c r="M82" s="10" t="str">
        <f aca="false">IF(F82="","",F82-TargetCarb)</f>
        <v/>
      </c>
      <c r="N82" s="10" t="str">
        <f aca="false">IF(COUNT(C82:F82)&lt;4,"",ROUND(4*D82+9*E82+4*F82-C82,0))</f>
        <v/>
      </c>
      <c r="O82" s="13" t="str">
        <f aca="false">IF(B82="","",IFERROR(AVERAGEIFS(Питание!$B$14:$B$378,Питание!$A$14:$A$378,"&gt;"&amp;$A82-7,Питание!$A$14:$A$378,"&lt;="&amp;$A82,Питание!$B$14:$B$378,"&gt;0"),""))</f>
        <v/>
      </c>
      <c r="P82" s="8" t="str">
        <f aca="false">IF(C82="","",IFERROR(AVERAGEIFS(Питание!$C$14:$C$378,Питание!$A$14:$A$378,"&gt;"&amp;$A82-7,Питание!$A$14:$A$378,"&lt;="&amp;$A82,Питание!$C$14:$C$378,"&gt;0"),""))</f>
        <v/>
      </c>
      <c r="Q82" s="8" t="str">
        <f aca="false">IF(D82="","",IFERROR(AVERAGEIFS(Питание!$D$14:$D$378,Питание!$A$14:$A$378,"&gt;"&amp;$A82-7,Питание!$A$14:$A$378,"&lt;="&amp;$A82,Питание!$D$14:$D$378,"&gt;0"),""))</f>
        <v/>
      </c>
      <c r="R82" s="14" t="str">
        <f aca="false">IF(O82="","",IFERROR(O82-AVERAGEIFS(Питание!$B$14:$B$378,Питание!$A$14:$A$378,"&gt;"&amp;$A82-14,Питание!$A$14:$A$378,"&lt;="&amp;$A82-7,Питание!$B$14:$B$378,"&gt;0"),""))</f>
        <v/>
      </c>
      <c r="S82" s="15" t="str">
        <f aca="false">IF(R82="","",R82/O82)</f>
        <v/>
      </c>
      <c r="T82" s="11" t="str">
        <f aca="false">IF(O82="","",O82-StartWeight)</f>
        <v/>
      </c>
    </row>
    <row r="83" customFormat="false" ht="15" hidden="false" customHeight="true" outlineLevel="0" collapsed="false">
      <c r="A83" s="16" t="n">
        <f aca="false">A82+1</f>
        <v>46363</v>
      </c>
      <c r="B83" s="17"/>
      <c r="C83" s="18"/>
      <c r="D83" s="18"/>
      <c r="E83" s="18"/>
      <c r="F83" s="18"/>
      <c r="G83" s="18"/>
      <c r="H83" s="17"/>
      <c r="I83" s="19"/>
      <c r="J83" s="10" t="str">
        <f aca="false">IF(C83="","",C83-TargetKcal)</f>
        <v/>
      </c>
      <c r="K83" s="10" t="str">
        <f aca="false">IF(D83="","",D83-TargetProtein)</f>
        <v/>
      </c>
      <c r="L83" s="10" t="str">
        <f aca="false">IF(E83="","",E83-TargetFat)</f>
        <v/>
      </c>
      <c r="M83" s="10" t="str">
        <f aca="false">IF(F83="","",F83-TargetCarb)</f>
        <v/>
      </c>
      <c r="N83" s="10" t="str">
        <f aca="false">IF(COUNT(C83:F83)&lt;4,"",ROUND(4*D83+9*E83+4*F83-C83,0))</f>
        <v/>
      </c>
      <c r="O83" s="13" t="str">
        <f aca="false">IF(B83="","",IFERROR(AVERAGEIFS(Питание!$B$14:$B$378,Питание!$A$14:$A$378,"&gt;"&amp;$A83-7,Питание!$A$14:$A$378,"&lt;="&amp;$A83,Питание!$B$14:$B$378,"&gt;0"),""))</f>
        <v/>
      </c>
      <c r="P83" s="8" t="str">
        <f aca="false">IF(C83="","",IFERROR(AVERAGEIFS(Питание!$C$14:$C$378,Питание!$A$14:$A$378,"&gt;"&amp;$A83-7,Питание!$A$14:$A$378,"&lt;="&amp;$A83,Питание!$C$14:$C$378,"&gt;0"),""))</f>
        <v/>
      </c>
      <c r="Q83" s="8" t="str">
        <f aca="false">IF(D83="","",IFERROR(AVERAGEIFS(Питание!$D$14:$D$378,Питание!$A$14:$A$378,"&gt;"&amp;$A83-7,Питание!$A$14:$A$378,"&lt;="&amp;$A83,Питание!$D$14:$D$378,"&gt;0"),""))</f>
        <v/>
      </c>
      <c r="R83" s="14" t="str">
        <f aca="false">IF(O83="","",IFERROR(O83-AVERAGEIFS(Питание!$B$14:$B$378,Питание!$A$14:$A$378,"&gt;"&amp;$A83-14,Питание!$A$14:$A$378,"&lt;="&amp;$A83-7,Питание!$B$14:$B$378,"&gt;0"),""))</f>
        <v/>
      </c>
      <c r="S83" s="15" t="str">
        <f aca="false">IF(R83="","",R83/O83)</f>
        <v/>
      </c>
      <c r="T83" s="11" t="str">
        <f aca="false">IF(O83="","",O83-StartWeight)</f>
        <v/>
      </c>
    </row>
    <row r="84" customFormat="false" ht="15" hidden="false" customHeight="true" outlineLevel="0" collapsed="false">
      <c r="A84" s="16" t="n">
        <f aca="false">A83+1</f>
        <v>46364</v>
      </c>
      <c r="B84" s="17"/>
      <c r="C84" s="18"/>
      <c r="D84" s="18"/>
      <c r="E84" s="18"/>
      <c r="F84" s="18"/>
      <c r="G84" s="18"/>
      <c r="H84" s="17"/>
      <c r="I84" s="19"/>
      <c r="J84" s="10" t="str">
        <f aca="false">IF(C84="","",C84-TargetKcal)</f>
        <v/>
      </c>
      <c r="K84" s="10" t="str">
        <f aca="false">IF(D84="","",D84-TargetProtein)</f>
        <v/>
      </c>
      <c r="L84" s="10" t="str">
        <f aca="false">IF(E84="","",E84-TargetFat)</f>
        <v/>
      </c>
      <c r="M84" s="10" t="str">
        <f aca="false">IF(F84="","",F84-TargetCarb)</f>
        <v/>
      </c>
      <c r="N84" s="10" t="str">
        <f aca="false">IF(COUNT(C84:F84)&lt;4,"",ROUND(4*D84+9*E84+4*F84-C84,0))</f>
        <v/>
      </c>
      <c r="O84" s="13" t="str">
        <f aca="false">IF(B84="","",IFERROR(AVERAGEIFS(Питание!$B$14:$B$378,Питание!$A$14:$A$378,"&gt;"&amp;$A84-7,Питание!$A$14:$A$378,"&lt;="&amp;$A84,Питание!$B$14:$B$378,"&gt;0"),""))</f>
        <v/>
      </c>
      <c r="P84" s="8" t="str">
        <f aca="false">IF(C84="","",IFERROR(AVERAGEIFS(Питание!$C$14:$C$378,Питание!$A$14:$A$378,"&gt;"&amp;$A84-7,Питание!$A$14:$A$378,"&lt;="&amp;$A84,Питание!$C$14:$C$378,"&gt;0"),""))</f>
        <v/>
      </c>
      <c r="Q84" s="8" t="str">
        <f aca="false">IF(D84="","",IFERROR(AVERAGEIFS(Питание!$D$14:$D$378,Питание!$A$14:$A$378,"&gt;"&amp;$A84-7,Питание!$A$14:$A$378,"&lt;="&amp;$A84,Питание!$D$14:$D$378,"&gt;0"),""))</f>
        <v/>
      </c>
      <c r="R84" s="14" t="str">
        <f aca="false">IF(O84="","",IFERROR(O84-AVERAGEIFS(Питание!$B$14:$B$378,Питание!$A$14:$A$378,"&gt;"&amp;$A84-14,Питание!$A$14:$A$378,"&lt;="&amp;$A84-7,Питание!$B$14:$B$378,"&gt;0"),""))</f>
        <v/>
      </c>
      <c r="S84" s="15" t="str">
        <f aca="false">IF(R84="","",R84/O84)</f>
        <v/>
      </c>
      <c r="T84" s="11" t="str">
        <f aca="false">IF(O84="","",O84-StartWeight)</f>
        <v/>
      </c>
    </row>
    <row r="85" customFormat="false" ht="15" hidden="false" customHeight="true" outlineLevel="0" collapsed="false">
      <c r="A85" s="16" t="n">
        <f aca="false">A84+1</f>
        <v>46365</v>
      </c>
      <c r="B85" s="17"/>
      <c r="C85" s="18"/>
      <c r="D85" s="18"/>
      <c r="E85" s="18"/>
      <c r="F85" s="18"/>
      <c r="G85" s="18"/>
      <c r="H85" s="17"/>
      <c r="I85" s="19"/>
      <c r="J85" s="10" t="str">
        <f aca="false">IF(C85="","",C85-TargetKcal)</f>
        <v/>
      </c>
      <c r="K85" s="10" t="str">
        <f aca="false">IF(D85="","",D85-TargetProtein)</f>
        <v/>
      </c>
      <c r="L85" s="10" t="str">
        <f aca="false">IF(E85="","",E85-TargetFat)</f>
        <v/>
      </c>
      <c r="M85" s="10" t="str">
        <f aca="false">IF(F85="","",F85-TargetCarb)</f>
        <v/>
      </c>
      <c r="N85" s="10" t="str">
        <f aca="false">IF(COUNT(C85:F85)&lt;4,"",ROUND(4*D85+9*E85+4*F85-C85,0))</f>
        <v/>
      </c>
      <c r="O85" s="13" t="str">
        <f aca="false">IF(B85="","",IFERROR(AVERAGEIFS(Питание!$B$14:$B$378,Питание!$A$14:$A$378,"&gt;"&amp;$A85-7,Питание!$A$14:$A$378,"&lt;="&amp;$A85,Питание!$B$14:$B$378,"&gt;0"),""))</f>
        <v/>
      </c>
      <c r="P85" s="8" t="str">
        <f aca="false">IF(C85="","",IFERROR(AVERAGEIFS(Питание!$C$14:$C$378,Питание!$A$14:$A$378,"&gt;"&amp;$A85-7,Питание!$A$14:$A$378,"&lt;="&amp;$A85,Питание!$C$14:$C$378,"&gt;0"),""))</f>
        <v/>
      </c>
      <c r="Q85" s="8" t="str">
        <f aca="false">IF(D85="","",IFERROR(AVERAGEIFS(Питание!$D$14:$D$378,Питание!$A$14:$A$378,"&gt;"&amp;$A85-7,Питание!$A$14:$A$378,"&lt;="&amp;$A85,Питание!$D$14:$D$378,"&gt;0"),""))</f>
        <v/>
      </c>
      <c r="R85" s="14" t="str">
        <f aca="false">IF(O85="","",IFERROR(O85-AVERAGEIFS(Питание!$B$14:$B$378,Питание!$A$14:$A$378,"&gt;"&amp;$A85-14,Питание!$A$14:$A$378,"&lt;="&amp;$A85-7,Питание!$B$14:$B$378,"&gt;0"),""))</f>
        <v/>
      </c>
      <c r="S85" s="15" t="str">
        <f aca="false">IF(R85="","",R85/O85)</f>
        <v/>
      </c>
      <c r="T85" s="11" t="str">
        <f aca="false">IF(O85="","",O85-StartWeight)</f>
        <v/>
      </c>
    </row>
    <row r="86" customFormat="false" ht="15" hidden="false" customHeight="true" outlineLevel="0" collapsed="false">
      <c r="A86" s="16" t="n">
        <f aca="false">A85+1</f>
        <v>46366</v>
      </c>
      <c r="B86" s="17"/>
      <c r="C86" s="18"/>
      <c r="D86" s="18"/>
      <c r="E86" s="18"/>
      <c r="F86" s="18"/>
      <c r="G86" s="18"/>
      <c r="H86" s="17"/>
      <c r="I86" s="19"/>
      <c r="J86" s="10" t="str">
        <f aca="false">IF(C86="","",C86-TargetKcal)</f>
        <v/>
      </c>
      <c r="K86" s="10" t="str">
        <f aca="false">IF(D86="","",D86-TargetProtein)</f>
        <v/>
      </c>
      <c r="L86" s="10" t="str">
        <f aca="false">IF(E86="","",E86-TargetFat)</f>
        <v/>
      </c>
      <c r="M86" s="10" t="str">
        <f aca="false">IF(F86="","",F86-TargetCarb)</f>
        <v/>
      </c>
      <c r="N86" s="10" t="str">
        <f aca="false">IF(COUNT(C86:F86)&lt;4,"",ROUND(4*D86+9*E86+4*F86-C86,0))</f>
        <v/>
      </c>
      <c r="O86" s="13" t="str">
        <f aca="false">IF(B86="","",IFERROR(AVERAGEIFS(Питание!$B$14:$B$378,Питание!$A$14:$A$378,"&gt;"&amp;$A86-7,Питание!$A$14:$A$378,"&lt;="&amp;$A86,Питание!$B$14:$B$378,"&gt;0"),""))</f>
        <v/>
      </c>
      <c r="P86" s="8" t="str">
        <f aca="false">IF(C86="","",IFERROR(AVERAGEIFS(Питание!$C$14:$C$378,Питание!$A$14:$A$378,"&gt;"&amp;$A86-7,Питание!$A$14:$A$378,"&lt;="&amp;$A86,Питание!$C$14:$C$378,"&gt;0"),""))</f>
        <v/>
      </c>
      <c r="Q86" s="8" t="str">
        <f aca="false">IF(D86="","",IFERROR(AVERAGEIFS(Питание!$D$14:$D$378,Питание!$A$14:$A$378,"&gt;"&amp;$A86-7,Питание!$A$14:$A$378,"&lt;="&amp;$A86,Питание!$D$14:$D$378,"&gt;0"),""))</f>
        <v/>
      </c>
      <c r="R86" s="14" t="str">
        <f aca="false">IF(O86="","",IFERROR(O86-AVERAGEIFS(Питание!$B$14:$B$378,Питание!$A$14:$A$378,"&gt;"&amp;$A86-14,Питание!$A$14:$A$378,"&lt;="&amp;$A86-7,Питание!$B$14:$B$378,"&gt;0"),""))</f>
        <v/>
      </c>
      <c r="S86" s="15" t="str">
        <f aca="false">IF(R86="","",R86/O86)</f>
        <v/>
      </c>
      <c r="T86" s="11" t="str">
        <f aca="false">IF(O86="","",O86-StartWeight)</f>
        <v/>
      </c>
    </row>
    <row r="87" customFormat="false" ht="15" hidden="false" customHeight="true" outlineLevel="0" collapsed="false">
      <c r="A87" s="16" t="n">
        <f aca="false">A86+1</f>
        <v>46367</v>
      </c>
      <c r="B87" s="17"/>
      <c r="C87" s="18"/>
      <c r="D87" s="18"/>
      <c r="E87" s="18"/>
      <c r="F87" s="18"/>
      <c r="G87" s="18"/>
      <c r="H87" s="17"/>
      <c r="I87" s="19"/>
      <c r="J87" s="10" t="str">
        <f aca="false">IF(C87="","",C87-TargetKcal)</f>
        <v/>
      </c>
      <c r="K87" s="10" t="str">
        <f aca="false">IF(D87="","",D87-TargetProtein)</f>
        <v/>
      </c>
      <c r="L87" s="10" t="str">
        <f aca="false">IF(E87="","",E87-TargetFat)</f>
        <v/>
      </c>
      <c r="M87" s="10" t="str">
        <f aca="false">IF(F87="","",F87-TargetCarb)</f>
        <v/>
      </c>
      <c r="N87" s="10" t="str">
        <f aca="false">IF(COUNT(C87:F87)&lt;4,"",ROUND(4*D87+9*E87+4*F87-C87,0))</f>
        <v/>
      </c>
      <c r="O87" s="13" t="str">
        <f aca="false">IF(B87="","",IFERROR(AVERAGEIFS(Питание!$B$14:$B$378,Питание!$A$14:$A$378,"&gt;"&amp;$A87-7,Питание!$A$14:$A$378,"&lt;="&amp;$A87,Питание!$B$14:$B$378,"&gt;0"),""))</f>
        <v/>
      </c>
      <c r="P87" s="8" t="str">
        <f aca="false">IF(C87="","",IFERROR(AVERAGEIFS(Питание!$C$14:$C$378,Питание!$A$14:$A$378,"&gt;"&amp;$A87-7,Питание!$A$14:$A$378,"&lt;="&amp;$A87,Питание!$C$14:$C$378,"&gt;0"),""))</f>
        <v/>
      </c>
      <c r="Q87" s="8" t="str">
        <f aca="false">IF(D87="","",IFERROR(AVERAGEIFS(Питание!$D$14:$D$378,Питание!$A$14:$A$378,"&gt;"&amp;$A87-7,Питание!$A$14:$A$378,"&lt;="&amp;$A87,Питание!$D$14:$D$378,"&gt;0"),""))</f>
        <v/>
      </c>
      <c r="R87" s="14" t="str">
        <f aca="false">IF(O87="","",IFERROR(O87-AVERAGEIFS(Питание!$B$14:$B$378,Питание!$A$14:$A$378,"&gt;"&amp;$A87-14,Питание!$A$14:$A$378,"&lt;="&amp;$A87-7,Питание!$B$14:$B$378,"&gt;0"),""))</f>
        <v/>
      </c>
      <c r="S87" s="15" t="str">
        <f aca="false">IF(R87="","",R87/O87)</f>
        <v/>
      </c>
      <c r="T87" s="11" t="str">
        <f aca="false">IF(O87="","",O87-StartWeight)</f>
        <v/>
      </c>
    </row>
    <row r="88" customFormat="false" ht="15" hidden="false" customHeight="true" outlineLevel="0" collapsed="false">
      <c r="A88" s="16" t="n">
        <f aca="false">A87+1</f>
        <v>46368</v>
      </c>
      <c r="B88" s="17"/>
      <c r="C88" s="18"/>
      <c r="D88" s="18"/>
      <c r="E88" s="18"/>
      <c r="F88" s="18"/>
      <c r="G88" s="18"/>
      <c r="H88" s="17"/>
      <c r="I88" s="19"/>
      <c r="J88" s="10" t="str">
        <f aca="false">IF(C88="","",C88-TargetKcal)</f>
        <v/>
      </c>
      <c r="K88" s="10" t="str">
        <f aca="false">IF(D88="","",D88-TargetProtein)</f>
        <v/>
      </c>
      <c r="L88" s="10" t="str">
        <f aca="false">IF(E88="","",E88-TargetFat)</f>
        <v/>
      </c>
      <c r="M88" s="10" t="str">
        <f aca="false">IF(F88="","",F88-TargetCarb)</f>
        <v/>
      </c>
      <c r="N88" s="10" t="str">
        <f aca="false">IF(COUNT(C88:F88)&lt;4,"",ROUND(4*D88+9*E88+4*F88-C88,0))</f>
        <v/>
      </c>
      <c r="O88" s="13" t="str">
        <f aca="false">IF(B88="","",IFERROR(AVERAGEIFS(Питание!$B$14:$B$378,Питание!$A$14:$A$378,"&gt;"&amp;$A88-7,Питание!$A$14:$A$378,"&lt;="&amp;$A88,Питание!$B$14:$B$378,"&gt;0"),""))</f>
        <v/>
      </c>
      <c r="P88" s="8" t="str">
        <f aca="false">IF(C88="","",IFERROR(AVERAGEIFS(Питание!$C$14:$C$378,Питание!$A$14:$A$378,"&gt;"&amp;$A88-7,Питание!$A$14:$A$378,"&lt;="&amp;$A88,Питание!$C$14:$C$378,"&gt;0"),""))</f>
        <v/>
      </c>
      <c r="Q88" s="8" t="str">
        <f aca="false">IF(D88="","",IFERROR(AVERAGEIFS(Питание!$D$14:$D$378,Питание!$A$14:$A$378,"&gt;"&amp;$A88-7,Питание!$A$14:$A$378,"&lt;="&amp;$A88,Питание!$D$14:$D$378,"&gt;0"),""))</f>
        <v/>
      </c>
      <c r="R88" s="14" t="str">
        <f aca="false">IF(O88="","",IFERROR(O88-AVERAGEIFS(Питание!$B$14:$B$378,Питание!$A$14:$A$378,"&gt;"&amp;$A88-14,Питание!$A$14:$A$378,"&lt;="&amp;$A88-7,Питание!$B$14:$B$378,"&gt;0"),""))</f>
        <v/>
      </c>
      <c r="S88" s="15" t="str">
        <f aca="false">IF(R88="","",R88/O88)</f>
        <v/>
      </c>
      <c r="T88" s="11" t="str">
        <f aca="false">IF(O88="","",O88-StartWeight)</f>
        <v/>
      </c>
    </row>
    <row r="89" customFormat="false" ht="15" hidden="false" customHeight="true" outlineLevel="0" collapsed="false">
      <c r="A89" s="16" t="n">
        <f aca="false">A88+1</f>
        <v>46369</v>
      </c>
      <c r="B89" s="17"/>
      <c r="C89" s="18"/>
      <c r="D89" s="18"/>
      <c r="E89" s="18"/>
      <c r="F89" s="18"/>
      <c r="G89" s="18"/>
      <c r="H89" s="17"/>
      <c r="I89" s="19"/>
      <c r="J89" s="10" t="str">
        <f aca="false">IF(C89="","",C89-TargetKcal)</f>
        <v/>
      </c>
      <c r="K89" s="10" t="str">
        <f aca="false">IF(D89="","",D89-TargetProtein)</f>
        <v/>
      </c>
      <c r="L89" s="10" t="str">
        <f aca="false">IF(E89="","",E89-TargetFat)</f>
        <v/>
      </c>
      <c r="M89" s="10" t="str">
        <f aca="false">IF(F89="","",F89-TargetCarb)</f>
        <v/>
      </c>
      <c r="N89" s="10" t="str">
        <f aca="false">IF(COUNT(C89:F89)&lt;4,"",ROUND(4*D89+9*E89+4*F89-C89,0))</f>
        <v/>
      </c>
      <c r="O89" s="13" t="str">
        <f aca="false">IF(B89="","",IFERROR(AVERAGEIFS(Питание!$B$14:$B$378,Питание!$A$14:$A$378,"&gt;"&amp;$A89-7,Питание!$A$14:$A$378,"&lt;="&amp;$A89,Питание!$B$14:$B$378,"&gt;0"),""))</f>
        <v/>
      </c>
      <c r="P89" s="8" t="str">
        <f aca="false">IF(C89="","",IFERROR(AVERAGEIFS(Питание!$C$14:$C$378,Питание!$A$14:$A$378,"&gt;"&amp;$A89-7,Питание!$A$14:$A$378,"&lt;="&amp;$A89,Питание!$C$14:$C$378,"&gt;0"),""))</f>
        <v/>
      </c>
      <c r="Q89" s="8" t="str">
        <f aca="false">IF(D89="","",IFERROR(AVERAGEIFS(Питание!$D$14:$D$378,Питание!$A$14:$A$378,"&gt;"&amp;$A89-7,Питание!$A$14:$A$378,"&lt;="&amp;$A89,Питание!$D$14:$D$378,"&gt;0"),""))</f>
        <v/>
      </c>
      <c r="R89" s="14" t="str">
        <f aca="false">IF(O89="","",IFERROR(O89-AVERAGEIFS(Питание!$B$14:$B$378,Питание!$A$14:$A$378,"&gt;"&amp;$A89-14,Питание!$A$14:$A$378,"&lt;="&amp;$A89-7,Питание!$B$14:$B$378,"&gt;0"),""))</f>
        <v/>
      </c>
      <c r="S89" s="15" t="str">
        <f aca="false">IF(R89="","",R89/O89)</f>
        <v/>
      </c>
      <c r="T89" s="11" t="str">
        <f aca="false">IF(O89="","",O89-StartWeight)</f>
        <v/>
      </c>
    </row>
    <row r="90" customFormat="false" ht="15" hidden="false" customHeight="true" outlineLevel="0" collapsed="false">
      <c r="A90" s="16" t="n">
        <f aca="false">A89+1</f>
        <v>46370</v>
      </c>
      <c r="B90" s="17"/>
      <c r="C90" s="18"/>
      <c r="D90" s="18"/>
      <c r="E90" s="18"/>
      <c r="F90" s="18"/>
      <c r="G90" s="18"/>
      <c r="H90" s="17"/>
      <c r="I90" s="19"/>
      <c r="J90" s="10" t="str">
        <f aca="false">IF(C90="","",C90-TargetKcal)</f>
        <v/>
      </c>
      <c r="K90" s="10" t="str">
        <f aca="false">IF(D90="","",D90-TargetProtein)</f>
        <v/>
      </c>
      <c r="L90" s="10" t="str">
        <f aca="false">IF(E90="","",E90-TargetFat)</f>
        <v/>
      </c>
      <c r="M90" s="10" t="str">
        <f aca="false">IF(F90="","",F90-TargetCarb)</f>
        <v/>
      </c>
      <c r="N90" s="10" t="str">
        <f aca="false">IF(COUNT(C90:F90)&lt;4,"",ROUND(4*D90+9*E90+4*F90-C90,0))</f>
        <v/>
      </c>
      <c r="O90" s="13" t="str">
        <f aca="false">IF(B90="","",IFERROR(AVERAGEIFS(Питание!$B$14:$B$378,Питание!$A$14:$A$378,"&gt;"&amp;$A90-7,Питание!$A$14:$A$378,"&lt;="&amp;$A90,Питание!$B$14:$B$378,"&gt;0"),""))</f>
        <v/>
      </c>
      <c r="P90" s="8" t="str">
        <f aca="false">IF(C90="","",IFERROR(AVERAGEIFS(Питание!$C$14:$C$378,Питание!$A$14:$A$378,"&gt;"&amp;$A90-7,Питание!$A$14:$A$378,"&lt;="&amp;$A90,Питание!$C$14:$C$378,"&gt;0"),""))</f>
        <v/>
      </c>
      <c r="Q90" s="8" t="str">
        <f aca="false">IF(D90="","",IFERROR(AVERAGEIFS(Питание!$D$14:$D$378,Питание!$A$14:$A$378,"&gt;"&amp;$A90-7,Питание!$A$14:$A$378,"&lt;="&amp;$A90,Питание!$D$14:$D$378,"&gt;0"),""))</f>
        <v/>
      </c>
      <c r="R90" s="14" t="str">
        <f aca="false">IF(O90="","",IFERROR(O90-AVERAGEIFS(Питание!$B$14:$B$378,Питание!$A$14:$A$378,"&gt;"&amp;$A90-14,Питание!$A$14:$A$378,"&lt;="&amp;$A90-7,Питание!$B$14:$B$378,"&gt;0"),""))</f>
        <v/>
      </c>
      <c r="S90" s="15" t="str">
        <f aca="false">IF(R90="","",R90/O90)</f>
        <v/>
      </c>
      <c r="T90" s="11" t="str">
        <f aca="false">IF(O90="","",O90-StartWeight)</f>
        <v/>
      </c>
    </row>
    <row r="91" customFormat="false" ht="15" hidden="false" customHeight="true" outlineLevel="0" collapsed="false">
      <c r="A91" s="16" t="n">
        <f aca="false">A90+1</f>
        <v>46371</v>
      </c>
      <c r="B91" s="17"/>
      <c r="C91" s="18"/>
      <c r="D91" s="18"/>
      <c r="E91" s="18"/>
      <c r="F91" s="18"/>
      <c r="G91" s="18"/>
      <c r="H91" s="17"/>
      <c r="I91" s="19"/>
      <c r="J91" s="10" t="str">
        <f aca="false">IF(C91="","",C91-TargetKcal)</f>
        <v/>
      </c>
      <c r="K91" s="10" t="str">
        <f aca="false">IF(D91="","",D91-TargetProtein)</f>
        <v/>
      </c>
      <c r="L91" s="10" t="str">
        <f aca="false">IF(E91="","",E91-TargetFat)</f>
        <v/>
      </c>
      <c r="M91" s="10" t="str">
        <f aca="false">IF(F91="","",F91-TargetCarb)</f>
        <v/>
      </c>
      <c r="N91" s="10" t="str">
        <f aca="false">IF(COUNT(C91:F91)&lt;4,"",ROUND(4*D91+9*E91+4*F91-C91,0))</f>
        <v/>
      </c>
      <c r="O91" s="13" t="str">
        <f aca="false">IF(B91="","",IFERROR(AVERAGEIFS(Питание!$B$14:$B$378,Питание!$A$14:$A$378,"&gt;"&amp;$A91-7,Питание!$A$14:$A$378,"&lt;="&amp;$A91,Питание!$B$14:$B$378,"&gt;0"),""))</f>
        <v/>
      </c>
      <c r="P91" s="8" t="str">
        <f aca="false">IF(C91="","",IFERROR(AVERAGEIFS(Питание!$C$14:$C$378,Питание!$A$14:$A$378,"&gt;"&amp;$A91-7,Питание!$A$14:$A$378,"&lt;="&amp;$A91,Питание!$C$14:$C$378,"&gt;0"),""))</f>
        <v/>
      </c>
      <c r="Q91" s="8" t="str">
        <f aca="false">IF(D91="","",IFERROR(AVERAGEIFS(Питание!$D$14:$D$378,Питание!$A$14:$A$378,"&gt;"&amp;$A91-7,Питание!$A$14:$A$378,"&lt;="&amp;$A91,Питание!$D$14:$D$378,"&gt;0"),""))</f>
        <v/>
      </c>
      <c r="R91" s="14" t="str">
        <f aca="false">IF(O91="","",IFERROR(O91-AVERAGEIFS(Питание!$B$14:$B$378,Питание!$A$14:$A$378,"&gt;"&amp;$A91-14,Питание!$A$14:$A$378,"&lt;="&amp;$A91-7,Питание!$B$14:$B$378,"&gt;0"),""))</f>
        <v/>
      </c>
      <c r="S91" s="15" t="str">
        <f aca="false">IF(R91="","",R91/O91)</f>
        <v/>
      </c>
      <c r="T91" s="11" t="str">
        <f aca="false">IF(O91="","",O91-StartWeight)</f>
        <v/>
      </c>
    </row>
    <row r="92" customFormat="false" ht="15" hidden="false" customHeight="true" outlineLevel="0" collapsed="false">
      <c r="A92" s="16" t="n">
        <f aca="false">A91+1</f>
        <v>46372</v>
      </c>
      <c r="B92" s="17"/>
      <c r="C92" s="18"/>
      <c r="D92" s="18"/>
      <c r="E92" s="18"/>
      <c r="F92" s="18"/>
      <c r="G92" s="18"/>
      <c r="H92" s="17"/>
      <c r="I92" s="19"/>
      <c r="J92" s="10" t="str">
        <f aca="false">IF(C92="","",C92-TargetKcal)</f>
        <v/>
      </c>
      <c r="K92" s="10" t="str">
        <f aca="false">IF(D92="","",D92-TargetProtein)</f>
        <v/>
      </c>
      <c r="L92" s="10" t="str">
        <f aca="false">IF(E92="","",E92-TargetFat)</f>
        <v/>
      </c>
      <c r="M92" s="10" t="str">
        <f aca="false">IF(F92="","",F92-TargetCarb)</f>
        <v/>
      </c>
      <c r="N92" s="10" t="str">
        <f aca="false">IF(COUNT(C92:F92)&lt;4,"",ROUND(4*D92+9*E92+4*F92-C92,0))</f>
        <v/>
      </c>
      <c r="O92" s="13" t="str">
        <f aca="false">IF(B92="","",IFERROR(AVERAGEIFS(Питание!$B$14:$B$378,Питание!$A$14:$A$378,"&gt;"&amp;$A92-7,Питание!$A$14:$A$378,"&lt;="&amp;$A92,Питание!$B$14:$B$378,"&gt;0"),""))</f>
        <v/>
      </c>
      <c r="P92" s="8" t="str">
        <f aca="false">IF(C92="","",IFERROR(AVERAGEIFS(Питание!$C$14:$C$378,Питание!$A$14:$A$378,"&gt;"&amp;$A92-7,Питание!$A$14:$A$378,"&lt;="&amp;$A92,Питание!$C$14:$C$378,"&gt;0"),""))</f>
        <v/>
      </c>
      <c r="Q92" s="8" t="str">
        <f aca="false">IF(D92="","",IFERROR(AVERAGEIFS(Питание!$D$14:$D$378,Питание!$A$14:$A$378,"&gt;"&amp;$A92-7,Питание!$A$14:$A$378,"&lt;="&amp;$A92,Питание!$D$14:$D$378,"&gt;0"),""))</f>
        <v/>
      </c>
      <c r="R92" s="14" t="str">
        <f aca="false">IF(O92="","",IFERROR(O92-AVERAGEIFS(Питание!$B$14:$B$378,Питание!$A$14:$A$378,"&gt;"&amp;$A92-14,Питание!$A$14:$A$378,"&lt;="&amp;$A92-7,Питание!$B$14:$B$378,"&gt;0"),""))</f>
        <v/>
      </c>
      <c r="S92" s="15" t="str">
        <f aca="false">IF(R92="","",R92/O92)</f>
        <v/>
      </c>
      <c r="T92" s="11" t="str">
        <f aca="false">IF(O92="","",O92-StartWeight)</f>
        <v/>
      </c>
    </row>
    <row r="93" customFormat="false" ht="15" hidden="false" customHeight="true" outlineLevel="0" collapsed="false">
      <c r="A93" s="16" t="n">
        <f aca="false">A92+1</f>
        <v>46373</v>
      </c>
      <c r="B93" s="17"/>
      <c r="C93" s="18"/>
      <c r="D93" s="18"/>
      <c r="E93" s="18"/>
      <c r="F93" s="18"/>
      <c r="G93" s="18"/>
      <c r="H93" s="17"/>
      <c r="I93" s="19"/>
      <c r="J93" s="10" t="str">
        <f aca="false">IF(C93="","",C93-TargetKcal)</f>
        <v/>
      </c>
      <c r="K93" s="10" t="str">
        <f aca="false">IF(D93="","",D93-TargetProtein)</f>
        <v/>
      </c>
      <c r="L93" s="10" t="str">
        <f aca="false">IF(E93="","",E93-TargetFat)</f>
        <v/>
      </c>
      <c r="M93" s="10" t="str">
        <f aca="false">IF(F93="","",F93-TargetCarb)</f>
        <v/>
      </c>
      <c r="N93" s="10" t="str">
        <f aca="false">IF(COUNT(C93:F93)&lt;4,"",ROUND(4*D93+9*E93+4*F93-C93,0))</f>
        <v/>
      </c>
      <c r="O93" s="13" t="str">
        <f aca="false">IF(B93="","",IFERROR(AVERAGEIFS(Питание!$B$14:$B$378,Питание!$A$14:$A$378,"&gt;"&amp;$A93-7,Питание!$A$14:$A$378,"&lt;="&amp;$A93,Питание!$B$14:$B$378,"&gt;0"),""))</f>
        <v/>
      </c>
      <c r="P93" s="8" t="str">
        <f aca="false">IF(C93="","",IFERROR(AVERAGEIFS(Питание!$C$14:$C$378,Питание!$A$14:$A$378,"&gt;"&amp;$A93-7,Питание!$A$14:$A$378,"&lt;="&amp;$A93,Питание!$C$14:$C$378,"&gt;0"),""))</f>
        <v/>
      </c>
      <c r="Q93" s="8" t="str">
        <f aca="false">IF(D93="","",IFERROR(AVERAGEIFS(Питание!$D$14:$D$378,Питание!$A$14:$A$378,"&gt;"&amp;$A93-7,Питание!$A$14:$A$378,"&lt;="&amp;$A93,Питание!$D$14:$D$378,"&gt;0"),""))</f>
        <v/>
      </c>
      <c r="R93" s="14" t="str">
        <f aca="false">IF(O93="","",IFERROR(O93-AVERAGEIFS(Питание!$B$14:$B$378,Питание!$A$14:$A$378,"&gt;"&amp;$A93-14,Питание!$A$14:$A$378,"&lt;="&amp;$A93-7,Питание!$B$14:$B$378,"&gt;0"),""))</f>
        <v/>
      </c>
      <c r="S93" s="15" t="str">
        <f aca="false">IF(R93="","",R93/O93)</f>
        <v/>
      </c>
      <c r="T93" s="11" t="str">
        <f aca="false">IF(O93="","",O93-StartWeight)</f>
        <v/>
      </c>
    </row>
    <row r="94" customFormat="false" ht="15" hidden="false" customHeight="true" outlineLevel="0" collapsed="false">
      <c r="A94" s="16" t="n">
        <f aca="false">A93+1</f>
        <v>46374</v>
      </c>
      <c r="B94" s="17"/>
      <c r="C94" s="18"/>
      <c r="D94" s="18"/>
      <c r="E94" s="18"/>
      <c r="F94" s="18"/>
      <c r="G94" s="18"/>
      <c r="H94" s="17"/>
      <c r="I94" s="19"/>
      <c r="J94" s="10" t="str">
        <f aca="false">IF(C94="","",C94-TargetKcal)</f>
        <v/>
      </c>
      <c r="K94" s="10" t="str">
        <f aca="false">IF(D94="","",D94-TargetProtein)</f>
        <v/>
      </c>
      <c r="L94" s="10" t="str">
        <f aca="false">IF(E94="","",E94-TargetFat)</f>
        <v/>
      </c>
      <c r="M94" s="10" t="str">
        <f aca="false">IF(F94="","",F94-TargetCarb)</f>
        <v/>
      </c>
      <c r="N94" s="10" t="str">
        <f aca="false">IF(COUNT(C94:F94)&lt;4,"",ROUND(4*D94+9*E94+4*F94-C94,0))</f>
        <v/>
      </c>
      <c r="O94" s="13" t="str">
        <f aca="false">IF(B94="","",IFERROR(AVERAGEIFS(Питание!$B$14:$B$378,Питание!$A$14:$A$378,"&gt;"&amp;$A94-7,Питание!$A$14:$A$378,"&lt;="&amp;$A94,Питание!$B$14:$B$378,"&gt;0"),""))</f>
        <v/>
      </c>
      <c r="P94" s="8" t="str">
        <f aca="false">IF(C94="","",IFERROR(AVERAGEIFS(Питание!$C$14:$C$378,Питание!$A$14:$A$378,"&gt;"&amp;$A94-7,Питание!$A$14:$A$378,"&lt;="&amp;$A94,Питание!$C$14:$C$378,"&gt;0"),""))</f>
        <v/>
      </c>
      <c r="Q94" s="8" t="str">
        <f aca="false">IF(D94="","",IFERROR(AVERAGEIFS(Питание!$D$14:$D$378,Питание!$A$14:$A$378,"&gt;"&amp;$A94-7,Питание!$A$14:$A$378,"&lt;="&amp;$A94,Питание!$D$14:$D$378,"&gt;0"),""))</f>
        <v/>
      </c>
      <c r="R94" s="14" t="str">
        <f aca="false">IF(O94="","",IFERROR(O94-AVERAGEIFS(Питание!$B$14:$B$378,Питание!$A$14:$A$378,"&gt;"&amp;$A94-14,Питание!$A$14:$A$378,"&lt;="&amp;$A94-7,Питание!$B$14:$B$378,"&gt;0"),""))</f>
        <v/>
      </c>
      <c r="S94" s="15" t="str">
        <f aca="false">IF(R94="","",R94/O94)</f>
        <v/>
      </c>
      <c r="T94" s="11" t="str">
        <f aca="false">IF(O94="","",O94-StartWeight)</f>
        <v/>
      </c>
    </row>
    <row r="95" customFormat="false" ht="15" hidden="false" customHeight="true" outlineLevel="0" collapsed="false">
      <c r="A95" s="16" t="n">
        <f aca="false">A94+1</f>
        <v>46375</v>
      </c>
      <c r="B95" s="17"/>
      <c r="C95" s="18"/>
      <c r="D95" s="18"/>
      <c r="E95" s="18"/>
      <c r="F95" s="18"/>
      <c r="G95" s="18"/>
      <c r="H95" s="17"/>
      <c r="I95" s="19"/>
      <c r="J95" s="10" t="str">
        <f aca="false">IF(C95="","",C95-TargetKcal)</f>
        <v/>
      </c>
      <c r="K95" s="10" t="str">
        <f aca="false">IF(D95="","",D95-TargetProtein)</f>
        <v/>
      </c>
      <c r="L95" s="10" t="str">
        <f aca="false">IF(E95="","",E95-TargetFat)</f>
        <v/>
      </c>
      <c r="M95" s="10" t="str">
        <f aca="false">IF(F95="","",F95-TargetCarb)</f>
        <v/>
      </c>
      <c r="N95" s="10" t="str">
        <f aca="false">IF(COUNT(C95:F95)&lt;4,"",ROUND(4*D95+9*E95+4*F95-C95,0))</f>
        <v/>
      </c>
      <c r="O95" s="13" t="str">
        <f aca="false">IF(B95="","",IFERROR(AVERAGEIFS(Питание!$B$14:$B$378,Питание!$A$14:$A$378,"&gt;"&amp;$A95-7,Питание!$A$14:$A$378,"&lt;="&amp;$A95,Питание!$B$14:$B$378,"&gt;0"),""))</f>
        <v/>
      </c>
      <c r="P95" s="8" t="str">
        <f aca="false">IF(C95="","",IFERROR(AVERAGEIFS(Питание!$C$14:$C$378,Питание!$A$14:$A$378,"&gt;"&amp;$A95-7,Питание!$A$14:$A$378,"&lt;="&amp;$A95,Питание!$C$14:$C$378,"&gt;0"),""))</f>
        <v/>
      </c>
      <c r="Q95" s="8" t="str">
        <f aca="false">IF(D95="","",IFERROR(AVERAGEIFS(Питание!$D$14:$D$378,Питание!$A$14:$A$378,"&gt;"&amp;$A95-7,Питание!$A$14:$A$378,"&lt;="&amp;$A95,Питание!$D$14:$D$378,"&gt;0"),""))</f>
        <v/>
      </c>
      <c r="R95" s="14" t="str">
        <f aca="false">IF(O95="","",IFERROR(O95-AVERAGEIFS(Питание!$B$14:$B$378,Питание!$A$14:$A$378,"&gt;"&amp;$A95-14,Питание!$A$14:$A$378,"&lt;="&amp;$A95-7,Питание!$B$14:$B$378,"&gt;0"),""))</f>
        <v/>
      </c>
      <c r="S95" s="15" t="str">
        <f aca="false">IF(R95="","",R95/O95)</f>
        <v/>
      </c>
      <c r="T95" s="11" t="str">
        <f aca="false">IF(O95="","",O95-StartWeight)</f>
        <v/>
      </c>
    </row>
    <row r="96" customFormat="false" ht="15" hidden="false" customHeight="true" outlineLevel="0" collapsed="false">
      <c r="A96" s="16" t="n">
        <f aca="false">A95+1</f>
        <v>46376</v>
      </c>
      <c r="B96" s="17"/>
      <c r="C96" s="18"/>
      <c r="D96" s="18"/>
      <c r="E96" s="18"/>
      <c r="F96" s="18"/>
      <c r="G96" s="18"/>
      <c r="H96" s="17"/>
      <c r="I96" s="19"/>
      <c r="J96" s="10" t="str">
        <f aca="false">IF(C96="","",C96-TargetKcal)</f>
        <v/>
      </c>
      <c r="K96" s="10" t="str">
        <f aca="false">IF(D96="","",D96-TargetProtein)</f>
        <v/>
      </c>
      <c r="L96" s="10" t="str">
        <f aca="false">IF(E96="","",E96-TargetFat)</f>
        <v/>
      </c>
      <c r="M96" s="10" t="str">
        <f aca="false">IF(F96="","",F96-TargetCarb)</f>
        <v/>
      </c>
      <c r="N96" s="10" t="str">
        <f aca="false">IF(COUNT(C96:F96)&lt;4,"",ROUND(4*D96+9*E96+4*F96-C96,0))</f>
        <v/>
      </c>
      <c r="O96" s="13" t="str">
        <f aca="false">IF(B96="","",IFERROR(AVERAGEIFS(Питание!$B$14:$B$378,Питание!$A$14:$A$378,"&gt;"&amp;$A96-7,Питание!$A$14:$A$378,"&lt;="&amp;$A96,Питание!$B$14:$B$378,"&gt;0"),""))</f>
        <v/>
      </c>
      <c r="P96" s="8" t="str">
        <f aca="false">IF(C96="","",IFERROR(AVERAGEIFS(Питание!$C$14:$C$378,Питание!$A$14:$A$378,"&gt;"&amp;$A96-7,Питание!$A$14:$A$378,"&lt;="&amp;$A96,Питание!$C$14:$C$378,"&gt;0"),""))</f>
        <v/>
      </c>
      <c r="Q96" s="8" t="str">
        <f aca="false">IF(D96="","",IFERROR(AVERAGEIFS(Питание!$D$14:$D$378,Питание!$A$14:$A$378,"&gt;"&amp;$A96-7,Питание!$A$14:$A$378,"&lt;="&amp;$A96,Питание!$D$14:$D$378,"&gt;0"),""))</f>
        <v/>
      </c>
      <c r="R96" s="14" t="str">
        <f aca="false">IF(O96="","",IFERROR(O96-AVERAGEIFS(Питание!$B$14:$B$378,Питание!$A$14:$A$378,"&gt;"&amp;$A96-14,Питание!$A$14:$A$378,"&lt;="&amp;$A96-7,Питание!$B$14:$B$378,"&gt;0"),""))</f>
        <v/>
      </c>
      <c r="S96" s="15" t="str">
        <f aca="false">IF(R96="","",R96/O96)</f>
        <v/>
      </c>
      <c r="T96" s="11" t="str">
        <f aca="false">IF(O96="","",O96-StartWeight)</f>
        <v/>
      </c>
    </row>
    <row r="97" customFormat="false" ht="15" hidden="false" customHeight="true" outlineLevel="0" collapsed="false">
      <c r="A97" s="16" t="n">
        <f aca="false">A96+1</f>
        <v>46377</v>
      </c>
      <c r="B97" s="17"/>
      <c r="C97" s="18"/>
      <c r="D97" s="18"/>
      <c r="E97" s="18"/>
      <c r="F97" s="18"/>
      <c r="G97" s="18"/>
      <c r="H97" s="17"/>
      <c r="I97" s="19"/>
      <c r="J97" s="10" t="str">
        <f aca="false">IF(C97="","",C97-TargetKcal)</f>
        <v/>
      </c>
      <c r="K97" s="10" t="str">
        <f aca="false">IF(D97="","",D97-TargetProtein)</f>
        <v/>
      </c>
      <c r="L97" s="10" t="str">
        <f aca="false">IF(E97="","",E97-TargetFat)</f>
        <v/>
      </c>
      <c r="M97" s="10" t="str">
        <f aca="false">IF(F97="","",F97-TargetCarb)</f>
        <v/>
      </c>
      <c r="N97" s="10" t="str">
        <f aca="false">IF(COUNT(C97:F97)&lt;4,"",ROUND(4*D97+9*E97+4*F97-C97,0))</f>
        <v/>
      </c>
      <c r="O97" s="13" t="str">
        <f aca="false">IF(B97="","",IFERROR(AVERAGEIFS(Питание!$B$14:$B$378,Питание!$A$14:$A$378,"&gt;"&amp;$A97-7,Питание!$A$14:$A$378,"&lt;="&amp;$A97,Питание!$B$14:$B$378,"&gt;0"),""))</f>
        <v/>
      </c>
      <c r="P97" s="8" t="str">
        <f aca="false">IF(C97="","",IFERROR(AVERAGEIFS(Питание!$C$14:$C$378,Питание!$A$14:$A$378,"&gt;"&amp;$A97-7,Питание!$A$14:$A$378,"&lt;="&amp;$A97,Питание!$C$14:$C$378,"&gt;0"),""))</f>
        <v/>
      </c>
      <c r="Q97" s="8" t="str">
        <f aca="false">IF(D97="","",IFERROR(AVERAGEIFS(Питание!$D$14:$D$378,Питание!$A$14:$A$378,"&gt;"&amp;$A97-7,Питание!$A$14:$A$378,"&lt;="&amp;$A97,Питание!$D$14:$D$378,"&gt;0"),""))</f>
        <v/>
      </c>
      <c r="R97" s="14" t="str">
        <f aca="false">IF(O97="","",IFERROR(O97-AVERAGEIFS(Питание!$B$14:$B$378,Питание!$A$14:$A$378,"&gt;"&amp;$A97-14,Питание!$A$14:$A$378,"&lt;="&amp;$A97-7,Питание!$B$14:$B$378,"&gt;0"),""))</f>
        <v/>
      </c>
      <c r="S97" s="15" t="str">
        <f aca="false">IF(R97="","",R97/O97)</f>
        <v/>
      </c>
      <c r="T97" s="11" t="str">
        <f aca="false">IF(O97="","",O97-StartWeight)</f>
        <v/>
      </c>
    </row>
    <row r="98" customFormat="false" ht="15" hidden="false" customHeight="true" outlineLevel="0" collapsed="false">
      <c r="A98" s="16" t="n">
        <f aca="false">A97+1</f>
        <v>46378</v>
      </c>
      <c r="B98" s="17"/>
      <c r="C98" s="18"/>
      <c r="D98" s="18"/>
      <c r="E98" s="18"/>
      <c r="F98" s="18"/>
      <c r="G98" s="18"/>
      <c r="H98" s="17"/>
      <c r="I98" s="19"/>
      <c r="J98" s="10" t="str">
        <f aca="false">IF(C98="","",C98-TargetKcal)</f>
        <v/>
      </c>
      <c r="K98" s="10" t="str">
        <f aca="false">IF(D98="","",D98-TargetProtein)</f>
        <v/>
      </c>
      <c r="L98" s="10" t="str">
        <f aca="false">IF(E98="","",E98-TargetFat)</f>
        <v/>
      </c>
      <c r="M98" s="10" t="str">
        <f aca="false">IF(F98="","",F98-TargetCarb)</f>
        <v/>
      </c>
      <c r="N98" s="10" t="str">
        <f aca="false">IF(COUNT(C98:F98)&lt;4,"",ROUND(4*D98+9*E98+4*F98-C98,0))</f>
        <v/>
      </c>
      <c r="O98" s="13" t="str">
        <f aca="false">IF(B98="","",IFERROR(AVERAGEIFS(Питание!$B$14:$B$378,Питание!$A$14:$A$378,"&gt;"&amp;$A98-7,Питание!$A$14:$A$378,"&lt;="&amp;$A98,Питание!$B$14:$B$378,"&gt;0"),""))</f>
        <v/>
      </c>
      <c r="P98" s="8" t="str">
        <f aca="false">IF(C98="","",IFERROR(AVERAGEIFS(Питание!$C$14:$C$378,Питание!$A$14:$A$378,"&gt;"&amp;$A98-7,Питание!$A$14:$A$378,"&lt;="&amp;$A98,Питание!$C$14:$C$378,"&gt;0"),""))</f>
        <v/>
      </c>
      <c r="Q98" s="8" t="str">
        <f aca="false">IF(D98="","",IFERROR(AVERAGEIFS(Питание!$D$14:$D$378,Питание!$A$14:$A$378,"&gt;"&amp;$A98-7,Питание!$A$14:$A$378,"&lt;="&amp;$A98,Питание!$D$14:$D$378,"&gt;0"),""))</f>
        <v/>
      </c>
      <c r="R98" s="14" t="str">
        <f aca="false">IF(O98="","",IFERROR(O98-AVERAGEIFS(Питание!$B$14:$B$378,Питание!$A$14:$A$378,"&gt;"&amp;$A98-14,Питание!$A$14:$A$378,"&lt;="&amp;$A98-7,Питание!$B$14:$B$378,"&gt;0"),""))</f>
        <v/>
      </c>
      <c r="S98" s="15" t="str">
        <f aca="false">IF(R98="","",R98/O98)</f>
        <v/>
      </c>
      <c r="T98" s="11" t="str">
        <f aca="false">IF(O98="","",O98-StartWeight)</f>
        <v/>
      </c>
    </row>
    <row r="99" customFormat="false" ht="15" hidden="false" customHeight="true" outlineLevel="0" collapsed="false">
      <c r="A99" s="16" t="n">
        <f aca="false">A98+1</f>
        <v>46379</v>
      </c>
      <c r="B99" s="17"/>
      <c r="C99" s="18"/>
      <c r="D99" s="18"/>
      <c r="E99" s="18"/>
      <c r="F99" s="18"/>
      <c r="G99" s="18"/>
      <c r="H99" s="17"/>
      <c r="I99" s="19"/>
      <c r="J99" s="10" t="str">
        <f aca="false">IF(C99="","",C99-TargetKcal)</f>
        <v/>
      </c>
      <c r="K99" s="10" t="str">
        <f aca="false">IF(D99="","",D99-TargetProtein)</f>
        <v/>
      </c>
      <c r="L99" s="10" t="str">
        <f aca="false">IF(E99="","",E99-TargetFat)</f>
        <v/>
      </c>
      <c r="M99" s="10" t="str">
        <f aca="false">IF(F99="","",F99-TargetCarb)</f>
        <v/>
      </c>
      <c r="N99" s="10" t="str">
        <f aca="false">IF(COUNT(C99:F99)&lt;4,"",ROUND(4*D99+9*E99+4*F99-C99,0))</f>
        <v/>
      </c>
      <c r="O99" s="13" t="str">
        <f aca="false">IF(B99="","",IFERROR(AVERAGEIFS(Питание!$B$14:$B$378,Питание!$A$14:$A$378,"&gt;"&amp;$A99-7,Питание!$A$14:$A$378,"&lt;="&amp;$A99,Питание!$B$14:$B$378,"&gt;0"),""))</f>
        <v/>
      </c>
      <c r="P99" s="8" t="str">
        <f aca="false">IF(C99="","",IFERROR(AVERAGEIFS(Питание!$C$14:$C$378,Питание!$A$14:$A$378,"&gt;"&amp;$A99-7,Питание!$A$14:$A$378,"&lt;="&amp;$A99,Питание!$C$14:$C$378,"&gt;0"),""))</f>
        <v/>
      </c>
      <c r="Q99" s="8" t="str">
        <f aca="false">IF(D99="","",IFERROR(AVERAGEIFS(Питание!$D$14:$D$378,Питание!$A$14:$A$378,"&gt;"&amp;$A99-7,Питание!$A$14:$A$378,"&lt;="&amp;$A99,Питание!$D$14:$D$378,"&gt;0"),""))</f>
        <v/>
      </c>
      <c r="R99" s="14" t="str">
        <f aca="false">IF(O99="","",IFERROR(O99-AVERAGEIFS(Питание!$B$14:$B$378,Питание!$A$14:$A$378,"&gt;"&amp;$A99-14,Питание!$A$14:$A$378,"&lt;="&amp;$A99-7,Питание!$B$14:$B$378,"&gt;0"),""))</f>
        <v/>
      </c>
      <c r="S99" s="15" t="str">
        <f aca="false">IF(R99="","",R99/O99)</f>
        <v/>
      </c>
      <c r="T99" s="11" t="str">
        <f aca="false">IF(O99="","",O99-StartWeight)</f>
        <v/>
      </c>
    </row>
    <row r="100" customFormat="false" ht="15" hidden="false" customHeight="true" outlineLevel="0" collapsed="false">
      <c r="A100" s="16" t="n">
        <f aca="false">A99+1</f>
        <v>46380</v>
      </c>
      <c r="B100" s="17"/>
      <c r="C100" s="18"/>
      <c r="D100" s="18"/>
      <c r="E100" s="18"/>
      <c r="F100" s="18"/>
      <c r="G100" s="18"/>
      <c r="H100" s="17"/>
      <c r="I100" s="19"/>
      <c r="J100" s="10" t="str">
        <f aca="false">IF(C100="","",C100-TargetKcal)</f>
        <v/>
      </c>
      <c r="K100" s="10" t="str">
        <f aca="false">IF(D100="","",D100-TargetProtein)</f>
        <v/>
      </c>
      <c r="L100" s="10" t="str">
        <f aca="false">IF(E100="","",E100-TargetFat)</f>
        <v/>
      </c>
      <c r="M100" s="10" t="str">
        <f aca="false">IF(F100="","",F100-TargetCarb)</f>
        <v/>
      </c>
      <c r="N100" s="10" t="str">
        <f aca="false">IF(COUNT(C100:F100)&lt;4,"",ROUND(4*D100+9*E100+4*F100-C100,0))</f>
        <v/>
      </c>
      <c r="O100" s="13" t="str">
        <f aca="false">IF(B100="","",IFERROR(AVERAGEIFS(Питание!$B$14:$B$378,Питание!$A$14:$A$378,"&gt;"&amp;$A100-7,Питание!$A$14:$A$378,"&lt;="&amp;$A100,Питание!$B$14:$B$378,"&gt;0"),""))</f>
        <v/>
      </c>
      <c r="P100" s="8" t="str">
        <f aca="false">IF(C100="","",IFERROR(AVERAGEIFS(Питание!$C$14:$C$378,Питание!$A$14:$A$378,"&gt;"&amp;$A100-7,Питание!$A$14:$A$378,"&lt;="&amp;$A100,Питание!$C$14:$C$378,"&gt;0"),""))</f>
        <v/>
      </c>
      <c r="Q100" s="8" t="str">
        <f aca="false">IF(D100="","",IFERROR(AVERAGEIFS(Питание!$D$14:$D$378,Питание!$A$14:$A$378,"&gt;"&amp;$A100-7,Питание!$A$14:$A$378,"&lt;="&amp;$A100,Питание!$D$14:$D$378,"&gt;0"),""))</f>
        <v/>
      </c>
      <c r="R100" s="14" t="str">
        <f aca="false">IF(O100="","",IFERROR(O100-AVERAGEIFS(Питание!$B$14:$B$378,Питание!$A$14:$A$378,"&gt;"&amp;$A100-14,Питание!$A$14:$A$378,"&lt;="&amp;$A100-7,Питание!$B$14:$B$378,"&gt;0"),""))</f>
        <v/>
      </c>
      <c r="S100" s="15" t="str">
        <f aca="false">IF(R100="","",R100/O100)</f>
        <v/>
      </c>
      <c r="T100" s="11" t="str">
        <f aca="false">IF(O100="","",O100-StartWeight)</f>
        <v/>
      </c>
    </row>
    <row r="101" customFormat="false" ht="15" hidden="false" customHeight="true" outlineLevel="0" collapsed="false">
      <c r="A101" s="16" t="n">
        <f aca="false">A100+1</f>
        <v>46381</v>
      </c>
      <c r="B101" s="17"/>
      <c r="C101" s="18"/>
      <c r="D101" s="18"/>
      <c r="E101" s="18"/>
      <c r="F101" s="18"/>
      <c r="G101" s="18"/>
      <c r="H101" s="17"/>
      <c r="I101" s="19"/>
      <c r="J101" s="10" t="str">
        <f aca="false">IF(C101="","",C101-TargetKcal)</f>
        <v/>
      </c>
      <c r="K101" s="10" t="str">
        <f aca="false">IF(D101="","",D101-TargetProtein)</f>
        <v/>
      </c>
      <c r="L101" s="10" t="str">
        <f aca="false">IF(E101="","",E101-TargetFat)</f>
        <v/>
      </c>
      <c r="M101" s="10" t="str">
        <f aca="false">IF(F101="","",F101-TargetCarb)</f>
        <v/>
      </c>
      <c r="N101" s="10" t="str">
        <f aca="false">IF(COUNT(C101:F101)&lt;4,"",ROUND(4*D101+9*E101+4*F101-C101,0))</f>
        <v/>
      </c>
      <c r="O101" s="13" t="str">
        <f aca="false">IF(B101="","",IFERROR(AVERAGEIFS(Питание!$B$14:$B$378,Питание!$A$14:$A$378,"&gt;"&amp;$A101-7,Питание!$A$14:$A$378,"&lt;="&amp;$A101,Питание!$B$14:$B$378,"&gt;0"),""))</f>
        <v/>
      </c>
      <c r="P101" s="8" t="str">
        <f aca="false">IF(C101="","",IFERROR(AVERAGEIFS(Питание!$C$14:$C$378,Питание!$A$14:$A$378,"&gt;"&amp;$A101-7,Питание!$A$14:$A$378,"&lt;="&amp;$A101,Питание!$C$14:$C$378,"&gt;0"),""))</f>
        <v/>
      </c>
      <c r="Q101" s="8" t="str">
        <f aca="false">IF(D101="","",IFERROR(AVERAGEIFS(Питание!$D$14:$D$378,Питание!$A$14:$A$378,"&gt;"&amp;$A101-7,Питание!$A$14:$A$378,"&lt;="&amp;$A101,Питание!$D$14:$D$378,"&gt;0"),""))</f>
        <v/>
      </c>
      <c r="R101" s="14" t="str">
        <f aca="false">IF(O101="","",IFERROR(O101-AVERAGEIFS(Питание!$B$14:$B$378,Питание!$A$14:$A$378,"&gt;"&amp;$A101-14,Питание!$A$14:$A$378,"&lt;="&amp;$A101-7,Питание!$B$14:$B$378,"&gt;0"),""))</f>
        <v/>
      </c>
      <c r="S101" s="15" t="str">
        <f aca="false">IF(R101="","",R101/O101)</f>
        <v/>
      </c>
      <c r="T101" s="11" t="str">
        <f aca="false">IF(O101="","",O101-StartWeight)</f>
        <v/>
      </c>
    </row>
    <row r="102" customFormat="false" ht="15" hidden="false" customHeight="true" outlineLevel="0" collapsed="false">
      <c r="A102" s="16" t="n">
        <f aca="false">A101+1</f>
        <v>46382</v>
      </c>
      <c r="B102" s="17"/>
      <c r="C102" s="18"/>
      <c r="D102" s="18"/>
      <c r="E102" s="18"/>
      <c r="F102" s="18"/>
      <c r="G102" s="18"/>
      <c r="H102" s="17"/>
      <c r="I102" s="19"/>
      <c r="J102" s="10" t="str">
        <f aca="false">IF(C102="","",C102-TargetKcal)</f>
        <v/>
      </c>
      <c r="K102" s="10" t="str">
        <f aca="false">IF(D102="","",D102-TargetProtein)</f>
        <v/>
      </c>
      <c r="L102" s="10" t="str">
        <f aca="false">IF(E102="","",E102-TargetFat)</f>
        <v/>
      </c>
      <c r="M102" s="10" t="str">
        <f aca="false">IF(F102="","",F102-TargetCarb)</f>
        <v/>
      </c>
      <c r="N102" s="10" t="str">
        <f aca="false">IF(COUNT(C102:F102)&lt;4,"",ROUND(4*D102+9*E102+4*F102-C102,0))</f>
        <v/>
      </c>
      <c r="O102" s="13" t="str">
        <f aca="false">IF(B102="","",IFERROR(AVERAGEIFS(Питание!$B$14:$B$378,Питание!$A$14:$A$378,"&gt;"&amp;$A102-7,Питание!$A$14:$A$378,"&lt;="&amp;$A102,Питание!$B$14:$B$378,"&gt;0"),""))</f>
        <v/>
      </c>
      <c r="P102" s="8" t="str">
        <f aca="false">IF(C102="","",IFERROR(AVERAGEIFS(Питание!$C$14:$C$378,Питание!$A$14:$A$378,"&gt;"&amp;$A102-7,Питание!$A$14:$A$378,"&lt;="&amp;$A102,Питание!$C$14:$C$378,"&gt;0"),""))</f>
        <v/>
      </c>
      <c r="Q102" s="8" t="str">
        <f aca="false">IF(D102="","",IFERROR(AVERAGEIFS(Питание!$D$14:$D$378,Питание!$A$14:$A$378,"&gt;"&amp;$A102-7,Питание!$A$14:$A$378,"&lt;="&amp;$A102,Питание!$D$14:$D$378,"&gt;0"),""))</f>
        <v/>
      </c>
      <c r="R102" s="14" t="str">
        <f aca="false">IF(O102="","",IFERROR(O102-AVERAGEIFS(Питание!$B$14:$B$378,Питание!$A$14:$A$378,"&gt;"&amp;$A102-14,Питание!$A$14:$A$378,"&lt;="&amp;$A102-7,Питание!$B$14:$B$378,"&gt;0"),""))</f>
        <v/>
      </c>
      <c r="S102" s="15" t="str">
        <f aca="false">IF(R102="","",R102/O102)</f>
        <v/>
      </c>
      <c r="T102" s="11" t="str">
        <f aca="false">IF(O102="","",O102-StartWeight)</f>
        <v/>
      </c>
    </row>
    <row r="103" customFormat="false" ht="15" hidden="false" customHeight="true" outlineLevel="0" collapsed="false">
      <c r="A103" s="16" t="n">
        <f aca="false">A102+1</f>
        <v>46383</v>
      </c>
      <c r="B103" s="17"/>
      <c r="C103" s="18"/>
      <c r="D103" s="18"/>
      <c r="E103" s="18"/>
      <c r="F103" s="18"/>
      <c r="G103" s="18"/>
      <c r="H103" s="17"/>
      <c r="I103" s="19"/>
      <c r="J103" s="10" t="str">
        <f aca="false">IF(C103="","",C103-TargetKcal)</f>
        <v/>
      </c>
      <c r="K103" s="10" t="str">
        <f aca="false">IF(D103="","",D103-TargetProtein)</f>
        <v/>
      </c>
      <c r="L103" s="10" t="str">
        <f aca="false">IF(E103="","",E103-TargetFat)</f>
        <v/>
      </c>
      <c r="M103" s="10" t="str">
        <f aca="false">IF(F103="","",F103-TargetCarb)</f>
        <v/>
      </c>
      <c r="N103" s="10" t="str">
        <f aca="false">IF(COUNT(C103:F103)&lt;4,"",ROUND(4*D103+9*E103+4*F103-C103,0))</f>
        <v/>
      </c>
      <c r="O103" s="13" t="str">
        <f aca="false">IF(B103="","",IFERROR(AVERAGEIFS(Питание!$B$14:$B$378,Питание!$A$14:$A$378,"&gt;"&amp;$A103-7,Питание!$A$14:$A$378,"&lt;="&amp;$A103,Питание!$B$14:$B$378,"&gt;0"),""))</f>
        <v/>
      </c>
      <c r="P103" s="8" t="str">
        <f aca="false">IF(C103="","",IFERROR(AVERAGEIFS(Питание!$C$14:$C$378,Питание!$A$14:$A$378,"&gt;"&amp;$A103-7,Питание!$A$14:$A$378,"&lt;="&amp;$A103,Питание!$C$14:$C$378,"&gt;0"),""))</f>
        <v/>
      </c>
      <c r="Q103" s="8" t="str">
        <f aca="false">IF(D103="","",IFERROR(AVERAGEIFS(Питание!$D$14:$D$378,Питание!$A$14:$A$378,"&gt;"&amp;$A103-7,Питание!$A$14:$A$378,"&lt;="&amp;$A103,Питание!$D$14:$D$378,"&gt;0"),""))</f>
        <v/>
      </c>
      <c r="R103" s="14" t="str">
        <f aca="false">IF(O103="","",IFERROR(O103-AVERAGEIFS(Питание!$B$14:$B$378,Питание!$A$14:$A$378,"&gt;"&amp;$A103-14,Питание!$A$14:$A$378,"&lt;="&amp;$A103-7,Питание!$B$14:$B$378,"&gt;0"),""))</f>
        <v/>
      </c>
      <c r="S103" s="15" t="str">
        <f aca="false">IF(R103="","",R103/O103)</f>
        <v/>
      </c>
      <c r="T103" s="11" t="str">
        <f aca="false">IF(O103="","",O103-StartWeight)</f>
        <v/>
      </c>
    </row>
    <row r="104" customFormat="false" ht="15" hidden="false" customHeight="true" outlineLevel="0" collapsed="false">
      <c r="A104" s="16" t="n">
        <f aca="false">A103+1</f>
        <v>46384</v>
      </c>
      <c r="B104" s="17"/>
      <c r="C104" s="18"/>
      <c r="D104" s="18"/>
      <c r="E104" s="18"/>
      <c r="F104" s="18"/>
      <c r="G104" s="18"/>
      <c r="H104" s="17"/>
      <c r="I104" s="19"/>
      <c r="J104" s="10" t="str">
        <f aca="false">IF(C104="","",C104-TargetKcal)</f>
        <v/>
      </c>
      <c r="K104" s="10" t="str">
        <f aca="false">IF(D104="","",D104-TargetProtein)</f>
        <v/>
      </c>
      <c r="L104" s="10" t="str">
        <f aca="false">IF(E104="","",E104-TargetFat)</f>
        <v/>
      </c>
      <c r="M104" s="10" t="str">
        <f aca="false">IF(F104="","",F104-TargetCarb)</f>
        <v/>
      </c>
      <c r="N104" s="10" t="str">
        <f aca="false">IF(COUNT(C104:F104)&lt;4,"",ROUND(4*D104+9*E104+4*F104-C104,0))</f>
        <v/>
      </c>
      <c r="O104" s="13" t="str">
        <f aca="false">IF(B104="","",IFERROR(AVERAGEIFS(Питание!$B$14:$B$378,Питание!$A$14:$A$378,"&gt;"&amp;$A104-7,Питание!$A$14:$A$378,"&lt;="&amp;$A104,Питание!$B$14:$B$378,"&gt;0"),""))</f>
        <v/>
      </c>
      <c r="P104" s="8" t="str">
        <f aca="false">IF(C104="","",IFERROR(AVERAGEIFS(Питание!$C$14:$C$378,Питание!$A$14:$A$378,"&gt;"&amp;$A104-7,Питание!$A$14:$A$378,"&lt;="&amp;$A104,Питание!$C$14:$C$378,"&gt;0"),""))</f>
        <v/>
      </c>
      <c r="Q104" s="8" t="str">
        <f aca="false">IF(D104="","",IFERROR(AVERAGEIFS(Питание!$D$14:$D$378,Питание!$A$14:$A$378,"&gt;"&amp;$A104-7,Питание!$A$14:$A$378,"&lt;="&amp;$A104,Питание!$D$14:$D$378,"&gt;0"),""))</f>
        <v/>
      </c>
      <c r="R104" s="14" t="str">
        <f aca="false">IF(O104="","",IFERROR(O104-AVERAGEIFS(Питание!$B$14:$B$378,Питание!$A$14:$A$378,"&gt;"&amp;$A104-14,Питание!$A$14:$A$378,"&lt;="&amp;$A104-7,Питание!$B$14:$B$378,"&gt;0"),""))</f>
        <v/>
      </c>
      <c r="S104" s="15" t="str">
        <f aca="false">IF(R104="","",R104/O104)</f>
        <v/>
      </c>
      <c r="T104" s="11" t="str">
        <f aca="false">IF(O104="","",O104-StartWeight)</f>
        <v/>
      </c>
    </row>
    <row r="105" customFormat="false" ht="15" hidden="false" customHeight="true" outlineLevel="0" collapsed="false">
      <c r="A105" s="16" t="n">
        <f aca="false">A104+1</f>
        <v>46385</v>
      </c>
      <c r="B105" s="17"/>
      <c r="C105" s="18"/>
      <c r="D105" s="18"/>
      <c r="E105" s="18"/>
      <c r="F105" s="18"/>
      <c r="G105" s="18"/>
      <c r="H105" s="17"/>
      <c r="I105" s="19"/>
      <c r="J105" s="10" t="str">
        <f aca="false">IF(C105="","",C105-TargetKcal)</f>
        <v/>
      </c>
      <c r="K105" s="10" t="str">
        <f aca="false">IF(D105="","",D105-TargetProtein)</f>
        <v/>
      </c>
      <c r="L105" s="10" t="str">
        <f aca="false">IF(E105="","",E105-TargetFat)</f>
        <v/>
      </c>
      <c r="M105" s="10" t="str">
        <f aca="false">IF(F105="","",F105-TargetCarb)</f>
        <v/>
      </c>
      <c r="N105" s="10" t="str">
        <f aca="false">IF(COUNT(C105:F105)&lt;4,"",ROUND(4*D105+9*E105+4*F105-C105,0))</f>
        <v/>
      </c>
      <c r="O105" s="13" t="str">
        <f aca="false">IF(B105="","",IFERROR(AVERAGEIFS(Питание!$B$14:$B$378,Питание!$A$14:$A$378,"&gt;"&amp;$A105-7,Питание!$A$14:$A$378,"&lt;="&amp;$A105,Питание!$B$14:$B$378,"&gt;0"),""))</f>
        <v/>
      </c>
      <c r="P105" s="8" t="str">
        <f aca="false">IF(C105="","",IFERROR(AVERAGEIFS(Питание!$C$14:$C$378,Питание!$A$14:$A$378,"&gt;"&amp;$A105-7,Питание!$A$14:$A$378,"&lt;="&amp;$A105,Питание!$C$14:$C$378,"&gt;0"),""))</f>
        <v/>
      </c>
      <c r="Q105" s="8" t="str">
        <f aca="false">IF(D105="","",IFERROR(AVERAGEIFS(Питание!$D$14:$D$378,Питание!$A$14:$A$378,"&gt;"&amp;$A105-7,Питание!$A$14:$A$378,"&lt;="&amp;$A105,Питание!$D$14:$D$378,"&gt;0"),""))</f>
        <v/>
      </c>
      <c r="R105" s="14" t="str">
        <f aca="false">IF(O105="","",IFERROR(O105-AVERAGEIFS(Питание!$B$14:$B$378,Питание!$A$14:$A$378,"&gt;"&amp;$A105-14,Питание!$A$14:$A$378,"&lt;="&amp;$A105-7,Питание!$B$14:$B$378,"&gt;0"),""))</f>
        <v/>
      </c>
      <c r="S105" s="15" t="str">
        <f aca="false">IF(R105="","",R105/O105)</f>
        <v/>
      </c>
      <c r="T105" s="11" t="str">
        <f aca="false">IF(O105="","",O105-StartWeight)</f>
        <v/>
      </c>
    </row>
    <row r="106" customFormat="false" ht="15" hidden="false" customHeight="true" outlineLevel="0" collapsed="false">
      <c r="A106" s="16" t="n">
        <f aca="false">A105+1</f>
        <v>46386</v>
      </c>
      <c r="B106" s="17"/>
      <c r="C106" s="18"/>
      <c r="D106" s="18"/>
      <c r="E106" s="18"/>
      <c r="F106" s="18"/>
      <c r="G106" s="18"/>
      <c r="H106" s="17"/>
      <c r="I106" s="19"/>
      <c r="J106" s="10" t="str">
        <f aca="false">IF(C106="","",C106-TargetKcal)</f>
        <v/>
      </c>
      <c r="K106" s="10" t="str">
        <f aca="false">IF(D106="","",D106-TargetProtein)</f>
        <v/>
      </c>
      <c r="L106" s="10" t="str">
        <f aca="false">IF(E106="","",E106-TargetFat)</f>
        <v/>
      </c>
      <c r="M106" s="10" t="str">
        <f aca="false">IF(F106="","",F106-TargetCarb)</f>
        <v/>
      </c>
      <c r="N106" s="10" t="str">
        <f aca="false">IF(COUNT(C106:F106)&lt;4,"",ROUND(4*D106+9*E106+4*F106-C106,0))</f>
        <v/>
      </c>
      <c r="O106" s="13" t="str">
        <f aca="false">IF(B106="","",IFERROR(AVERAGEIFS(Питание!$B$14:$B$378,Питание!$A$14:$A$378,"&gt;"&amp;$A106-7,Питание!$A$14:$A$378,"&lt;="&amp;$A106,Питание!$B$14:$B$378,"&gt;0"),""))</f>
        <v/>
      </c>
      <c r="P106" s="8" t="str">
        <f aca="false">IF(C106="","",IFERROR(AVERAGEIFS(Питание!$C$14:$C$378,Питание!$A$14:$A$378,"&gt;"&amp;$A106-7,Питание!$A$14:$A$378,"&lt;="&amp;$A106,Питание!$C$14:$C$378,"&gt;0"),""))</f>
        <v/>
      </c>
      <c r="Q106" s="8" t="str">
        <f aca="false">IF(D106="","",IFERROR(AVERAGEIFS(Питание!$D$14:$D$378,Питание!$A$14:$A$378,"&gt;"&amp;$A106-7,Питание!$A$14:$A$378,"&lt;="&amp;$A106,Питание!$D$14:$D$378,"&gt;0"),""))</f>
        <v/>
      </c>
      <c r="R106" s="14" t="str">
        <f aca="false">IF(O106="","",IFERROR(O106-AVERAGEIFS(Питание!$B$14:$B$378,Питание!$A$14:$A$378,"&gt;"&amp;$A106-14,Питание!$A$14:$A$378,"&lt;="&amp;$A106-7,Питание!$B$14:$B$378,"&gt;0"),""))</f>
        <v/>
      </c>
      <c r="S106" s="15" t="str">
        <f aca="false">IF(R106="","",R106/O106)</f>
        <v/>
      </c>
      <c r="T106" s="11" t="str">
        <f aca="false">IF(O106="","",O106-StartWeight)</f>
        <v/>
      </c>
    </row>
    <row r="107" customFormat="false" ht="15" hidden="false" customHeight="true" outlineLevel="0" collapsed="false">
      <c r="A107" s="16" t="n">
        <f aca="false">A106+1</f>
        <v>46387</v>
      </c>
      <c r="B107" s="17"/>
      <c r="C107" s="18"/>
      <c r="D107" s="18"/>
      <c r="E107" s="18"/>
      <c r="F107" s="18"/>
      <c r="G107" s="18"/>
      <c r="H107" s="17"/>
      <c r="I107" s="19"/>
      <c r="J107" s="10" t="str">
        <f aca="false">IF(C107="","",C107-TargetKcal)</f>
        <v/>
      </c>
      <c r="K107" s="10" t="str">
        <f aca="false">IF(D107="","",D107-TargetProtein)</f>
        <v/>
      </c>
      <c r="L107" s="10" t="str">
        <f aca="false">IF(E107="","",E107-TargetFat)</f>
        <v/>
      </c>
      <c r="M107" s="10" t="str">
        <f aca="false">IF(F107="","",F107-TargetCarb)</f>
        <v/>
      </c>
      <c r="N107" s="10" t="str">
        <f aca="false">IF(COUNT(C107:F107)&lt;4,"",ROUND(4*D107+9*E107+4*F107-C107,0))</f>
        <v/>
      </c>
      <c r="O107" s="13" t="str">
        <f aca="false">IF(B107="","",IFERROR(AVERAGEIFS(Питание!$B$14:$B$378,Питание!$A$14:$A$378,"&gt;"&amp;$A107-7,Питание!$A$14:$A$378,"&lt;="&amp;$A107,Питание!$B$14:$B$378,"&gt;0"),""))</f>
        <v/>
      </c>
      <c r="P107" s="8" t="str">
        <f aca="false">IF(C107="","",IFERROR(AVERAGEIFS(Питание!$C$14:$C$378,Питание!$A$14:$A$378,"&gt;"&amp;$A107-7,Питание!$A$14:$A$378,"&lt;="&amp;$A107,Питание!$C$14:$C$378,"&gt;0"),""))</f>
        <v/>
      </c>
      <c r="Q107" s="8" t="str">
        <f aca="false">IF(D107="","",IFERROR(AVERAGEIFS(Питание!$D$14:$D$378,Питание!$A$14:$A$378,"&gt;"&amp;$A107-7,Питание!$A$14:$A$378,"&lt;="&amp;$A107,Питание!$D$14:$D$378,"&gt;0"),""))</f>
        <v/>
      </c>
      <c r="R107" s="14" t="str">
        <f aca="false">IF(O107="","",IFERROR(O107-AVERAGEIFS(Питание!$B$14:$B$378,Питание!$A$14:$A$378,"&gt;"&amp;$A107-14,Питание!$A$14:$A$378,"&lt;="&amp;$A107-7,Питание!$B$14:$B$378,"&gt;0"),""))</f>
        <v/>
      </c>
      <c r="S107" s="15" t="str">
        <f aca="false">IF(R107="","",R107/O107)</f>
        <v/>
      </c>
      <c r="T107" s="11" t="str">
        <f aca="false">IF(O107="","",O107-StartWeight)</f>
        <v/>
      </c>
    </row>
    <row r="108" customFormat="false" ht="15" hidden="false" customHeight="true" outlineLevel="0" collapsed="false">
      <c r="A108" s="16" t="n">
        <f aca="false">A107+1</f>
        <v>46388</v>
      </c>
      <c r="B108" s="17"/>
      <c r="C108" s="18"/>
      <c r="D108" s="18"/>
      <c r="E108" s="18"/>
      <c r="F108" s="18"/>
      <c r="G108" s="18"/>
      <c r="H108" s="17"/>
      <c r="I108" s="19"/>
      <c r="J108" s="10" t="str">
        <f aca="false">IF(C108="","",C108-TargetKcal)</f>
        <v/>
      </c>
      <c r="K108" s="10" t="str">
        <f aca="false">IF(D108="","",D108-TargetProtein)</f>
        <v/>
      </c>
      <c r="L108" s="10" t="str">
        <f aca="false">IF(E108="","",E108-TargetFat)</f>
        <v/>
      </c>
      <c r="M108" s="10" t="str">
        <f aca="false">IF(F108="","",F108-TargetCarb)</f>
        <v/>
      </c>
      <c r="N108" s="10" t="str">
        <f aca="false">IF(COUNT(C108:F108)&lt;4,"",ROUND(4*D108+9*E108+4*F108-C108,0))</f>
        <v/>
      </c>
      <c r="O108" s="13" t="str">
        <f aca="false">IF(B108="","",IFERROR(AVERAGEIFS(Питание!$B$14:$B$378,Питание!$A$14:$A$378,"&gt;"&amp;$A108-7,Питание!$A$14:$A$378,"&lt;="&amp;$A108,Питание!$B$14:$B$378,"&gt;0"),""))</f>
        <v/>
      </c>
      <c r="P108" s="8" t="str">
        <f aca="false">IF(C108="","",IFERROR(AVERAGEIFS(Питание!$C$14:$C$378,Питание!$A$14:$A$378,"&gt;"&amp;$A108-7,Питание!$A$14:$A$378,"&lt;="&amp;$A108,Питание!$C$14:$C$378,"&gt;0"),""))</f>
        <v/>
      </c>
      <c r="Q108" s="8" t="str">
        <f aca="false">IF(D108="","",IFERROR(AVERAGEIFS(Питание!$D$14:$D$378,Питание!$A$14:$A$378,"&gt;"&amp;$A108-7,Питание!$A$14:$A$378,"&lt;="&amp;$A108,Питание!$D$14:$D$378,"&gt;0"),""))</f>
        <v/>
      </c>
      <c r="R108" s="14" t="str">
        <f aca="false">IF(O108="","",IFERROR(O108-AVERAGEIFS(Питание!$B$14:$B$378,Питание!$A$14:$A$378,"&gt;"&amp;$A108-14,Питание!$A$14:$A$378,"&lt;="&amp;$A108-7,Питание!$B$14:$B$378,"&gt;0"),""))</f>
        <v/>
      </c>
      <c r="S108" s="15" t="str">
        <f aca="false">IF(R108="","",R108/O108)</f>
        <v/>
      </c>
      <c r="T108" s="11" t="str">
        <f aca="false">IF(O108="","",O108-StartWeight)</f>
        <v/>
      </c>
    </row>
    <row r="109" customFormat="false" ht="15" hidden="false" customHeight="true" outlineLevel="0" collapsed="false">
      <c r="A109" s="16" t="n">
        <f aca="false">A108+1</f>
        <v>46389</v>
      </c>
      <c r="B109" s="17"/>
      <c r="C109" s="18"/>
      <c r="D109" s="18"/>
      <c r="E109" s="18"/>
      <c r="F109" s="18"/>
      <c r="G109" s="18"/>
      <c r="H109" s="17"/>
      <c r="I109" s="19"/>
      <c r="J109" s="10" t="str">
        <f aca="false">IF(C109="","",C109-TargetKcal)</f>
        <v/>
      </c>
      <c r="K109" s="10" t="str">
        <f aca="false">IF(D109="","",D109-TargetProtein)</f>
        <v/>
      </c>
      <c r="L109" s="10" t="str">
        <f aca="false">IF(E109="","",E109-TargetFat)</f>
        <v/>
      </c>
      <c r="M109" s="10" t="str">
        <f aca="false">IF(F109="","",F109-TargetCarb)</f>
        <v/>
      </c>
      <c r="N109" s="10" t="str">
        <f aca="false">IF(COUNT(C109:F109)&lt;4,"",ROUND(4*D109+9*E109+4*F109-C109,0))</f>
        <v/>
      </c>
      <c r="O109" s="13" t="str">
        <f aca="false">IF(B109="","",IFERROR(AVERAGEIFS(Питание!$B$14:$B$378,Питание!$A$14:$A$378,"&gt;"&amp;$A109-7,Питание!$A$14:$A$378,"&lt;="&amp;$A109,Питание!$B$14:$B$378,"&gt;0"),""))</f>
        <v/>
      </c>
      <c r="P109" s="8" t="str">
        <f aca="false">IF(C109="","",IFERROR(AVERAGEIFS(Питание!$C$14:$C$378,Питание!$A$14:$A$378,"&gt;"&amp;$A109-7,Питание!$A$14:$A$378,"&lt;="&amp;$A109,Питание!$C$14:$C$378,"&gt;0"),""))</f>
        <v/>
      </c>
      <c r="Q109" s="8" t="str">
        <f aca="false">IF(D109="","",IFERROR(AVERAGEIFS(Питание!$D$14:$D$378,Питание!$A$14:$A$378,"&gt;"&amp;$A109-7,Питание!$A$14:$A$378,"&lt;="&amp;$A109,Питание!$D$14:$D$378,"&gt;0"),""))</f>
        <v/>
      </c>
      <c r="R109" s="14" t="str">
        <f aca="false">IF(O109="","",IFERROR(O109-AVERAGEIFS(Питание!$B$14:$B$378,Питание!$A$14:$A$378,"&gt;"&amp;$A109-14,Питание!$A$14:$A$378,"&lt;="&amp;$A109-7,Питание!$B$14:$B$378,"&gt;0"),""))</f>
        <v/>
      </c>
      <c r="S109" s="15" t="str">
        <f aca="false">IF(R109="","",R109/O109)</f>
        <v/>
      </c>
      <c r="T109" s="11" t="str">
        <f aca="false">IF(O109="","",O109-StartWeight)</f>
        <v/>
      </c>
    </row>
    <row r="110" customFormat="false" ht="15" hidden="false" customHeight="true" outlineLevel="0" collapsed="false">
      <c r="A110" s="16" t="n">
        <f aca="false">A109+1</f>
        <v>46390</v>
      </c>
      <c r="B110" s="17"/>
      <c r="C110" s="18"/>
      <c r="D110" s="18"/>
      <c r="E110" s="18"/>
      <c r="F110" s="18"/>
      <c r="G110" s="18"/>
      <c r="H110" s="17"/>
      <c r="I110" s="19"/>
      <c r="J110" s="10" t="str">
        <f aca="false">IF(C110="","",C110-TargetKcal)</f>
        <v/>
      </c>
      <c r="K110" s="10" t="str">
        <f aca="false">IF(D110="","",D110-TargetProtein)</f>
        <v/>
      </c>
      <c r="L110" s="10" t="str">
        <f aca="false">IF(E110="","",E110-TargetFat)</f>
        <v/>
      </c>
      <c r="M110" s="10" t="str">
        <f aca="false">IF(F110="","",F110-TargetCarb)</f>
        <v/>
      </c>
      <c r="N110" s="10" t="str">
        <f aca="false">IF(COUNT(C110:F110)&lt;4,"",ROUND(4*D110+9*E110+4*F110-C110,0))</f>
        <v/>
      </c>
      <c r="O110" s="13" t="str">
        <f aca="false">IF(B110="","",IFERROR(AVERAGEIFS(Питание!$B$14:$B$378,Питание!$A$14:$A$378,"&gt;"&amp;$A110-7,Питание!$A$14:$A$378,"&lt;="&amp;$A110,Питание!$B$14:$B$378,"&gt;0"),""))</f>
        <v/>
      </c>
      <c r="P110" s="8" t="str">
        <f aca="false">IF(C110="","",IFERROR(AVERAGEIFS(Питание!$C$14:$C$378,Питание!$A$14:$A$378,"&gt;"&amp;$A110-7,Питание!$A$14:$A$378,"&lt;="&amp;$A110,Питание!$C$14:$C$378,"&gt;0"),""))</f>
        <v/>
      </c>
      <c r="Q110" s="8" t="str">
        <f aca="false">IF(D110="","",IFERROR(AVERAGEIFS(Питание!$D$14:$D$378,Питание!$A$14:$A$378,"&gt;"&amp;$A110-7,Питание!$A$14:$A$378,"&lt;="&amp;$A110,Питание!$D$14:$D$378,"&gt;0"),""))</f>
        <v/>
      </c>
      <c r="R110" s="14" t="str">
        <f aca="false">IF(O110="","",IFERROR(O110-AVERAGEIFS(Питание!$B$14:$B$378,Питание!$A$14:$A$378,"&gt;"&amp;$A110-14,Питание!$A$14:$A$378,"&lt;="&amp;$A110-7,Питание!$B$14:$B$378,"&gt;0"),""))</f>
        <v/>
      </c>
      <c r="S110" s="15" t="str">
        <f aca="false">IF(R110="","",R110/O110)</f>
        <v/>
      </c>
      <c r="T110" s="11" t="str">
        <f aca="false">IF(O110="","",O110-StartWeight)</f>
        <v/>
      </c>
    </row>
    <row r="111" customFormat="false" ht="15" hidden="false" customHeight="true" outlineLevel="0" collapsed="false">
      <c r="A111" s="16" t="n">
        <f aca="false">A110+1</f>
        <v>46391</v>
      </c>
      <c r="B111" s="17"/>
      <c r="C111" s="18"/>
      <c r="D111" s="18"/>
      <c r="E111" s="18"/>
      <c r="F111" s="18"/>
      <c r="G111" s="18"/>
      <c r="H111" s="17"/>
      <c r="I111" s="19"/>
      <c r="J111" s="10" t="str">
        <f aca="false">IF(C111="","",C111-TargetKcal)</f>
        <v/>
      </c>
      <c r="K111" s="10" t="str">
        <f aca="false">IF(D111="","",D111-TargetProtein)</f>
        <v/>
      </c>
      <c r="L111" s="10" t="str">
        <f aca="false">IF(E111="","",E111-TargetFat)</f>
        <v/>
      </c>
      <c r="M111" s="10" t="str">
        <f aca="false">IF(F111="","",F111-TargetCarb)</f>
        <v/>
      </c>
      <c r="N111" s="10" t="str">
        <f aca="false">IF(COUNT(C111:F111)&lt;4,"",ROUND(4*D111+9*E111+4*F111-C111,0))</f>
        <v/>
      </c>
      <c r="O111" s="13" t="str">
        <f aca="false">IF(B111="","",IFERROR(AVERAGEIFS(Питание!$B$14:$B$378,Питание!$A$14:$A$378,"&gt;"&amp;$A111-7,Питание!$A$14:$A$378,"&lt;="&amp;$A111,Питание!$B$14:$B$378,"&gt;0"),""))</f>
        <v/>
      </c>
      <c r="P111" s="8" t="str">
        <f aca="false">IF(C111="","",IFERROR(AVERAGEIFS(Питание!$C$14:$C$378,Питание!$A$14:$A$378,"&gt;"&amp;$A111-7,Питание!$A$14:$A$378,"&lt;="&amp;$A111,Питание!$C$14:$C$378,"&gt;0"),""))</f>
        <v/>
      </c>
      <c r="Q111" s="8" t="str">
        <f aca="false">IF(D111="","",IFERROR(AVERAGEIFS(Питание!$D$14:$D$378,Питание!$A$14:$A$378,"&gt;"&amp;$A111-7,Питание!$A$14:$A$378,"&lt;="&amp;$A111,Питание!$D$14:$D$378,"&gt;0"),""))</f>
        <v/>
      </c>
      <c r="R111" s="14" t="str">
        <f aca="false">IF(O111="","",IFERROR(O111-AVERAGEIFS(Питание!$B$14:$B$378,Питание!$A$14:$A$378,"&gt;"&amp;$A111-14,Питание!$A$14:$A$378,"&lt;="&amp;$A111-7,Питание!$B$14:$B$378,"&gt;0"),""))</f>
        <v/>
      </c>
      <c r="S111" s="15" t="str">
        <f aca="false">IF(R111="","",R111/O111)</f>
        <v/>
      </c>
      <c r="T111" s="11" t="str">
        <f aca="false">IF(O111="","",O111-StartWeight)</f>
        <v/>
      </c>
    </row>
    <row r="112" customFormat="false" ht="15" hidden="false" customHeight="true" outlineLevel="0" collapsed="false">
      <c r="A112" s="16" t="n">
        <f aca="false">A111+1</f>
        <v>46392</v>
      </c>
      <c r="B112" s="17"/>
      <c r="C112" s="18"/>
      <c r="D112" s="18"/>
      <c r="E112" s="18"/>
      <c r="F112" s="18"/>
      <c r="G112" s="18"/>
      <c r="H112" s="17"/>
      <c r="I112" s="19"/>
      <c r="J112" s="10" t="str">
        <f aca="false">IF(C112="","",C112-TargetKcal)</f>
        <v/>
      </c>
      <c r="K112" s="10" t="str">
        <f aca="false">IF(D112="","",D112-TargetProtein)</f>
        <v/>
      </c>
      <c r="L112" s="10" t="str">
        <f aca="false">IF(E112="","",E112-TargetFat)</f>
        <v/>
      </c>
      <c r="M112" s="10" t="str">
        <f aca="false">IF(F112="","",F112-TargetCarb)</f>
        <v/>
      </c>
      <c r="N112" s="10" t="str">
        <f aca="false">IF(COUNT(C112:F112)&lt;4,"",ROUND(4*D112+9*E112+4*F112-C112,0))</f>
        <v/>
      </c>
      <c r="O112" s="13" t="str">
        <f aca="false">IF(B112="","",IFERROR(AVERAGEIFS(Питание!$B$14:$B$378,Питание!$A$14:$A$378,"&gt;"&amp;$A112-7,Питание!$A$14:$A$378,"&lt;="&amp;$A112,Питание!$B$14:$B$378,"&gt;0"),""))</f>
        <v/>
      </c>
      <c r="P112" s="8" t="str">
        <f aca="false">IF(C112="","",IFERROR(AVERAGEIFS(Питание!$C$14:$C$378,Питание!$A$14:$A$378,"&gt;"&amp;$A112-7,Питание!$A$14:$A$378,"&lt;="&amp;$A112,Питание!$C$14:$C$378,"&gt;0"),""))</f>
        <v/>
      </c>
      <c r="Q112" s="8" t="str">
        <f aca="false">IF(D112="","",IFERROR(AVERAGEIFS(Питание!$D$14:$D$378,Питание!$A$14:$A$378,"&gt;"&amp;$A112-7,Питание!$A$14:$A$378,"&lt;="&amp;$A112,Питание!$D$14:$D$378,"&gt;0"),""))</f>
        <v/>
      </c>
      <c r="R112" s="14" t="str">
        <f aca="false">IF(O112="","",IFERROR(O112-AVERAGEIFS(Питание!$B$14:$B$378,Питание!$A$14:$A$378,"&gt;"&amp;$A112-14,Питание!$A$14:$A$378,"&lt;="&amp;$A112-7,Питание!$B$14:$B$378,"&gt;0"),""))</f>
        <v/>
      </c>
      <c r="S112" s="15" t="str">
        <f aca="false">IF(R112="","",R112/O112)</f>
        <v/>
      </c>
      <c r="T112" s="11" t="str">
        <f aca="false">IF(O112="","",O112-StartWeight)</f>
        <v/>
      </c>
    </row>
    <row r="113" customFormat="false" ht="15" hidden="false" customHeight="true" outlineLevel="0" collapsed="false">
      <c r="A113" s="16" t="n">
        <f aca="false">A112+1</f>
        <v>46393</v>
      </c>
      <c r="B113" s="17"/>
      <c r="C113" s="18"/>
      <c r="D113" s="18"/>
      <c r="E113" s="18"/>
      <c r="F113" s="18"/>
      <c r="G113" s="18"/>
      <c r="H113" s="17"/>
      <c r="I113" s="19"/>
      <c r="J113" s="10" t="str">
        <f aca="false">IF(C113="","",C113-TargetKcal)</f>
        <v/>
      </c>
      <c r="K113" s="10" t="str">
        <f aca="false">IF(D113="","",D113-TargetProtein)</f>
        <v/>
      </c>
      <c r="L113" s="10" t="str">
        <f aca="false">IF(E113="","",E113-TargetFat)</f>
        <v/>
      </c>
      <c r="M113" s="10" t="str">
        <f aca="false">IF(F113="","",F113-TargetCarb)</f>
        <v/>
      </c>
      <c r="N113" s="10" t="str">
        <f aca="false">IF(COUNT(C113:F113)&lt;4,"",ROUND(4*D113+9*E113+4*F113-C113,0))</f>
        <v/>
      </c>
      <c r="O113" s="13" t="str">
        <f aca="false">IF(B113="","",IFERROR(AVERAGEIFS(Питание!$B$14:$B$378,Питание!$A$14:$A$378,"&gt;"&amp;$A113-7,Питание!$A$14:$A$378,"&lt;="&amp;$A113,Питание!$B$14:$B$378,"&gt;0"),""))</f>
        <v/>
      </c>
      <c r="P113" s="8" t="str">
        <f aca="false">IF(C113="","",IFERROR(AVERAGEIFS(Питание!$C$14:$C$378,Питание!$A$14:$A$378,"&gt;"&amp;$A113-7,Питание!$A$14:$A$378,"&lt;="&amp;$A113,Питание!$C$14:$C$378,"&gt;0"),""))</f>
        <v/>
      </c>
      <c r="Q113" s="8" t="str">
        <f aca="false">IF(D113="","",IFERROR(AVERAGEIFS(Питание!$D$14:$D$378,Питание!$A$14:$A$378,"&gt;"&amp;$A113-7,Питание!$A$14:$A$378,"&lt;="&amp;$A113,Питание!$D$14:$D$378,"&gt;0"),""))</f>
        <v/>
      </c>
      <c r="R113" s="14" t="str">
        <f aca="false">IF(O113="","",IFERROR(O113-AVERAGEIFS(Питание!$B$14:$B$378,Питание!$A$14:$A$378,"&gt;"&amp;$A113-14,Питание!$A$14:$A$378,"&lt;="&amp;$A113-7,Питание!$B$14:$B$378,"&gt;0"),""))</f>
        <v/>
      </c>
      <c r="S113" s="15" t="str">
        <f aca="false">IF(R113="","",R113/O113)</f>
        <v/>
      </c>
      <c r="T113" s="11" t="str">
        <f aca="false">IF(O113="","",O113-StartWeight)</f>
        <v/>
      </c>
    </row>
    <row r="114" customFormat="false" ht="15" hidden="false" customHeight="true" outlineLevel="0" collapsed="false">
      <c r="A114" s="16" t="n">
        <f aca="false">A113+1</f>
        <v>46394</v>
      </c>
      <c r="B114" s="17"/>
      <c r="C114" s="18"/>
      <c r="D114" s="18"/>
      <c r="E114" s="18"/>
      <c r="F114" s="18"/>
      <c r="G114" s="18"/>
      <c r="H114" s="17"/>
      <c r="I114" s="19"/>
      <c r="J114" s="10" t="str">
        <f aca="false">IF(C114="","",C114-TargetKcal)</f>
        <v/>
      </c>
      <c r="K114" s="10" t="str">
        <f aca="false">IF(D114="","",D114-TargetProtein)</f>
        <v/>
      </c>
      <c r="L114" s="10" t="str">
        <f aca="false">IF(E114="","",E114-TargetFat)</f>
        <v/>
      </c>
      <c r="M114" s="10" t="str">
        <f aca="false">IF(F114="","",F114-TargetCarb)</f>
        <v/>
      </c>
      <c r="N114" s="10" t="str">
        <f aca="false">IF(COUNT(C114:F114)&lt;4,"",ROUND(4*D114+9*E114+4*F114-C114,0))</f>
        <v/>
      </c>
      <c r="O114" s="13" t="str">
        <f aca="false">IF(B114="","",IFERROR(AVERAGEIFS(Питание!$B$14:$B$378,Питание!$A$14:$A$378,"&gt;"&amp;$A114-7,Питание!$A$14:$A$378,"&lt;="&amp;$A114,Питание!$B$14:$B$378,"&gt;0"),""))</f>
        <v/>
      </c>
      <c r="P114" s="8" t="str">
        <f aca="false">IF(C114="","",IFERROR(AVERAGEIFS(Питание!$C$14:$C$378,Питание!$A$14:$A$378,"&gt;"&amp;$A114-7,Питание!$A$14:$A$378,"&lt;="&amp;$A114,Питание!$C$14:$C$378,"&gt;0"),""))</f>
        <v/>
      </c>
      <c r="Q114" s="8" t="str">
        <f aca="false">IF(D114="","",IFERROR(AVERAGEIFS(Питание!$D$14:$D$378,Питание!$A$14:$A$378,"&gt;"&amp;$A114-7,Питание!$A$14:$A$378,"&lt;="&amp;$A114,Питание!$D$14:$D$378,"&gt;0"),""))</f>
        <v/>
      </c>
      <c r="R114" s="14" t="str">
        <f aca="false">IF(O114="","",IFERROR(O114-AVERAGEIFS(Питание!$B$14:$B$378,Питание!$A$14:$A$378,"&gt;"&amp;$A114-14,Питание!$A$14:$A$378,"&lt;="&amp;$A114-7,Питание!$B$14:$B$378,"&gt;0"),""))</f>
        <v/>
      </c>
      <c r="S114" s="15" t="str">
        <f aca="false">IF(R114="","",R114/O114)</f>
        <v/>
      </c>
      <c r="T114" s="11" t="str">
        <f aca="false">IF(O114="","",O114-StartWeight)</f>
        <v/>
      </c>
    </row>
    <row r="115" customFormat="false" ht="15" hidden="false" customHeight="true" outlineLevel="0" collapsed="false">
      <c r="A115" s="16" t="n">
        <f aca="false">A114+1</f>
        <v>46395</v>
      </c>
      <c r="B115" s="17"/>
      <c r="C115" s="18"/>
      <c r="D115" s="18"/>
      <c r="E115" s="18"/>
      <c r="F115" s="18"/>
      <c r="G115" s="18"/>
      <c r="H115" s="17"/>
      <c r="I115" s="19"/>
      <c r="J115" s="10" t="str">
        <f aca="false">IF(C115="","",C115-TargetKcal)</f>
        <v/>
      </c>
      <c r="K115" s="10" t="str">
        <f aca="false">IF(D115="","",D115-TargetProtein)</f>
        <v/>
      </c>
      <c r="L115" s="10" t="str">
        <f aca="false">IF(E115="","",E115-TargetFat)</f>
        <v/>
      </c>
      <c r="M115" s="10" t="str">
        <f aca="false">IF(F115="","",F115-TargetCarb)</f>
        <v/>
      </c>
      <c r="N115" s="10" t="str">
        <f aca="false">IF(COUNT(C115:F115)&lt;4,"",ROUND(4*D115+9*E115+4*F115-C115,0))</f>
        <v/>
      </c>
      <c r="O115" s="13" t="str">
        <f aca="false">IF(B115="","",IFERROR(AVERAGEIFS(Питание!$B$14:$B$378,Питание!$A$14:$A$378,"&gt;"&amp;$A115-7,Питание!$A$14:$A$378,"&lt;="&amp;$A115,Питание!$B$14:$B$378,"&gt;0"),""))</f>
        <v/>
      </c>
      <c r="P115" s="8" t="str">
        <f aca="false">IF(C115="","",IFERROR(AVERAGEIFS(Питание!$C$14:$C$378,Питание!$A$14:$A$378,"&gt;"&amp;$A115-7,Питание!$A$14:$A$378,"&lt;="&amp;$A115,Питание!$C$14:$C$378,"&gt;0"),""))</f>
        <v/>
      </c>
      <c r="Q115" s="8" t="str">
        <f aca="false">IF(D115="","",IFERROR(AVERAGEIFS(Питание!$D$14:$D$378,Питание!$A$14:$A$378,"&gt;"&amp;$A115-7,Питание!$A$14:$A$378,"&lt;="&amp;$A115,Питание!$D$14:$D$378,"&gt;0"),""))</f>
        <v/>
      </c>
      <c r="R115" s="14" t="str">
        <f aca="false">IF(O115="","",IFERROR(O115-AVERAGEIFS(Питание!$B$14:$B$378,Питание!$A$14:$A$378,"&gt;"&amp;$A115-14,Питание!$A$14:$A$378,"&lt;="&amp;$A115-7,Питание!$B$14:$B$378,"&gt;0"),""))</f>
        <v/>
      </c>
      <c r="S115" s="15" t="str">
        <f aca="false">IF(R115="","",R115/O115)</f>
        <v/>
      </c>
      <c r="T115" s="11" t="str">
        <f aca="false">IF(O115="","",O115-StartWeight)</f>
        <v/>
      </c>
    </row>
    <row r="116" customFormat="false" ht="15" hidden="false" customHeight="true" outlineLevel="0" collapsed="false">
      <c r="A116" s="16" t="n">
        <f aca="false">A115+1</f>
        <v>46396</v>
      </c>
      <c r="B116" s="17"/>
      <c r="C116" s="18"/>
      <c r="D116" s="18"/>
      <c r="E116" s="18"/>
      <c r="F116" s="18"/>
      <c r="G116" s="18"/>
      <c r="H116" s="17"/>
      <c r="I116" s="19"/>
      <c r="J116" s="10" t="str">
        <f aca="false">IF(C116="","",C116-TargetKcal)</f>
        <v/>
      </c>
      <c r="K116" s="10" t="str">
        <f aca="false">IF(D116="","",D116-TargetProtein)</f>
        <v/>
      </c>
      <c r="L116" s="10" t="str">
        <f aca="false">IF(E116="","",E116-TargetFat)</f>
        <v/>
      </c>
      <c r="M116" s="10" t="str">
        <f aca="false">IF(F116="","",F116-TargetCarb)</f>
        <v/>
      </c>
      <c r="N116" s="10" t="str">
        <f aca="false">IF(COUNT(C116:F116)&lt;4,"",ROUND(4*D116+9*E116+4*F116-C116,0))</f>
        <v/>
      </c>
      <c r="O116" s="13" t="str">
        <f aca="false">IF(B116="","",IFERROR(AVERAGEIFS(Питание!$B$14:$B$378,Питание!$A$14:$A$378,"&gt;"&amp;$A116-7,Питание!$A$14:$A$378,"&lt;="&amp;$A116,Питание!$B$14:$B$378,"&gt;0"),""))</f>
        <v/>
      </c>
      <c r="P116" s="8" t="str">
        <f aca="false">IF(C116="","",IFERROR(AVERAGEIFS(Питание!$C$14:$C$378,Питание!$A$14:$A$378,"&gt;"&amp;$A116-7,Питание!$A$14:$A$378,"&lt;="&amp;$A116,Питание!$C$14:$C$378,"&gt;0"),""))</f>
        <v/>
      </c>
      <c r="Q116" s="8" t="str">
        <f aca="false">IF(D116="","",IFERROR(AVERAGEIFS(Питание!$D$14:$D$378,Питание!$A$14:$A$378,"&gt;"&amp;$A116-7,Питание!$A$14:$A$378,"&lt;="&amp;$A116,Питание!$D$14:$D$378,"&gt;0"),""))</f>
        <v/>
      </c>
      <c r="R116" s="14" t="str">
        <f aca="false">IF(O116="","",IFERROR(O116-AVERAGEIFS(Питание!$B$14:$B$378,Питание!$A$14:$A$378,"&gt;"&amp;$A116-14,Питание!$A$14:$A$378,"&lt;="&amp;$A116-7,Питание!$B$14:$B$378,"&gt;0"),""))</f>
        <v/>
      </c>
      <c r="S116" s="15" t="str">
        <f aca="false">IF(R116="","",R116/O116)</f>
        <v/>
      </c>
      <c r="T116" s="11" t="str">
        <f aca="false">IF(O116="","",O116-StartWeight)</f>
        <v/>
      </c>
    </row>
    <row r="117" customFormat="false" ht="15" hidden="false" customHeight="true" outlineLevel="0" collapsed="false">
      <c r="A117" s="16" t="n">
        <f aca="false">A116+1</f>
        <v>46397</v>
      </c>
      <c r="B117" s="17"/>
      <c r="C117" s="18"/>
      <c r="D117" s="18"/>
      <c r="E117" s="18"/>
      <c r="F117" s="18"/>
      <c r="G117" s="18"/>
      <c r="H117" s="17"/>
      <c r="I117" s="19"/>
      <c r="J117" s="10" t="str">
        <f aca="false">IF(C117="","",C117-TargetKcal)</f>
        <v/>
      </c>
      <c r="K117" s="10" t="str">
        <f aca="false">IF(D117="","",D117-TargetProtein)</f>
        <v/>
      </c>
      <c r="L117" s="10" t="str">
        <f aca="false">IF(E117="","",E117-TargetFat)</f>
        <v/>
      </c>
      <c r="M117" s="10" t="str">
        <f aca="false">IF(F117="","",F117-TargetCarb)</f>
        <v/>
      </c>
      <c r="N117" s="10" t="str">
        <f aca="false">IF(COUNT(C117:F117)&lt;4,"",ROUND(4*D117+9*E117+4*F117-C117,0))</f>
        <v/>
      </c>
      <c r="O117" s="13" t="str">
        <f aca="false">IF(B117="","",IFERROR(AVERAGEIFS(Питание!$B$14:$B$378,Питание!$A$14:$A$378,"&gt;"&amp;$A117-7,Питание!$A$14:$A$378,"&lt;="&amp;$A117,Питание!$B$14:$B$378,"&gt;0"),""))</f>
        <v/>
      </c>
      <c r="P117" s="8" t="str">
        <f aca="false">IF(C117="","",IFERROR(AVERAGEIFS(Питание!$C$14:$C$378,Питание!$A$14:$A$378,"&gt;"&amp;$A117-7,Питание!$A$14:$A$378,"&lt;="&amp;$A117,Питание!$C$14:$C$378,"&gt;0"),""))</f>
        <v/>
      </c>
      <c r="Q117" s="8" t="str">
        <f aca="false">IF(D117="","",IFERROR(AVERAGEIFS(Питание!$D$14:$D$378,Питание!$A$14:$A$378,"&gt;"&amp;$A117-7,Питание!$A$14:$A$378,"&lt;="&amp;$A117,Питание!$D$14:$D$378,"&gt;0"),""))</f>
        <v/>
      </c>
      <c r="R117" s="14" t="str">
        <f aca="false">IF(O117="","",IFERROR(O117-AVERAGEIFS(Питание!$B$14:$B$378,Питание!$A$14:$A$378,"&gt;"&amp;$A117-14,Питание!$A$14:$A$378,"&lt;="&amp;$A117-7,Питание!$B$14:$B$378,"&gt;0"),""))</f>
        <v/>
      </c>
      <c r="S117" s="15" t="str">
        <f aca="false">IF(R117="","",R117/O117)</f>
        <v/>
      </c>
      <c r="T117" s="11" t="str">
        <f aca="false">IF(O117="","",O117-StartWeight)</f>
        <v/>
      </c>
    </row>
    <row r="118" customFormat="false" ht="15" hidden="false" customHeight="true" outlineLevel="0" collapsed="false">
      <c r="A118" s="16" t="n">
        <f aca="false">A117+1</f>
        <v>46398</v>
      </c>
      <c r="B118" s="17"/>
      <c r="C118" s="18"/>
      <c r="D118" s="18"/>
      <c r="E118" s="18"/>
      <c r="F118" s="18"/>
      <c r="G118" s="18"/>
      <c r="H118" s="17"/>
      <c r="I118" s="19"/>
      <c r="J118" s="10" t="str">
        <f aca="false">IF(C118="","",C118-TargetKcal)</f>
        <v/>
      </c>
      <c r="K118" s="10" t="str">
        <f aca="false">IF(D118="","",D118-TargetProtein)</f>
        <v/>
      </c>
      <c r="L118" s="10" t="str">
        <f aca="false">IF(E118="","",E118-TargetFat)</f>
        <v/>
      </c>
      <c r="M118" s="10" t="str">
        <f aca="false">IF(F118="","",F118-TargetCarb)</f>
        <v/>
      </c>
      <c r="N118" s="10" t="str">
        <f aca="false">IF(COUNT(C118:F118)&lt;4,"",ROUND(4*D118+9*E118+4*F118-C118,0))</f>
        <v/>
      </c>
      <c r="O118" s="13" t="str">
        <f aca="false">IF(B118="","",IFERROR(AVERAGEIFS(Питание!$B$14:$B$378,Питание!$A$14:$A$378,"&gt;"&amp;$A118-7,Питание!$A$14:$A$378,"&lt;="&amp;$A118,Питание!$B$14:$B$378,"&gt;0"),""))</f>
        <v/>
      </c>
      <c r="P118" s="8" t="str">
        <f aca="false">IF(C118="","",IFERROR(AVERAGEIFS(Питание!$C$14:$C$378,Питание!$A$14:$A$378,"&gt;"&amp;$A118-7,Питание!$A$14:$A$378,"&lt;="&amp;$A118,Питание!$C$14:$C$378,"&gt;0"),""))</f>
        <v/>
      </c>
      <c r="Q118" s="8" t="str">
        <f aca="false">IF(D118="","",IFERROR(AVERAGEIFS(Питание!$D$14:$D$378,Питание!$A$14:$A$378,"&gt;"&amp;$A118-7,Питание!$A$14:$A$378,"&lt;="&amp;$A118,Питание!$D$14:$D$378,"&gt;0"),""))</f>
        <v/>
      </c>
      <c r="R118" s="14" t="str">
        <f aca="false">IF(O118="","",IFERROR(O118-AVERAGEIFS(Питание!$B$14:$B$378,Питание!$A$14:$A$378,"&gt;"&amp;$A118-14,Питание!$A$14:$A$378,"&lt;="&amp;$A118-7,Питание!$B$14:$B$378,"&gt;0"),""))</f>
        <v/>
      </c>
      <c r="S118" s="15" t="str">
        <f aca="false">IF(R118="","",R118/O118)</f>
        <v/>
      </c>
      <c r="T118" s="11" t="str">
        <f aca="false">IF(O118="","",O118-StartWeight)</f>
        <v/>
      </c>
    </row>
    <row r="119" customFormat="false" ht="15" hidden="false" customHeight="true" outlineLevel="0" collapsed="false">
      <c r="A119" s="16" t="n">
        <f aca="false">A118+1</f>
        <v>46399</v>
      </c>
      <c r="B119" s="17"/>
      <c r="C119" s="18"/>
      <c r="D119" s="18"/>
      <c r="E119" s="18"/>
      <c r="F119" s="18"/>
      <c r="G119" s="18"/>
      <c r="H119" s="17"/>
      <c r="I119" s="19"/>
      <c r="J119" s="10" t="str">
        <f aca="false">IF(C119="","",C119-TargetKcal)</f>
        <v/>
      </c>
      <c r="K119" s="10" t="str">
        <f aca="false">IF(D119="","",D119-TargetProtein)</f>
        <v/>
      </c>
      <c r="L119" s="10" t="str">
        <f aca="false">IF(E119="","",E119-TargetFat)</f>
        <v/>
      </c>
      <c r="M119" s="10" t="str">
        <f aca="false">IF(F119="","",F119-TargetCarb)</f>
        <v/>
      </c>
      <c r="N119" s="10" t="str">
        <f aca="false">IF(COUNT(C119:F119)&lt;4,"",ROUND(4*D119+9*E119+4*F119-C119,0))</f>
        <v/>
      </c>
      <c r="O119" s="13" t="str">
        <f aca="false">IF(B119="","",IFERROR(AVERAGEIFS(Питание!$B$14:$B$378,Питание!$A$14:$A$378,"&gt;"&amp;$A119-7,Питание!$A$14:$A$378,"&lt;="&amp;$A119,Питание!$B$14:$B$378,"&gt;0"),""))</f>
        <v/>
      </c>
      <c r="P119" s="8" t="str">
        <f aca="false">IF(C119="","",IFERROR(AVERAGEIFS(Питание!$C$14:$C$378,Питание!$A$14:$A$378,"&gt;"&amp;$A119-7,Питание!$A$14:$A$378,"&lt;="&amp;$A119,Питание!$C$14:$C$378,"&gt;0"),""))</f>
        <v/>
      </c>
      <c r="Q119" s="8" t="str">
        <f aca="false">IF(D119="","",IFERROR(AVERAGEIFS(Питание!$D$14:$D$378,Питание!$A$14:$A$378,"&gt;"&amp;$A119-7,Питание!$A$14:$A$378,"&lt;="&amp;$A119,Питание!$D$14:$D$378,"&gt;0"),""))</f>
        <v/>
      </c>
      <c r="R119" s="14" t="str">
        <f aca="false">IF(O119="","",IFERROR(O119-AVERAGEIFS(Питание!$B$14:$B$378,Питание!$A$14:$A$378,"&gt;"&amp;$A119-14,Питание!$A$14:$A$378,"&lt;="&amp;$A119-7,Питание!$B$14:$B$378,"&gt;0"),""))</f>
        <v/>
      </c>
      <c r="S119" s="15" t="str">
        <f aca="false">IF(R119="","",R119/O119)</f>
        <v/>
      </c>
      <c r="T119" s="11" t="str">
        <f aca="false">IF(O119="","",O119-StartWeight)</f>
        <v/>
      </c>
    </row>
    <row r="120" customFormat="false" ht="15" hidden="false" customHeight="true" outlineLevel="0" collapsed="false">
      <c r="A120" s="16" t="n">
        <f aca="false">A119+1</f>
        <v>46400</v>
      </c>
      <c r="B120" s="17"/>
      <c r="C120" s="18"/>
      <c r="D120" s="18"/>
      <c r="E120" s="18"/>
      <c r="F120" s="18"/>
      <c r="G120" s="18"/>
      <c r="H120" s="17"/>
      <c r="I120" s="19"/>
      <c r="J120" s="10" t="str">
        <f aca="false">IF(C120="","",C120-TargetKcal)</f>
        <v/>
      </c>
      <c r="K120" s="10" t="str">
        <f aca="false">IF(D120="","",D120-TargetProtein)</f>
        <v/>
      </c>
      <c r="L120" s="10" t="str">
        <f aca="false">IF(E120="","",E120-TargetFat)</f>
        <v/>
      </c>
      <c r="M120" s="10" t="str">
        <f aca="false">IF(F120="","",F120-TargetCarb)</f>
        <v/>
      </c>
      <c r="N120" s="10" t="str">
        <f aca="false">IF(COUNT(C120:F120)&lt;4,"",ROUND(4*D120+9*E120+4*F120-C120,0))</f>
        <v/>
      </c>
      <c r="O120" s="13" t="str">
        <f aca="false">IF(B120="","",IFERROR(AVERAGEIFS(Питание!$B$14:$B$378,Питание!$A$14:$A$378,"&gt;"&amp;$A120-7,Питание!$A$14:$A$378,"&lt;="&amp;$A120,Питание!$B$14:$B$378,"&gt;0"),""))</f>
        <v/>
      </c>
      <c r="P120" s="8" t="str">
        <f aca="false">IF(C120="","",IFERROR(AVERAGEIFS(Питание!$C$14:$C$378,Питание!$A$14:$A$378,"&gt;"&amp;$A120-7,Питание!$A$14:$A$378,"&lt;="&amp;$A120,Питание!$C$14:$C$378,"&gt;0"),""))</f>
        <v/>
      </c>
      <c r="Q120" s="8" t="str">
        <f aca="false">IF(D120="","",IFERROR(AVERAGEIFS(Питание!$D$14:$D$378,Питание!$A$14:$A$378,"&gt;"&amp;$A120-7,Питание!$A$14:$A$378,"&lt;="&amp;$A120,Питание!$D$14:$D$378,"&gt;0"),""))</f>
        <v/>
      </c>
      <c r="R120" s="14" t="str">
        <f aca="false">IF(O120="","",IFERROR(O120-AVERAGEIFS(Питание!$B$14:$B$378,Питание!$A$14:$A$378,"&gt;"&amp;$A120-14,Питание!$A$14:$A$378,"&lt;="&amp;$A120-7,Питание!$B$14:$B$378,"&gt;0"),""))</f>
        <v/>
      </c>
      <c r="S120" s="15" t="str">
        <f aca="false">IF(R120="","",R120/O120)</f>
        <v/>
      </c>
      <c r="T120" s="11" t="str">
        <f aca="false">IF(O120="","",O120-StartWeight)</f>
        <v/>
      </c>
    </row>
    <row r="121" customFormat="false" ht="15" hidden="false" customHeight="true" outlineLevel="0" collapsed="false">
      <c r="A121" s="16" t="n">
        <f aca="false">A120+1</f>
        <v>46401</v>
      </c>
      <c r="B121" s="17"/>
      <c r="C121" s="18"/>
      <c r="D121" s="18"/>
      <c r="E121" s="18"/>
      <c r="F121" s="18"/>
      <c r="G121" s="18"/>
      <c r="H121" s="17"/>
      <c r="I121" s="19"/>
      <c r="J121" s="10" t="str">
        <f aca="false">IF(C121="","",C121-TargetKcal)</f>
        <v/>
      </c>
      <c r="K121" s="10" t="str">
        <f aca="false">IF(D121="","",D121-TargetProtein)</f>
        <v/>
      </c>
      <c r="L121" s="10" t="str">
        <f aca="false">IF(E121="","",E121-TargetFat)</f>
        <v/>
      </c>
      <c r="M121" s="10" t="str">
        <f aca="false">IF(F121="","",F121-TargetCarb)</f>
        <v/>
      </c>
      <c r="N121" s="10" t="str">
        <f aca="false">IF(COUNT(C121:F121)&lt;4,"",ROUND(4*D121+9*E121+4*F121-C121,0))</f>
        <v/>
      </c>
      <c r="O121" s="13" t="str">
        <f aca="false">IF(B121="","",IFERROR(AVERAGEIFS(Питание!$B$14:$B$378,Питание!$A$14:$A$378,"&gt;"&amp;$A121-7,Питание!$A$14:$A$378,"&lt;="&amp;$A121,Питание!$B$14:$B$378,"&gt;0"),""))</f>
        <v/>
      </c>
      <c r="P121" s="8" t="str">
        <f aca="false">IF(C121="","",IFERROR(AVERAGEIFS(Питание!$C$14:$C$378,Питание!$A$14:$A$378,"&gt;"&amp;$A121-7,Питание!$A$14:$A$378,"&lt;="&amp;$A121,Питание!$C$14:$C$378,"&gt;0"),""))</f>
        <v/>
      </c>
      <c r="Q121" s="8" t="str">
        <f aca="false">IF(D121="","",IFERROR(AVERAGEIFS(Питание!$D$14:$D$378,Питание!$A$14:$A$378,"&gt;"&amp;$A121-7,Питание!$A$14:$A$378,"&lt;="&amp;$A121,Питание!$D$14:$D$378,"&gt;0"),""))</f>
        <v/>
      </c>
      <c r="R121" s="14" t="str">
        <f aca="false">IF(O121="","",IFERROR(O121-AVERAGEIFS(Питание!$B$14:$B$378,Питание!$A$14:$A$378,"&gt;"&amp;$A121-14,Питание!$A$14:$A$378,"&lt;="&amp;$A121-7,Питание!$B$14:$B$378,"&gt;0"),""))</f>
        <v/>
      </c>
      <c r="S121" s="15" t="str">
        <f aca="false">IF(R121="","",R121/O121)</f>
        <v/>
      </c>
      <c r="T121" s="11" t="str">
        <f aca="false">IF(O121="","",O121-StartWeight)</f>
        <v/>
      </c>
    </row>
    <row r="122" customFormat="false" ht="15" hidden="false" customHeight="true" outlineLevel="0" collapsed="false">
      <c r="A122" s="16" t="n">
        <f aca="false">A121+1</f>
        <v>46402</v>
      </c>
      <c r="B122" s="17"/>
      <c r="C122" s="18"/>
      <c r="D122" s="18"/>
      <c r="E122" s="18"/>
      <c r="F122" s="18"/>
      <c r="G122" s="18"/>
      <c r="H122" s="17"/>
      <c r="I122" s="19"/>
      <c r="J122" s="10" t="str">
        <f aca="false">IF(C122="","",C122-TargetKcal)</f>
        <v/>
      </c>
      <c r="K122" s="10" t="str">
        <f aca="false">IF(D122="","",D122-TargetProtein)</f>
        <v/>
      </c>
      <c r="L122" s="10" t="str">
        <f aca="false">IF(E122="","",E122-TargetFat)</f>
        <v/>
      </c>
      <c r="M122" s="10" t="str">
        <f aca="false">IF(F122="","",F122-TargetCarb)</f>
        <v/>
      </c>
      <c r="N122" s="10" t="str">
        <f aca="false">IF(COUNT(C122:F122)&lt;4,"",ROUND(4*D122+9*E122+4*F122-C122,0))</f>
        <v/>
      </c>
      <c r="O122" s="13" t="str">
        <f aca="false">IF(B122="","",IFERROR(AVERAGEIFS(Питание!$B$14:$B$378,Питание!$A$14:$A$378,"&gt;"&amp;$A122-7,Питание!$A$14:$A$378,"&lt;="&amp;$A122,Питание!$B$14:$B$378,"&gt;0"),""))</f>
        <v/>
      </c>
      <c r="P122" s="8" t="str">
        <f aca="false">IF(C122="","",IFERROR(AVERAGEIFS(Питание!$C$14:$C$378,Питание!$A$14:$A$378,"&gt;"&amp;$A122-7,Питание!$A$14:$A$378,"&lt;="&amp;$A122,Питание!$C$14:$C$378,"&gt;0"),""))</f>
        <v/>
      </c>
      <c r="Q122" s="8" t="str">
        <f aca="false">IF(D122="","",IFERROR(AVERAGEIFS(Питание!$D$14:$D$378,Питание!$A$14:$A$378,"&gt;"&amp;$A122-7,Питание!$A$14:$A$378,"&lt;="&amp;$A122,Питание!$D$14:$D$378,"&gt;0"),""))</f>
        <v/>
      </c>
      <c r="R122" s="14" t="str">
        <f aca="false">IF(O122="","",IFERROR(O122-AVERAGEIFS(Питание!$B$14:$B$378,Питание!$A$14:$A$378,"&gt;"&amp;$A122-14,Питание!$A$14:$A$378,"&lt;="&amp;$A122-7,Питание!$B$14:$B$378,"&gt;0"),""))</f>
        <v/>
      </c>
      <c r="S122" s="15" t="str">
        <f aca="false">IF(R122="","",R122/O122)</f>
        <v/>
      </c>
      <c r="T122" s="11" t="str">
        <f aca="false">IF(O122="","",O122-StartWeight)</f>
        <v/>
      </c>
    </row>
    <row r="123" customFormat="false" ht="15" hidden="false" customHeight="true" outlineLevel="0" collapsed="false">
      <c r="A123" s="16" t="n">
        <f aca="false">A122+1</f>
        <v>46403</v>
      </c>
      <c r="B123" s="17"/>
      <c r="C123" s="18"/>
      <c r="D123" s="18"/>
      <c r="E123" s="18"/>
      <c r="F123" s="18"/>
      <c r="G123" s="18"/>
      <c r="H123" s="17"/>
      <c r="I123" s="19"/>
      <c r="J123" s="10" t="str">
        <f aca="false">IF(C123="","",C123-TargetKcal)</f>
        <v/>
      </c>
      <c r="K123" s="10" t="str">
        <f aca="false">IF(D123="","",D123-TargetProtein)</f>
        <v/>
      </c>
      <c r="L123" s="10" t="str">
        <f aca="false">IF(E123="","",E123-TargetFat)</f>
        <v/>
      </c>
      <c r="M123" s="10" t="str">
        <f aca="false">IF(F123="","",F123-TargetCarb)</f>
        <v/>
      </c>
      <c r="N123" s="10" t="str">
        <f aca="false">IF(COUNT(C123:F123)&lt;4,"",ROUND(4*D123+9*E123+4*F123-C123,0))</f>
        <v/>
      </c>
      <c r="O123" s="13" t="str">
        <f aca="false">IF(B123="","",IFERROR(AVERAGEIFS(Питание!$B$14:$B$378,Питание!$A$14:$A$378,"&gt;"&amp;$A123-7,Питание!$A$14:$A$378,"&lt;="&amp;$A123,Питание!$B$14:$B$378,"&gt;0"),""))</f>
        <v/>
      </c>
      <c r="P123" s="8" t="str">
        <f aca="false">IF(C123="","",IFERROR(AVERAGEIFS(Питание!$C$14:$C$378,Питание!$A$14:$A$378,"&gt;"&amp;$A123-7,Питание!$A$14:$A$378,"&lt;="&amp;$A123,Питание!$C$14:$C$378,"&gt;0"),""))</f>
        <v/>
      </c>
      <c r="Q123" s="8" t="str">
        <f aca="false">IF(D123="","",IFERROR(AVERAGEIFS(Питание!$D$14:$D$378,Питание!$A$14:$A$378,"&gt;"&amp;$A123-7,Питание!$A$14:$A$378,"&lt;="&amp;$A123,Питание!$D$14:$D$378,"&gt;0"),""))</f>
        <v/>
      </c>
      <c r="R123" s="14" t="str">
        <f aca="false">IF(O123="","",IFERROR(O123-AVERAGEIFS(Питание!$B$14:$B$378,Питание!$A$14:$A$378,"&gt;"&amp;$A123-14,Питание!$A$14:$A$378,"&lt;="&amp;$A123-7,Питание!$B$14:$B$378,"&gt;0"),""))</f>
        <v/>
      </c>
      <c r="S123" s="15" t="str">
        <f aca="false">IF(R123="","",R123/O123)</f>
        <v/>
      </c>
      <c r="T123" s="11" t="str">
        <f aca="false">IF(O123="","",O123-StartWeight)</f>
        <v/>
      </c>
    </row>
    <row r="124" customFormat="false" ht="15" hidden="false" customHeight="true" outlineLevel="0" collapsed="false">
      <c r="A124" s="16" t="n">
        <f aca="false">A123+1</f>
        <v>46404</v>
      </c>
      <c r="B124" s="17"/>
      <c r="C124" s="18"/>
      <c r="D124" s="18"/>
      <c r="E124" s="18"/>
      <c r="F124" s="18"/>
      <c r="G124" s="18"/>
      <c r="H124" s="17"/>
      <c r="I124" s="19"/>
      <c r="J124" s="10" t="str">
        <f aca="false">IF(C124="","",C124-TargetKcal)</f>
        <v/>
      </c>
      <c r="K124" s="10" t="str">
        <f aca="false">IF(D124="","",D124-TargetProtein)</f>
        <v/>
      </c>
      <c r="L124" s="10" t="str">
        <f aca="false">IF(E124="","",E124-TargetFat)</f>
        <v/>
      </c>
      <c r="M124" s="10" t="str">
        <f aca="false">IF(F124="","",F124-TargetCarb)</f>
        <v/>
      </c>
      <c r="N124" s="10" t="str">
        <f aca="false">IF(COUNT(C124:F124)&lt;4,"",ROUND(4*D124+9*E124+4*F124-C124,0))</f>
        <v/>
      </c>
      <c r="O124" s="13" t="str">
        <f aca="false">IF(B124="","",IFERROR(AVERAGEIFS(Питание!$B$14:$B$378,Питание!$A$14:$A$378,"&gt;"&amp;$A124-7,Питание!$A$14:$A$378,"&lt;="&amp;$A124,Питание!$B$14:$B$378,"&gt;0"),""))</f>
        <v/>
      </c>
      <c r="P124" s="8" t="str">
        <f aca="false">IF(C124="","",IFERROR(AVERAGEIFS(Питание!$C$14:$C$378,Питание!$A$14:$A$378,"&gt;"&amp;$A124-7,Питание!$A$14:$A$378,"&lt;="&amp;$A124,Питание!$C$14:$C$378,"&gt;0"),""))</f>
        <v/>
      </c>
      <c r="Q124" s="8" t="str">
        <f aca="false">IF(D124="","",IFERROR(AVERAGEIFS(Питание!$D$14:$D$378,Питание!$A$14:$A$378,"&gt;"&amp;$A124-7,Питание!$A$14:$A$378,"&lt;="&amp;$A124,Питание!$D$14:$D$378,"&gt;0"),""))</f>
        <v/>
      </c>
      <c r="R124" s="14" t="str">
        <f aca="false">IF(O124="","",IFERROR(O124-AVERAGEIFS(Питание!$B$14:$B$378,Питание!$A$14:$A$378,"&gt;"&amp;$A124-14,Питание!$A$14:$A$378,"&lt;="&amp;$A124-7,Питание!$B$14:$B$378,"&gt;0"),""))</f>
        <v/>
      </c>
      <c r="S124" s="15" t="str">
        <f aca="false">IF(R124="","",R124/O124)</f>
        <v/>
      </c>
      <c r="T124" s="11" t="str">
        <f aca="false">IF(O124="","",O124-StartWeight)</f>
        <v/>
      </c>
    </row>
    <row r="125" customFormat="false" ht="15" hidden="false" customHeight="true" outlineLevel="0" collapsed="false">
      <c r="A125" s="16" t="n">
        <f aca="false">A124+1</f>
        <v>46405</v>
      </c>
      <c r="B125" s="17"/>
      <c r="C125" s="18"/>
      <c r="D125" s="18"/>
      <c r="E125" s="18"/>
      <c r="F125" s="18"/>
      <c r="G125" s="18"/>
      <c r="H125" s="17"/>
      <c r="I125" s="19"/>
      <c r="J125" s="10" t="str">
        <f aca="false">IF(C125="","",C125-TargetKcal)</f>
        <v/>
      </c>
      <c r="K125" s="10" t="str">
        <f aca="false">IF(D125="","",D125-TargetProtein)</f>
        <v/>
      </c>
      <c r="L125" s="10" t="str">
        <f aca="false">IF(E125="","",E125-TargetFat)</f>
        <v/>
      </c>
      <c r="M125" s="10" t="str">
        <f aca="false">IF(F125="","",F125-TargetCarb)</f>
        <v/>
      </c>
      <c r="N125" s="10" t="str">
        <f aca="false">IF(COUNT(C125:F125)&lt;4,"",ROUND(4*D125+9*E125+4*F125-C125,0))</f>
        <v/>
      </c>
      <c r="O125" s="13" t="str">
        <f aca="false">IF(B125="","",IFERROR(AVERAGEIFS(Питание!$B$14:$B$378,Питание!$A$14:$A$378,"&gt;"&amp;$A125-7,Питание!$A$14:$A$378,"&lt;="&amp;$A125,Питание!$B$14:$B$378,"&gt;0"),""))</f>
        <v/>
      </c>
      <c r="P125" s="8" t="str">
        <f aca="false">IF(C125="","",IFERROR(AVERAGEIFS(Питание!$C$14:$C$378,Питание!$A$14:$A$378,"&gt;"&amp;$A125-7,Питание!$A$14:$A$378,"&lt;="&amp;$A125,Питание!$C$14:$C$378,"&gt;0"),""))</f>
        <v/>
      </c>
      <c r="Q125" s="8" t="str">
        <f aca="false">IF(D125="","",IFERROR(AVERAGEIFS(Питание!$D$14:$D$378,Питание!$A$14:$A$378,"&gt;"&amp;$A125-7,Питание!$A$14:$A$378,"&lt;="&amp;$A125,Питание!$D$14:$D$378,"&gt;0"),""))</f>
        <v/>
      </c>
      <c r="R125" s="14" t="str">
        <f aca="false">IF(O125="","",IFERROR(O125-AVERAGEIFS(Питание!$B$14:$B$378,Питание!$A$14:$A$378,"&gt;"&amp;$A125-14,Питание!$A$14:$A$378,"&lt;="&amp;$A125-7,Питание!$B$14:$B$378,"&gt;0"),""))</f>
        <v/>
      </c>
      <c r="S125" s="15" t="str">
        <f aca="false">IF(R125="","",R125/O125)</f>
        <v/>
      </c>
      <c r="T125" s="11" t="str">
        <f aca="false">IF(O125="","",O125-StartWeight)</f>
        <v/>
      </c>
    </row>
    <row r="126" customFormat="false" ht="15" hidden="false" customHeight="true" outlineLevel="0" collapsed="false">
      <c r="A126" s="16" t="n">
        <f aca="false">A125+1</f>
        <v>46406</v>
      </c>
      <c r="B126" s="17"/>
      <c r="C126" s="18"/>
      <c r="D126" s="18"/>
      <c r="E126" s="18"/>
      <c r="F126" s="18"/>
      <c r="G126" s="18"/>
      <c r="H126" s="17"/>
      <c r="I126" s="19"/>
      <c r="J126" s="10" t="str">
        <f aca="false">IF(C126="","",C126-TargetKcal)</f>
        <v/>
      </c>
      <c r="K126" s="10" t="str">
        <f aca="false">IF(D126="","",D126-TargetProtein)</f>
        <v/>
      </c>
      <c r="L126" s="10" t="str">
        <f aca="false">IF(E126="","",E126-TargetFat)</f>
        <v/>
      </c>
      <c r="M126" s="10" t="str">
        <f aca="false">IF(F126="","",F126-TargetCarb)</f>
        <v/>
      </c>
      <c r="N126" s="10" t="str">
        <f aca="false">IF(COUNT(C126:F126)&lt;4,"",ROUND(4*D126+9*E126+4*F126-C126,0))</f>
        <v/>
      </c>
      <c r="O126" s="13" t="str">
        <f aca="false">IF(B126="","",IFERROR(AVERAGEIFS(Питание!$B$14:$B$378,Питание!$A$14:$A$378,"&gt;"&amp;$A126-7,Питание!$A$14:$A$378,"&lt;="&amp;$A126,Питание!$B$14:$B$378,"&gt;0"),""))</f>
        <v/>
      </c>
      <c r="P126" s="8" t="str">
        <f aca="false">IF(C126="","",IFERROR(AVERAGEIFS(Питание!$C$14:$C$378,Питание!$A$14:$A$378,"&gt;"&amp;$A126-7,Питание!$A$14:$A$378,"&lt;="&amp;$A126,Питание!$C$14:$C$378,"&gt;0"),""))</f>
        <v/>
      </c>
      <c r="Q126" s="8" t="str">
        <f aca="false">IF(D126="","",IFERROR(AVERAGEIFS(Питание!$D$14:$D$378,Питание!$A$14:$A$378,"&gt;"&amp;$A126-7,Питание!$A$14:$A$378,"&lt;="&amp;$A126,Питание!$D$14:$D$378,"&gt;0"),""))</f>
        <v/>
      </c>
      <c r="R126" s="14" t="str">
        <f aca="false">IF(O126="","",IFERROR(O126-AVERAGEIFS(Питание!$B$14:$B$378,Питание!$A$14:$A$378,"&gt;"&amp;$A126-14,Питание!$A$14:$A$378,"&lt;="&amp;$A126-7,Питание!$B$14:$B$378,"&gt;0"),""))</f>
        <v/>
      </c>
      <c r="S126" s="15" t="str">
        <f aca="false">IF(R126="","",R126/O126)</f>
        <v/>
      </c>
      <c r="T126" s="11" t="str">
        <f aca="false">IF(O126="","",O126-StartWeight)</f>
        <v/>
      </c>
    </row>
    <row r="127" customFormat="false" ht="15" hidden="false" customHeight="true" outlineLevel="0" collapsed="false">
      <c r="A127" s="16" t="n">
        <f aca="false">A126+1</f>
        <v>46407</v>
      </c>
      <c r="B127" s="17"/>
      <c r="C127" s="18"/>
      <c r="D127" s="18"/>
      <c r="E127" s="18"/>
      <c r="F127" s="18"/>
      <c r="G127" s="18"/>
      <c r="H127" s="17"/>
      <c r="I127" s="19"/>
      <c r="J127" s="10" t="str">
        <f aca="false">IF(C127="","",C127-TargetKcal)</f>
        <v/>
      </c>
      <c r="K127" s="10" t="str">
        <f aca="false">IF(D127="","",D127-TargetProtein)</f>
        <v/>
      </c>
      <c r="L127" s="10" t="str">
        <f aca="false">IF(E127="","",E127-TargetFat)</f>
        <v/>
      </c>
      <c r="M127" s="10" t="str">
        <f aca="false">IF(F127="","",F127-TargetCarb)</f>
        <v/>
      </c>
      <c r="N127" s="10" t="str">
        <f aca="false">IF(COUNT(C127:F127)&lt;4,"",ROUND(4*D127+9*E127+4*F127-C127,0))</f>
        <v/>
      </c>
      <c r="O127" s="13" t="str">
        <f aca="false">IF(B127="","",IFERROR(AVERAGEIFS(Питание!$B$14:$B$378,Питание!$A$14:$A$378,"&gt;"&amp;$A127-7,Питание!$A$14:$A$378,"&lt;="&amp;$A127,Питание!$B$14:$B$378,"&gt;0"),""))</f>
        <v/>
      </c>
      <c r="P127" s="8" t="str">
        <f aca="false">IF(C127="","",IFERROR(AVERAGEIFS(Питание!$C$14:$C$378,Питание!$A$14:$A$378,"&gt;"&amp;$A127-7,Питание!$A$14:$A$378,"&lt;="&amp;$A127,Питание!$C$14:$C$378,"&gt;0"),""))</f>
        <v/>
      </c>
      <c r="Q127" s="8" t="str">
        <f aca="false">IF(D127="","",IFERROR(AVERAGEIFS(Питание!$D$14:$D$378,Питание!$A$14:$A$378,"&gt;"&amp;$A127-7,Питание!$A$14:$A$378,"&lt;="&amp;$A127,Питание!$D$14:$D$378,"&gt;0"),""))</f>
        <v/>
      </c>
      <c r="R127" s="14" t="str">
        <f aca="false">IF(O127="","",IFERROR(O127-AVERAGEIFS(Питание!$B$14:$B$378,Питание!$A$14:$A$378,"&gt;"&amp;$A127-14,Питание!$A$14:$A$378,"&lt;="&amp;$A127-7,Питание!$B$14:$B$378,"&gt;0"),""))</f>
        <v/>
      </c>
      <c r="S127" s="15" t="str">
        <f aca="false">IF(R127="","",R127/O127)</f>
        <v/>
      </c>
      <c r="T127" s="11" t="str">
        <f aca="false">IF(O127="","",O127-StartWeight)</f>
        <v/>
      </c>
    </row>
    <row r="128" customFormat="false" ht="15" hidden="false" customHeight="true" outlineLevel="0" collapsed="false">
      <c r="A128" s="16" t="n">
        <f aca="false">A127+1</f>
        <v>46408</v>
      </c>
      <c r="B128" s="17"/>
      <c r="C128" s="18"/>
      <c r="D128" s="18"/>
      <c r="E128" s="18"/>
      <c r="F128" s="18"/>
      <c r="G128" s="18"/>
      <c r="H128" s="17"/>
      <c r="I128" s="19"/>
      <c r="J128" s="10" t="str">
        <f aca="false">IF(C128="","",C128-TargetKcal)</f>
        <v/>
      </c>
      <c r="K128" s="10" t="str">
        <f aca="false">IF(D128="","",D128-TargetProtein)</f>
        <v/>
      </c>
      <c r="L128" s="10" t="str">
        <f aca="false">IF(E128="","",E128-TargetFat)</f>
        <v/>
      </c>
      <c r="M128" s="10" t="str">
        <f aca="false">IF(F128="","",F128-TargetCarb)</f>
        <v/>
      </c>
      <c r="N128" s="10" t="str">
        <f aca="false">IF(COUNT(C128:F128)&lt;4,"",ROUND(4*D128+9*E128+4*F128-C128,0))</f>
        <v/>
      </c>
      <c r="O128" s="13" t="str">
        <f aca="false">IF(B128="","",IFERROR(AVERAGEIFS(Питание!$B$14:$B$378,Питание!$A$14:$A$378,"&gt;"&amp;$A128-7,Питание!$A$14:$A$378,"&lt;="&amp;$A128,Питание!$B$14:$B$378,"&gt;0"),""))</f>
        <v/>
      </c>
      <c r="P128" s="8" t="str">
        <f aca="false">IF(C128="","",IFERROR(AVERAGEIFS(Питание!$C$14:$C$378,Питание!$A$14:$A$378,"&gt;"&amp;$A128-7,Питание!$A$14:$A$378,"&lt;="&amp;$A128,Питание!$C$14:$C$378,"&gt;0"),""))</f>
        <v/>
      </c>
      <c r="Q128" s="8" t="str">
        <f aca="false">IF(D128="","",IFERROR(AVERAGEIFS(Питание!$D$14:$D$378,Питание!$A$14:$A$378,"&gt;"&amp;$A128-7,Питание!$A$14:$A$378,"&lt;="&amp;$A128,Питание!$D$14:$D$378,"&gt;0"),""))</f>
        <v/>
      </c>
      <c r="R128" s="14" t="str">
        <f aca="false">IF(O128="","",IFERROR(O128-AVERAGEIFS(Питание!$B$14:$B$378,Питание!$A$14:$A$378,"&gt;"&amp;$A128-14,Питание!$A$14:$A$378,"&lt;="&amp;$A128-7,Питание!$B$14:$B$378,"&gt;0"),""))</f>
        <v/>
      </c>
      <c r="S128" s="15" t="str">
        <f aca="false">IF(R128="","",R128/O128)</f>
        <v/>
      </c>
      <c r="T128" s="11" t="str">
        <f aca="false">IF(O128="","",O128-StartWeight)</f>
        <v/>
      </c>
    </row>
    <row r="129" customFormat="false" ht="15" hidden="false" customHeight="true" outlineLevel="0" collapsed="false">
      <c r="A129" s="16" t="n">
        <f aca="false">A128+1</f>
        <v>46409</v>
      </c>
      <c r="B129" s="17"/>
      <c r="C129" s="18"/>
      <c r="D129" s="18"/>
      <c r="E129" s="18"/>
      <c r="F129" s="18"/>
      <c r="G129" s="18"/>
      <c r="H129" s="17"/>
      <c r="I129" s="19"/>
      <c r="J129" s="10" t="str">
        <f aca="false">IF(C129="","",C129-TargetKcal)</f>
        <v/>
      </c>
      <c r="K129" s="10" t="str">
        <f aca="false">IF(D129="","",D129-TargetProtein)</f>
        <v/>
      </c>
      <c r="L129" s="10" t="str">
        <f aca="false">IF(E129="","",E129-TargetFat)</f>
        <v/>
      </c>
      <c r="M129" s="10" t="str">
        <f aca="false">IF(F129="","",F129-TargetCarb)</f>
        <v/>
      </c>
      <c r="N129" s="10" t="str">
        <f aca="false">IF(COUNT(C129:F129)&lt;4,"",ROUND(4*D129+9*E129+4*F129-C129,0))</f>
        <v/>
      </c>
      <c r="O129" s="13" t="str">
        <f aca="false">IF(B129="","",IFERROR(AVERAGEIFS(Питание!$B$14:$B$378,Питание!$A$14:$A$378,"&gt;"&amp;$A129-7,Питание!$A$14:$A$378,"&lt;="&amp;$A129,Питание!$B$14:$B$378,"&gt;0"),""))</f>
        <v/>
      </c>
      <c r="P129" s="8" t="str">
        <f aca="false">IF(C129="","",IFERROR(AVERAGEIFS(Питание!$C$14:$C$378,Питание!$A$14:$A$378,"&gt;"&amp;$A129-7,Питание!$A$14:$A$378,"&lt;="&amp;$A129,Питание!$C$14:$C$378,"&gt;0"),""))</f>
        <v/>
      </c>
      <c r="Q129" s="8" t="str">
        <f aca="false">IF(D129="","",IFERROR(AVERAGEIFS(Питание!$D$14:$D$378,Питание!$A$14:$A$378,"&gt;"&amp;$A129-7,Питание!$A$14:$A$378,"&lt;="&amp;$A129,Питание!$D$14:$D$378,"&gt;0"),""))</f>
        <v/>
      </c>
      <c r="R129" s="14" t="str">
        <f aca="false">IF(O129="","",IFERROR(O129-AVERAGEIFS(Питание!$B$14:$B$378,Питание!$A$14:$A$378,"&gt;"&amp;$A129-14,Питание!$A$14:$A$378,"&lt;="&amp;$A129-7,Питание!$B$14:$B$378,"&gt;0"),""))</f>
        <v/>
      </c>
      <c r="S129" s="15" t="str">
        <f aca="false">IF(R129="","",R129/O129)</f>
        <v/>
      </c>
      <c r="T129" s="11" t="str">
        <f aca="false">IF(O129="","",O129-StartWeight)</f>
        <v/>
      </c>
    </row>
    <row r="130" customFormat="false" ht="15" hidden="false" customHeight="true" outlineLevel="0" collapsed="false">
      <c r="A130" s="16" t="n">
        <f aca="false">A129+1</f>
        <v>46410</v>
      </c>
      <c r="B130" s="17"/>
      <c r="C130" s="18"/>
      <c r="D130" s="18"/>
      <c r="E130" s="18"/>
      <c r="F130" s="18"/>
      <c r="G130" s="18"/>
      <c r="H130" s="17"/>
      <c r="I130" s="19"/>
      <c r="J130" s="10" t="str">
        <f aca="false">IF(C130="","",C130-TargetKcal)</f>
        <v/>
      </c>
      <c r="K130" s="10" t="str">
        <f aca="false">IF(D130="","",D130-TargetProtein)</f>
        <v/>
      </c>
      <c r="L130" s="10" t="str">
        <f aca="false">IF(E130="","",E130-TargetFat)</f>
        <v/>
      </c>
      <c r="M130" s="10" t="str">
        <f aca="false">IF(F130="","",F130-TargetCarb)</f>
        <v/>
      </c>
      <c r="N130" s="10" t="str">
        <f aca="false">IF(COUNT(C130:F130)&lt;4,"",ROUND(4*D130+9*E130+4*F130-C130,0))</f>
        <v/>
      </c>
      <c r="O130" s="13" t="str">
        <f aca="false">IF(B130="","",IFERROR(AVERAGEIFS(Питание!$B$14:$B$378,Питание!$A$14:$A$378,"&gt;"&amp;$A130-7,Питание!$A$14:$A$378,"&lt;="&amp;$A130,Питание!$B$14:$B$378,"&gt;0"),""))</f>
        <v/>
      </c>
      <c r="P130" s="8" t="str">
        <f aca="false">IF(C130="","",IFERROR(AVERAGEIFS(Питание!$C$14:$C$378,Питание!$A$14:$A$378,"&gt;"&amp;$A130-7,Питание!$A$14:$A$378,"&lt;="&amp;$A130,Питание!$C$14:$C$378,"&gt;0"),""))</f>
        <v/>
      </c>
      <c r="Q130" s="8" t="str">
        <f aca="false">IF(D130="","",IFERROR(AVERAGEIFS(Питание!$D$14:$D$378,Питание!$A$14:$A$378,"&gt;"&amp;$A130-7,Питание!$A$14:$A$378,"&lt;="&amp;$A130,Питание!$D$14:$D$378,"&gt;0"),""))</f>
        <v/>
      </c>
      <c r="R130" s="14" t="str">
        <f aca="false">IF(O130="","",IFERROR(O130-AVERAGEIFS(Питание!$B$14:$B$378,Питание!$A$14:$A$378,"&gt;"&amp;$A130-14,Питание!$A$14:$A$378,"&lt;="&amp;$A130-7,Питание!$B$14:$B$378,"&gt;0"),""))</f>
        <v/>
      </c>
      <c r="S130" s="15" t="str">
        <f aca="false">IF(R130="","",R130/O130)</f>
        <v/>
      </c>
      <c r="T130" s="11" t="str">
        <f aca="false">IF(O130="","",O130-StartWeight)</f>
        <v/>
      </c>
    </row>
    <row r="131" customFormat="false" ht="15" hidden="false" customHeight="true" outlineLevel="0" collapsed="false">
      <c r="A131" s="16" t="n">
        <f aca="false">A130+1</f>
        <v>46411</v>
      </c>
      <c r="B131" s="17"/>
      <c r="C131" s="18"/>
      <c r="D131" s="18"/>
      <c r="E131" s="18"/>
      <c r="F131" s="18"/>
      <c r="G131" s="18"/>
      <c r="H131" s="17"/>
      <c r="I131" s="19"/>
      <c r="J131" s="10" t="str">
        <f aca="false">IF(C131="","",C131-TargetKcal)</f>
        <v/>
      </c>
      <c r="K131" s="10" t="str">
        <f aca="false">IF(D131="","",D131-TargetProtein)</f>
        <v/>
      </c>
      <c r="L131" s="10" t="str">
        <f aca="false">IF(E131="","",E131-TargetFat)</f>
        <v/>
      </c>
      <c r="M131" s="10" t="str">
        <f aca="false">IF(F131="","",F131-TargetCarb)</f>
        <v/>
      </c>
      <c r="N131" s="10" t="str">
        <f aca="false">IF(COUNT(C131:F131)&lt;4,"",ROUND(4*D131+9*E131+4*F131-C131,0))</f>
        <v/>
      </c>
      <c r="O131" s="13" t="str">
        <f aca="false">IF(B131="","",IFERROR(AVERAGEIFS(Питание!$B$14:$B$378,Питание!$A$14:$A$378,"&gt;"&amp;$A131-7,Питание!$A$14:$A$378,"&lt;="&amp;$A131,Питание!$B$14:$B$378,"&gt;0"),""))</f>
        <v/>
      </c>
      <c r="P131" s="8" t="str">
        <f aca="false">IF(C131="","",IFERROR(AVERAGEIFS(Питание!$C$14:$C$378,Питание!$A$14:$A$378,"&gt;"&amp;$A131-7,Питание!$A$14:$A$378,"&lt;="&amp;$A131,Питание!$C$14:$C$378,"&gt;0"),""))</f>
        <v/>
      </c>
      <c r="Q131" s="8" t="str">
        <f aca="false">IF(D131="","",IFERROR(AVERAGEIFS(Питание!$D$14:$D$378,Питание!$A$14:$A$378,"&gt;"&amp;$A131-7,Питание!$A$14:$A$378,"&lt;="&amp;$A131,Питание!$D$14:$D$378,"&gt;0"),""))</f>
        <v/>
      </c>
      <c r="R131" s="14" t="str">
        <f aca="false">IF(O131="","",IFERROR(O131-AVERAGEIFS(Питание!$B$14:$B$378,Питание!$A$14:$A$378,"&gt;"&amp;$A131-14,Питание!$A$14:$A$378,"&lt;="&amp;$A131-7,Питание!$B$14:$B$378,"&gt;0"),""))</f>
        <v/>
      </c>
      <c r="S131" s="15" t="str">
        <f aca="false">IF(R131="","",R131/O131)</f>
        <v/>
      </c>
      <c r="T131" s="11" t="str">
        <f aca="false">IF(O131="","",O131-StartWeight)</f>
        <v/>
      </c>
    </row>
    <row r="132" customFormat="false" ht="15" hidden="false" customHeight="true" outlineLevel="0" collapsed="false">
      <c r="A132" s="16" t="n">
        <f aca="false">A131+1</f>
        <v>46412</v>
      </c>
      <c r="B132" s="17"/>
      <c r="C132" s="18"/>
      <c r="D132" s="18"/>
      <c r="E132" s="18"/>
      <c r="F132" s="18"/>
      <c r="G132" s="18"/>
      <c r="H132" s="17"/>
      <c r="I132" s="19"/>
      <c r="J132" s="10" t="str">
        <f aca="false">IF(C132="","",C132-TargetKcal)</f>
        <v/>
      </c>
      <c r="K132" s="10" t="str">
        <f aca="false">IF(D132="","",D132-TargetProtein)</f>
        <v/>
      </c>
      <c r="L132" s="10" t="str">
        <f aca="false">IF(E132="","",E132-TargetFat)</f>
        <v/>
      </c>
      <c r="M132" s="10" t="str">
        <f aca="false">IF(F132="","",F132-TargetCarb)</f>
        <v/>
      </c>
      <c r="N132" s="10" t="str">
        <f aca="false">IF(COUNT(C132:F132)&lt;4,"",ROUND(4*D132+9*E132+4*F132-C132,0))</f>
        <v/>
      </c>
      <c r="O132" s="13" t="str">
        <f aca="false">IF(B132="","",IFERROR(AVERAGEIFS(Питание!$B$14:$B$378,Питание!$A$14:$A$378,"&gt;"&amp;$A132-7,Питание!$A$14:$A$378,"&lt;="&amp;$A132,Питание!$B$14:$B$378,"&gt;0"),""))</f>
        <v/>
      </c>
      <c r="P132" s="8" t="str">
        <f aca="false">IF(C132="","",IFERROR(AVERAGEIFS(Питание!$C$14:$C$378,Питание!$A$14:$A$378,"&gt;"&amp;$A132-7,Питание!$A$14:$A$378,"&lt;="&amp;$A132,Питание!$C$14:$C$378,"&gt;0"),""))</f>
        <v/>
      </c>
      <c r="Q132" s="8" t="str">
        <f aca="false">IF(D132="","",IFERROR(AVERAGEIFS(Питание!$D$14:$D$378,Питание!$A$14:$A$378,"&gt;"&amp;$A132-7,Питание!$A$14:$A$378,"&lt;="&amp;$A132,Питание!$D$14:$D$378,"&gt;0"),""))</f>
        <v/>
      </c>
      <c r="R132" s="14" t="str">
        <f aca="false">IF(O132="","",IFERROR(O132-AVERAGEIFS(Питание!$B$14:$B$378,Питание!$A$14:$A$378,"&gt;"&amp;$A132-14,Питание!$A$14:$A$378,"&lt;="&amp;$A132-7,Питание!$B$14:$B$378,"&gt;0"),""))</f>
        <v/>
      </c>
      <c r="S132" s="15" t="str">
        <f aca="false">IF(R132="","",R132/O132)</f>
        <v/>
      </c>
      <c r="T132" s="11" t="str">
        <f aca="false">IF(O132="","",O132-StartWeight)</f>
        <v/>
      </c>
    </row>
    <row r="133" customFormat="false" ht="15" hidden="false" customHeight="true" outlineLevel="0" collapsed="false">
      <c r="A133" s="16" t="n">
        <f aca="false">A132+1</f>
        <v>46413</v>
      </c>
      <c r="B133" s="17"/>
      <c r="C133" s="18"/>
      <c r="D133" s="18"/>
      <c r="E133" s="18"/>
      <c r="F133" s="18"/>
      <c r="G133" s="18"/>
      <c r="H133" s="17"/>
      <c r="I133" s="19"/>
      <c r="J133" s="10" t="str">
        <f aca="false">IF(C133="","",C133-TargetKcal)</f>
        <v/>
      </c>
      <c r="K133" s="10" t="str">
        <f aca="false">IF(D133="","",D133-TargetProtein)</f>
        <v/>
      </c>
      <c r="L133" s="10" t="str">
        <f aca="false">IF(E133="","",E133-TargetFat)</f>
        <v/>
      </c>
      <c r="M133" s="10" t="str">
        <f aca="false">IF(F133="","",F133-TargetCarb)</f>
        <v/>
      </c>
      <c r="N133" s="10" t="str">
        <f aca="false">IF(COUNT(C133:F133)&lt;4,"",ROUND(4*D133+9*E133+4*F133-C133,0))</f>
        <v/>
      </c>
      <c r="O133" s="13" t="str">
        <f aca="false">IF(B133="","",IFERROR(AVERAGEIFS(Питание!$B$14:$B$378,Питание!$A$14:$A$378,"&gt;"&amp;$A133-7,Питание!$A$14:$A$378,"&lt;="&amp;$A133,Питание!$B$14:$B$378,"&gt;0"),""))</f>
        <v/>
      </c>
      <c r="P133" s="8" t="str">
        <f aca="false">IF(C133="","",IFERROR(AVERAGEIFS(Питание!$C$14:$C$378,Питание!$A$14:$A$378,"&gt;"&amp;$A133-7,Питание!$A$14:$A$378,"&lt;="&amp;$A133,Питание!$C$14:$C$378,"&gt;0"),""))</f>
        <v/>
      </c>
      <c r="Q133" s="8" t="str">
        <f aca="false">IF(D133="","",IFERROR(AVERAGEIFS(Питание!$D$14:$D$378,Питание!$A$14:$A$378,"&gt;"&amp;$A133-7,Питание!$A$14:$A$378,"&lt;="&amp;$A133,Питание!$D$14:$D$378,"&gt;0"),""))</f>
        <v/>
      </c>
      <c r="R133" s="14" t="str">
        <f aca="false">IF(O133="","",IFERROR(O133-AVERAGEIFS(Питание!$B$14:$B$378,Питание!$A$14:$A$378,"&gt;"&amp;$A133-14,Питание!$A$14:$A$378,"&lt;="&amp;$A133-7,Питание!$B$14:$B$378,"&gt;0"),""))</f>
        <v/>
      </c>
      <c r="S133" s="15" t="str">
        <f aca="false">IF(R133="","",R133/O133)</f>
        <v/>
      </c>
      <c r="T133" s="11" t="str">
        <f aca="false">IF(O133="","",O133-StartWeight)</f>
        <v/>
      </c>
    </row>
    <row r="134" customFormat="false" ht="15" hidden="false" customHeight="true" outlineLevel="0" collapsed="false">
      <c r="A134" s="16" t="n">
        <f aca="false">A133+1</f>
        <v>46414</v>
      </c>
      <c r="B134" s="17"/>
      <c r="C134" s="18"/>
      <c r="D134" s="18"/>
      <c r="E134" s="18"/>
      <c r="F134" s="18"/>
      <c r="G134" s="18"/>
      <c r="H134" s="17"/>
      <c r="I134" s="19"/>
      <c r="J134" s="10" t="str">
        <f aca="false">IF(C134="","",C134-TargetKcal)</f>
        <v/>
      </c>
      <c r="K134" s="10" t="str">
        <f aca="false">IF(D134="","",D134-TargetProtein)</f>
        <v/>
      </c>
      <c r="L134" s="10" t="str">
        <f aca="false">IF(E134="","",E134-TargetFat)</f>
        <v/>
      </c>
      <c r="M134" s="10" t="str">
        <f aca="false">IF(F134="","",F134-TargetCarb)</f>
        <v/>
      </c>
      <c r="N134" s="10" t="str">
        <f aca="false">IF(COUNT(C134:F134)&lt;4,"",ROUND(4*D134+9*E134+4*F134-C134,0))</f>
        <v/>
      </c>
      <c r="O134" s="13" t="str">
        <f aca="false">IF(B134="","",IFERROR(AVERAGEIFS(Питание!$B$14:$B$378,Питание!$A$14:$A$378,"&gt;"&amp;$A134-7,Питание!$A$14:$A$378,"&lt;="&amp;$A134,Питание!$B$14:$B$378,"&gt;0"),""))</f>
        <v/>
      </c>
      <c r="P134" s="8" t="str">
        <f aca="false">IF(C134="","",IFERROR(AVERAGEIFS(Питание!$C$14:$C$378,Питание!$A$14:$A$378,"&gt;"&amp;$A134-7,Питание!$A$14:$A$378,"&lt;="&amp;$A134,Питание!$C$14:$C$378,"&gt;0"),""))</f>
        <v/>
      </c>
      <c r="Q134" s="8" t="str">
        <f aca="false">IF(D134="","",IFERROR(AVERAGEIFS(Питание!$D$14:$D$378,Питание!$A$14:$A$378,"&gt;"&amp;$A134-7,Питание!$A$14:$A$378,"&lt;="&amp;$A134,Питание!$D$14:$D$378,"&gt;0"),""))</f>
        <v/>
      </c>
      <c r="R134" s="14" t="str">
        <f aca="false">IF(O134="","",IFERROR(O134-AVERAGEIFS(Питание!$B$14:$B$378,Питание!$A$14:$A$378,"&gt;"&amp;$A134-14,Питание!$A$14:$A$378,"&lt;="&amp;$A134-7,Питание!$B$14:$B$378,"&gt;0"),""))</f>
        <v/>
      </c>
      <c r="S134" s="15" t="str">
        <f aca="false">IF(R134="","",R134/O134)</f>
        <v/>
      </c>
      <c r="T134" s="11" t="str">
        <f aca="false">IF(O134="","",O134-StartWeight)</f>
        <v/>
      </c>
    </row>
    <row r="135" customFormat="false" ht="15" hidden="false" customHeight="true" outlineLevel="0" collapsed="false">
      <c r="A135" s="16" t="n">
        <f aca="false">A134+1</f>
        <v>46415</v>
      </c>
      <c r="B135" s="17"/>
      <c r="C135" s="18"/>
      <c r="D135" s="18"/>
      <c r="E135" s="18"/>
      <c r="F135" s="18"/>
      <c r="G135" s="18"/>
      <c r="H135" s="17"/>
      <c r="I135" s="19"/>
      <c r="J135" s="10" t="str">
        <f aca="false">IF(C135="","",C135-TargetKcal)</f>
        <v/>
      </c>
      <c r="K135" s="10" t="str">
        <f aca="false">IF(D135="","",D135-TargetProtein)</f>
        <v/>
      </c>
      <c r="L135" s="10" t="str">
        <f aca="false">IF(E135="","",E135-TargetFat)</f>
        <v/>
      </c>
      <c r="M135" s="10" t="str">
        <f aca="false">IF(F135="","",F135-TargetCarb)</f>
        <v/>
      </c>
      <c r="N135" s="10" t="str">
        <f aca="false">IF(COUNT(C135:F135)&lt;4,"",ROUND(4*D135+9*E135+4*F135-C135,0))</f>
        <v/>
      </c>
      <c r="O135" s="13" t="str">
        <f aca="false">IF(B135="","",IFERROR(AVERAGEIFS(Питание!$B$14:$B$378,Питание!$A$14:$A$378,"&gt;"&amp;$A135-7,Питание!$A$14:$A$378,"&lt;="&amp;$A135,Питание!$B$14:$B$378,"&gt;0"),""))</f>
        <v/>
      </c>
      <c r="P135" s="8" t="str">
        <f aca="false">IF(C135="","",IFERROR(AVERAGEIFS(Питание!$C$14:$C$378,Питание!$A$14:$A$378,"&gt;"&amp;$A135-7,Питание!$A$14:$A$378,"&lt;="&amp;$A135,Питание!$C$14:$C$378,"&gt;0"),""))</f>
        <v/>
      </c>
      <c r="Q135" s="8" t="str">
        <f aca="false">IF(D135="","",IFERROR(AVERAGEIFS(Питание!$D$14:$D$378,Питание!$A$14:$A$378,"&gt;"&amp;$A135-7,Питание!$A$14:$A$378,"&lt;="&amp;$A135,Питание!$D$14:$D$378,"&gt;0"),""))</f>
        <v/>
      </c>
      <c r="R135" s="14" t="str">
        <f aca="false">IF(O135="","",IFERROR(O135-AVERAGEIFS(Питание!$B$14:$B$378,Питание!$A$14:$A$378,"&gt;"&amp;$A135-14,Питание!$A$14:$A$378,"&lt;="&amp;$A135-7,Питание!$B$14:$B$378,"&gt;0"),""))</f>
        <v/>
      </c>
      <c r="S135" s="15" t="str">
        <f aca="false">IF(R135="","",R135/O135)</f>
        <v/>
      </c>
      <c r="T135" s="11" t="str">
        <f aca="false">IF(O135="","",O135-StartWeight)</f>
        <v/>
      </c>
    </row>
    <row r="136" customFormat="false" ht="15" hidden="false" customHeight="true" outlineLevel="0" collapsed="false">
      <c r="A136" s="16" t="n">
        <f aca="false">A135+1</f>
        <v>46416</v>
      </c>
      <c r="B136" s="17"/>
      <c r="C136" s="18"/>
      <c r="D136" s="18"/>
      <c r="E136" s="18"/>
      <c r="F136" s="18"/>
      <c r="G136" s="18"/>
      <c r="H136" s="17"/>
      <c r="I136" s="19"/>
      <c r="J136" s="10" t="str">
        <f aca="false">IF(C136="","",C136-TargetKcal)</f>
        <v/>
      </c>
      <c r="K136" s="10" t="str">
        <f aca="false">IF(D136="","",D136-TargetProtein)</f>
        <v/>
      </c>
      <c r="L136" s="10" t="str">
        <f aca="false">IF(E136="","",E136-TargetFat)</f>
        <v/>
      </c>
      <c r="M136" s="10" t="str">
        <f aca="false">IF(F136="","",F136-TargetCarb)</f>
        <v/>
      </c>
      <c r="N136" s="10" t="str">
        <f aca="false">IF(COUNT(C136:F136)&lt;4,"",ROUND(4*D136+9*E136+4*F136-C136,0))</f>
        <v/>
      </c>
      <c r="O136" s="13" t="str">
        <f aca="false">IF(B136="","",IFERROR(AVERAGEIFS(Питание!$B$14:$B$378,Питание!$A$14:$A$378,"&gt;"&amp;$A136-7,Питание!$A$14:$A$378,"&lt;="&amp;$A136,Питание!$B$14:$B$378,"&gt;0"),""))</f>
        <v/>
      </c>
      <c r="P136" s="8" t="str">
        <f aca="false">IF(C136="","",IFERROR(AVERAGEIFS(Питание!$C$14:$C$378,Питание!$A$14:$A$378,"&gt;"&amp;$A136-7,Питание!$A$14:$A$378,"&lt;="&amp;$A136,Питание!$C$14:$C$378,"&gt;0"),""))</f>
        <v/>
      </c>
      <c r="Q136" s="8" t="str">
        <f aca="false">IF(D136="","",IFERROR(AVERAGEIFS(Питание!$D$14:$D$378,Питание!$A$14:$A$378,"&gt;"&amp;$A136-7,Питание!$A$14:$A$378,"&lt;="&amp;$A136,Питание!$D$14:$D$378,"&gt;0"),""))</f>
        <v/>
      </c>
      <c r="R136" s="14" t="str">
        <f aca="false">IF(O136="","",IFERROR(O136-AVERAGEIFS(Питание!$B$14:$B$378,Питание!$A$14:$A$378,"&gt;"&amp;$A136-14,Питание!$A$14:$A$378,"&lt;="&amp;$A136-7,Питание!$B$14:$B$378,"&gt;0"),""))</f>
        <v/>
      </c>
      <c r="S136" s="15" t="str">
        <f aca="false">IF(R136="","",R136/O136)</f>
        <v/>
      </c>
      <c r="T136" s="11" t="str">
        <f aca="false">IF(O136="","",O136-StartWeight)</f>
        <v/>
      </c>
    </row>
    <row r="137" customFormat="false" ht="15" hidden="false" customHeight="true" outlineLevel="0" collapsed="false">
      <c r="A137" s="16" t="n">
        <f aca="false">A136+1</f>
        <v>46417</v>
      </c>
      <c r="B137" s="17"/>
      <c r="C137" s="18"/>
      <c r="D137" s="18"/>
      <c r="E137" s="18"/>
      <c r="F137" s="18"/>
      <c r="G137" s="18"/>
      <c r="H137" s="17"/>
      <c r="I137" s="19"/>
      <c r="J137" s="10" t="str">
        <f aca="false">IF(C137="","",C137-TargetKcal)</f>
        <v/>
      </c>
      <c r="K137" s="10" t="str">
        <f aca="false">IF(D137="","",D137-TargetProtein)</f>
        <v/>
      </c>
      <c r="L137" s="10" t="str">
        <f aca="false">IF(E137="","",E137-TargetFat)</f>
        <v/>
      </c>
      <c r="M137" s="10" t="str">
        <f aca="false">IF(F137="","",F137-TargetCarb)</f>
        <v/>
      </c>
      <c r="N137" s="10" t="str">
        <f aca="false">IF(COUNT(C137:F137)&lt;4,"",ROUND(4*D137+9*E137+4*F137-C137,0))</f>
        <v/>
      </c>
      <c r="O137" s="13" t="str">
        <f aca="false">IF(B137="","",IFERROR(AVERAGEIFS(Питание!$B$14:$B$378,Питание!$A$14:$A$378,"&gt;"&amp;$A137-7,Питание!$A$14:$A$378,"&lt;="&amp;$A137,Питание!$B$14:$B$378,"&gt;0"),""))</f>
        <v/>
      </c>
      <c r="P137" s="8" t="str">
        <f aca="false">IF(C137="","",IFERROR(AVERAGEIFS(Питание!$C$14:$C$378,Питание!$A$14:$A$378,"&gt;"&amp;$A137-7,Питание!$A$14:$A$378,"&lt;="&amp;$A137,Питание!$C$14:$C$378,"&gt;0"),""))</f>
        <v/>
      </c>
      <c r="Q137" s="8" t="str">
        <f aca="false">IF(D137="","",IFERROR(AVERAGEIFS(Питание!$D$14:$D$378,Питание!$A$14:$A$378,"&gt;"&amp;$A137-7,Питание!$A$14:$A$378,"&lt;="&amp;$A137,Питание!$D$14:$D$378,"&gt;0"),""))</f>
        <v/>
      </c>
      <c r="R137" s="14" t="str">
        <f aca="false">IF(O137="","",IFERROR(O137-AVERAGEIFS(Питание!$B$14:$B$378,Питание!$A$14:$A$378,"&gt;"&amp;$A137-14,Питание!$A$14:$A$378,"&lt;="&amp;$A137-7,Питание!$B$14:$B$378,"&gt;0"),""))</f>
        <v/>
      </c>
      <c r="S137" s="15" t="str">
        <f aca="false">IF(R137="","",R137/O137)</f>
        <v/>
      </c>
      <c r="T137" s="11" t="str">
        <f aca="false">IF(O137="","",O137-StartWeight)</f>
        <v/>
      </c>
    </row>
    <row r="138" customFormat="false" ht="15" hidden="false" customHeight="true" outlineLevel="0" collapsed="false">
      <c r="A138" s="16" t="n">
        <f aca="false">A137+1</f>
        <v>46418</v>
      </c>
      <c r="B138" s="17"/>
      <c r="C138" s="18"/>
      <c r="D138" s="18"/>
      <c r="E138" s="18"/>
      <c r="F138" s="18"/>
      <c r="G138" s="18"/>
      <c r="H138" s="17"/>
      <c r="I138" s="19"/>
      <c r="J138" s="10" t="str">
        <f aca="false">IF(C138="","",C138-TargetKcal)</f>
        <v/>
      </c>
      <c r="K138" s="10" t="str">
        <f aca="false">IF(D138="","",D138-TargetProtein)</f>
        <v/>
      </c>
      <c r="L138" s="10" t="str">
        <f aca="false">IF(E138="","",E138-TargetFat)</f>
        <v/>
      </c>
      <c r="M138" s="10" t="str">
        <f aca="false">IF(F138="","",F138-TargetCarb)</f>
        <v/>
      </c>
      <c r="N138" s="10" t="str">
        <f aca="false">IF(COUNT(C138:F138)&lt;4,"",ROUND(4*D138+9*E138+4*F138-C138,0))</f>
        <v/>
      </c>
      <c r="O138" s="13" t="str">
        <f aca="false">IF(B138="","",IFERROR(AVERAGEIFS(Питание!$B$14:$B$378,Питание!$A$14:$A$378,"&gt;"&amp;$A138-7,Питание!$A$14:$A$378,"&lt;="&amp;$A138,Питание!$B$14:$B$378,"&gt;0"),""))</f>
        <v/>
      </c>
      <c r="P138" s="8" t="str">
        <f aca="false">IF(C138="","",IFERROR(AVERAGEIFS(Питание!$C$14:$C$378,Питание!$A$14:$A$378,"&gt;"&amp;$A138-7,Питание!$A$14:$A$378,"&lt;="&amp;$A138,Питание!$C$14:$C$378,"&gt;0"),""))</f>
        <v/>
      </c>
      <c r="Q138" s="8" t="str">
        <f aca="false">IF(D138="","",IFERROR(AVERAGEIFS(Питание!$D$14:$D$378,Питание!$A$14:$A$378,"&gt;"&amp;$A138-7,Питание!$A$14:$A$378,"&lt;="&amp;$A138,Питание!$D$14:$D$378,"&gt;0"),""))</f>
        <v/>
      </c>
      <c r="R138" s="14" t="str">
        <f aca="false">IF(O138="","",IFERROR(O138-AVERAGEIFS(Питание!$B$14:$B$378,Питание!$A$14:$A$378,"&gt;"&amp;$A138-14,Питание!$A$14:$A$378,"&lt;="&amp;$A138-7,Питание!$B$14:$B$378,"&gt;0"),""))</f>
        <v/>
      </c>
      <c r="S138" s="15" t="str">
        <f aca="false">IF(R138="","",R138/O138)</f>
        <v/>
      </c>
      <c r="T138" s="11" t="str">
        <f aca="false">IF(O138="","",O138-StartWeight)</f>
        <v/>
      </c>
    </row>
    <row r="139" customFormat="false" ht="15" hidden="false" customHeight="true" outlineLevel="0" collapsed="false">
      <c r="A139" s="16" t="n">
        <f aca="false">A138+1</f>
        <v>46419</v>
      </c>
      <c r="B139" s="17"/>
      <c r="C139" s="18"/>
      <c r="D139" s="18"/>
      <c r="E139" s="18"/>
      <c r="F139" s="18"/>
      <c r="G139" s="18"/>
      <c r="H139" s="17"/>
      <c r="I139" s="19"/>
      <c r="J139" s="10" t="str">
        <f aca="false">IF(C139="","",C139-TargetKcal)</f>
        <v/>
      </c>
      <c r="K139" s="10" t="str">
        <f aca="false">IF(D139="","",D139-TargetProtein)</f>
        <v/>
      </c>
      <c r="L139" s="10" t="str">
        <f aca="false">IF(E139="","",E139-TargetFat)</f>
        <v/>
      </c>
      <c r="M139" s="10" t="str">
        <f aca="false">IF(F139="","",F139-TargetCarb)</f>
        <v/>
      </c>
      <c r="N139" s="10" t="str">
        <f aca="false">IF(COUNT(C139:F139)&lt;4,"",ROUND(4*D139+9*E139+4*F139-C139,0))</f>
        <v/>
      </c>
      <c r="O139" s="13" t="str">
        <f aca="false">IF(B139="","",IFERROR(AVERAGEIFS(Питание!$B$14:$B$378,Питание!$A$14:$A$378,"&gt;"&amp;$A139-7,Питание!$A$14:$A$378,"&lt;="&amp;$A139,Питание!$B$14:$B$378,"&gt;0"),""))</f>
        <v/>
      </c>
      <c r="P139" s="8" t="str">
        <f aca="false">IF(C139="","",IFERROR(AVERAGEIFS(Питание!$C$14:$C$378,Питание!$A$14:$A$378,"&gt;"&amp;$A139-7,Питание!$A$14:$A$378,"&lt;="&amp;$A139,Питание!$C$14:$C$378,"&gt;0"),""))</f>
        <v/>
      </c>
      <c r="Q139" s="8" t="str">
        <f aca="false">IF(D139="","",IFERROR(AVERAGEIFS(Питание!$D$14:$D$378,Питание!$A$14:$A$378,"&gt;"&amp;$A139-7,Питание!$A$14:$A$378,"&lt;="&amp;$A139,Питание!$D$14:$D$378,"&gt;0"),""))</f>
        <v/>
      </c>
      <c r="R139" s="14" t="str">
        <f aca="false">IF(O139="","",IFERROR(O139-AVERAGEIFS(Питание!$B$14:$B$378,Питание!$A$14:$A$378,"&gt;"&amp;$A139-14,Питание!$A$14:$A$378,"&lt;="&amp;$A139-7,Питание!$B$14:$B$378,"&gt;0"),""))</f>
        <v/>
      </c>
      <c r="S139" s="15" t="str">
        <f aca="false">IF(R139="","",R139/O139)</f>
        <v/>
      </c>
      <c r="T139" s="11" t="str">
        <f aca="false">IF(O139="","",O139-StartWeight)</f>
        <v/>
      </c>
    </row>
    <row r="140" customFormat="false" ht="15" hidden="false" customHeight="true" outlineLevel="0" collapsed="false">
      <c r="A140" s="16" t="n">
        <f aca="false">A139+1</f>
        <v>46420</v>
      </c>
      <c r="B140" s="17"/>
      <c r="C140" s="18"/>
      <c r="D140" s="18"/>
      <c r="E140" s="18"/>
      <c r="F140" s="18"/>
      <c r="G140" s="18"/>
      <c r="H140" s="17"/>
      <c r="I140" s="19"/>
      <c r="J140" s="10" t="str">
        <f aca="false">IF(C140="","",C140-TargetKcal)</f>
        <v/>
      </c>
      <c r="K140" s="10" t="str">
        <f aca="false">IF(D140="","",D140-TargetProtein)</f>
        <v/>
      </c>
      <c r="L140" s="10" t="str">
        <f aca="false">IF(E140="","",E140-TargetFat)</f>
        <v/>
      </c>
      <c r="M140" s="10" t="str">
        <f aca="false">IF(F140="","",F140-TargetCarb)</f>
        <v/>
      </c>
      <c r="N140" s="10" t="str">
        <f aca="false">IF(COUNT(C140:F140)&lt;4,"",ROUND(4*D140+9*E140+4*F140-C140,0))</f>
        <v/>
      </c>
      <c r="O140" s="13" t="str">
        <f aca="false">IF(B140="","",IFERROR(AVERAGEIFS(Питание!$B$14:$B$378,Питание!$A$14:$A$378,"&gt;"&amp;$A140-7,Питание!$A$14:$A$378,"&lt;="&amp;$A140,Питание!$B$14:$B$378,"&gt;0"),""))</f>
        <v/>
      </c>
      <c r="P140" s="8" t="str">
        <f aca="false">IF(C140="","",IFERROR(AVERAGEIFS(Питание!$C$14:$C$378,Питание!$A$14:$A$378,"&gt;"&amp;$A140-7,Питание!$A$14:$A$378,"&lt;="&amp;$A140,Питание!$C$14:$C$378,"&gt;0"),""))</f>
        <v/>
      </c>
      <c r="Q140" s="8" t="str">
        <f aca="false">IF(D140="","",IFERROR(AVERAGEIFS(Питание!$D$14:$D$378,Питание!$A$14:$A$378,"&gt;"&amp;$A140-7,Питание!$A$14:$A$378,"&lt;="&amp;$A140,Питание!$D$14:$D$378,"&gt;0"),""))</f>
        <v/>
      </c>
      <c r="R140" s="14" t="str">
        <f aca="false">IF(O140="","",IFERROR(O140-AVERAGEIFS(Питание!$B$14:$B$378,Питание!$A$14:$A$378,"&gt;"&amp;$A140-14,Питание!$A$14:$A$378,"&lt;="&amp;$A140-7,Питание!$B$14:$B$378,"&gt;0"),""))</f>
        <v/>
      </c>
      <c r="S140" s="15" t="str">
        <f aca="false">IF(R140="","",R140/O140)</f>
        <v/>
      </c>
      <c r="T140" s="11" t="str">
        <f aca="false">IF(O140="","",O140-StartWeight)</f>
        <v/>
      </c>
    </row>
    <row r="141" customFormat="false" ht="15" hidden="false" customHeight="true" outlineLevel="0" collapsed="false">
      <c r="A141" s="16" t="n">
        <f aca="false">A140+1</f>
        <v>46421</v>
      </c>
      <c r="B141" s="17"/>
      <c r="C141" s="18"/>
      <c r="D141" s="18"/>
      <c r="E141" s="18"/>
      <c r="F141" s="18"/>
      <c r="G141" s="18"/>
      <c r="H141" s="17"/>
      <c r="I141" s="19"/>
      <c r="J141" s="10" t="str">
        <f aca="false">IF(C141="","",C141-TargetKcal)</f>
        <v/>
      </c>
      <c r="K141" s="10" t="str">
        <f aca="false">IF(D141="","",D141-TargetProtein)</f>
        <v/>
      </c>
      <c r="L141" s="10" t="str">
        <f aca="false">IF(E141="","",E141-TargetFat)</f>
        <v/>
      </c>
      <c r="M141" s="10" t="str">
        <f aca="false">IF(F141="","",F141-TargetCarb)</f>
        <v/>
      </c>
      <c r="N141" s="10" t="str">
        <f aca="false">IF(COUNT(C141:F141)&lt;4,"",ROUND(4*D141+9*E141+4*F141-C141,0))</f>
        <v/>
      </c>
      <c r="O141" s="13" t="str">
        <f aca="false">IF(B141="","",IFERROR(AVERAGEIFS(Питание!$B$14:$B$378,Питание!$A$14:$A$378,"&gt;"&amp;$A141-7,Питание!$A$14:$A$378,"&lt;="&amp;$A141,Питание!$B$14:$B$378,"&gt;0"),""))</f>
        <v/>
      </c>
      <c r="P141" s="8" t="str">
        <f aca="false">IF(C141="","",IFERROR(AVERAGEIFS(Питание!$C$14:$C$378,Питание!$A$14:$A$378,"&gt;"&amp;$A141-7,Питание!$A$14:$A$378,"&lt;="&amp;$A141,Питание!$C$14:$C$378,"&gt;0"),""))</f>
        <v/>
      </c>
      <c r="Q141" s="8" t="str">
        <f aca="false">IF(D141="","",IFERROR(AVERAGEIFS(Питание!$D$14:$D$378,Питание!$A$14:$A$378,"&gt;"&amp;$A141-7,Питание!$A$14:$A$378,"&lt;="&amp;$A141,Питание!$D$14:$D$378,"&gt;0"),""))</f>
        <v/>
      </c>
      <c r="R141" s="14" t="str">
        <f aca="false">IF(O141="","",IFERROR(O141-AVERAGEIFS(Питание!$B$14:$B$378,Питание!$A$14:$A$378,"&gt;"&amp;$A141-14,Питание!$A$14:$A$378,"&lt;="&amp;$A141-7,Питание!$B$14:$B$378,"&gt;0"),""))</f>
        <v/>
      </c>
      <c r="S141" s="15" t="str">
        <f aca="false">IF(R141="","",R141/O141)</f>
        <v/>
      </c>
      <c r="T141" s="11" t="str">
        <f aca="false">IF(O141="","",O141-StartWeight)</f>
        <v/>
      </c>
    </row>
    <row r="142" customFormat="false" ht="15" hidden="false" customHeight="true" outlineLevel="0" collapsed="false">
      <c r="A142" s="16" t="n">
        <f aca="false">A141+1</f>
        <v>46422</v>
      </c>
      <c r="B142" s="17"/>
      <c r="C142" s="18"/>
      <c r="D142" s="18"/>
      <c r="E142" s="18"/>
      <c r="F142" s="18"/>
      <c r="G142" s="18"/>
      <c r="H142" s="17"/>
      <c r="I142" s="19"/>
      <c r="J142" s="10" t="str">
        <f aca="false">IF(C142="","",C142-TargetKcal)</f>
        <v/>
      </c>
      <c r="K142" s="10" t="str">
        <f aca="false">IF(D142="","",D142-TargetProtein)</f>
        <v/>
      </c>
      <c r="L142" s="10" t="str">
        <f aca="false">IF(E142="","",E142-TargetFat)</f>
        <v/>
      </c>
      <c r="M142" s="10" t="str">
        <f aca="false">IF(F142="","",F142-TargetCarb)</f>
        <v/>
      </c>
      <c r="N142" s="10" t="str">
        <f aca="false">IF(COUNT(C142:F142)&lt;4,"",ROUND(4*D142+9*E142+4*F142-C142,0))</f>
        <v/>
      </c>
      <c r="O142" s="13" t="str">
        <f aca="false">IF(B142="","",IFERROR(AVERAGEIFS(Питание!$B$14:$B$378,Питание!$A$14:$A$378,"&gt;"&amp;$A142-7,Питание!$A$14:$A$378,"&lt;="&amp;$A142,Питание!$B$14:$B$378,"&gt;0"),""))</f>
        <v/>
      </c>
      <c r="P142" s="8" t="str">
        <f aca="false">IF(C142="","",IFERROR(AVERAGEIFS(Питание!$C$14:$C$378,Питание!$A$14:$A$378,"&gt;"&amp;$A142-7,Питание!$A$14:$A$378,"&lt;="&amp;$A142,Питание!$C$14:$C$378,"&gt;0"),""))</f>
        <v/>
      </c>
      <c r="Q142" s="8" t="str">
        <f aca="false">IF(D142="","",IFERROR(AVERAGEIFS(Питание!$D$14:$D$378,Питание!$A$14:$A$378,"&gt;"&amp;$A142-7,Питание!$A$14:$A$378,"&lt;="&amp;$A142,Питание!$D$14:$D$378,"&gt;0"),""))</f>
        <v/>
      </c>
      <c r="R142" s="14" t="str">
        <f aca="false">IF(O142="","",IFERROR(O142-AVERAGEIFS(Питание!$B$14:$B$378,Питание!$A$14:$A$378,"&gt;"&amp;$A142-14,Питание!$A$14:$A$378,"&lt;="&amp;$A142-7,Питание!$B$14:$B$378,"&gt;0"),""))</f>
        <v/>
      </c>
      <c r="S142" s="15" t="str">
        <f aca="false">IF(R142="","",R142/O142)</f>
        <v/>
      </c>
      <c r="T142" s="11" t="str">
        <f aca="false">IF(O142="","",O142-StartWeight)</f>
        <v/>
      </c>
    </row>
    <row r="143" customFormat="false" ht="15" hidden="false" customHeight="true" outlineLevel="0" collapsed="false">
      <c r="A143" s="16" t="n">
        <f aca="false">A142+1</f>
        <v>46423</v>
      </c>
      <c r="B143" s="17"/>
      <c r="C143" s="18"/>
      <c r="D143" s="18"/>
      <c r="E143" s="18"/>
      <c r="F143" s="18"/>
      <c r="G143" s="18"/>
      <c r="H143" s="17"/>
      <c r="I143" s="19"/>
      <c r="J143" s="10" t="str">
        <f aca="false">IF(C143="","",C143-TargetKcal)</f>
        <v/>
      </c>
      <c r="K143" s="10" t="str">
        <f aca="false">IF(D143="","",D143-TargetProtein)</f>
        <v/>
      </c>
      <c r="L143" s="10" t="str">
        <f aca="false">IF(E143="","",E143-TargetFat)</f>
        <v/>
      </c>
      <c r="M143" s="10" t="str">
        <f aca="false">IF(F143="","",F143-TargetCarb)</f>
        <v/>
      </c>
      <c r="N143" s="10" t="str">
        <f aca="false">IF(COUNT(C143:F143)&lt;4,"",ROUND(4*D143+9*E143+4*F143-C143,0))</f>
        <v/>
      </c>
      <c r="O143" s="13" t="str">
        <f aca="false">IF(B143="","",IFERROR(AVERAGEIFS(Питание!$B$14:$B$378,Питание!$A$14:$A$378,"&gt;"&amp;$A143-7,Питание!$A$14:$A$378,"&lt;="&amp;$A143,Питание!$B$14:$B$378,"&gt;0"),""))</f>
        <v/>
      </c>
      <c r="P143" s="8" t="str">
        <f aca="false">IF(C143="","",IFERROR(AVERAGEIFS(Питание!$C$14:$C$378,Питание!$A$14:$A$378,"&gt;"&amp;$A143-7,Питание!$A$14:$A$378,"&lt;="&amp;$A143,Питание!$C$14:$C$378,"&gt;0"),""))</f>
        <v/>
      </c>
      <c r="Q143" s="8" t="str">
        <f aca="false">IF(D143="","",IFERROR(AVERAGEIFS(Питание!$D$14:$D$378,Питание!$A$14:$A$378,"&gt;"&amp;$A143-7,Питание!$A$14:$A$378,"&lt;="&amp;$A143,Питание!$D$14:$D$378,"&gt;0"),""))</f>
        <v/>
      </c>
      <c r="R143" s="14" t="str">
        <f aca="false">IF(O143="","",IFERROR(O143-AVERAGEIFS(Питание!$B$14:$B$378,Питание!$A$14:$A$378,"&gt;"&amp;$A143-14,Питание!$A$14:$A$378,"&lt;="&amp;$A143-7,Питание!$B$14:$B$378,"&gt;0"),""))</f>
        <v/>
      </c>
      <c r="S143" s="15" t="str">
        <f aca="false">IF(R143="","",R143/O143)</f>
        <v/>
      </c>
      <c r="T143" s="11" t="str">
        <f aca="false">IF(O143="","",O143-StartWeight)</f>
        <v/>
      </c>
    </row>
    <row r="144" customFormat="false" ht="15" hidden="false" customHeight="true" outlineLevel="0" collapsed="false">
      <c r="A144" s="16" t="n">
        <f aca="false">A143+1</f>
        <v>46424</v>
      </c>
      <c r="B144" s="17"/>
      <c r="C144" s="18"/>
      <c r="D144" s="18"/>
      <c r="E144" s="18"/>
      <c r="F144" s="18"/>
      <c r="G144" s="18"/>
      <c r="H144" s="17"/>
      <c r="I144" s="19"/>
      <c r="J144" s="10" t="str">
        <f aca="false">IF(C144="","",C144-TargetKcal)</f>
        <v/>
      </c>
      <c r="K144" s="10" t="str">
        <f aca="false">IF(D144="","",D144-TargetProtein)</f>
        <v/>
      </c>
      <c r="L144" s="10" t="str">
        <f aca="false">IF(E144="","",E144-TargetFat)</f>
        <v/>
      </c>
      <c r="M144" s="10" t="str">
        <f aca="false">IF(F144="","",F144-TargetCarb)</f>
        <v/>
      </c>
      <c r="N144" s="10" t="str">
        <f aca="false">IF(COUNT(C144:F144)&lt;4,"",ROUND(4*D144+9*E144+4*F144-C144,0))</f>
        <v/>
      </c>
      <c r="O144" s="13" t="str">
        <f aca="false">IF(B144="","",IFERROR(AVERAGEIFS(Питание!$B$14:$B$378,Питание!$A$14:$A$378,"&gt;"&amp;$A144-7,Питание!$A$14:$A$378,"&lt;="&amp;$A144,Питание!$B$14:$B$378,"&gt;0"),""))</f>
        <v/>
      </c>
      <c r="P144" s="8" t="str">
        <f aca="false">IF(C144="","",IFERROR(AVERAGEIFS(Питание!$C$14:$C$378,Питание!$A$14:$A$378,"&gt;"&amp;$A144-7,Питание!$A$14:$A$378,"&lt;="&amp;$A144,Питание!$C$14:$C$378,"&gt;0"),""))</f>
        <v/>
      </c>
      <c r="Q144" s="8" t="str">
        <f aca="false">IF(D144="","",IFERROR(AVERAGEIFS(Питание!$D$14:$D$378,Питание!$A$14:$A$378,"&gt;"&amp;$A144-7,Питание!$A$14:$A$378,"&lt;="&amp;$A144,Питание!$D$14:$D$378,"&gt;0"),""))</f>
        <v/>
      </c>
      <c r="R144" s="14" t="str">
        <f aca="false">IF(O144="","",IFERROR(O144-AVERAGEIFS(Питание!$B$14:$B$378,Питание!$A$14:$A$378,"&gt;"&amp;$A144-14,Питание!$A$14:$A$378,"&lt;="&amp;$A144-7,Питание!$B$14:$B$378,"&gt;0"),""))</f>
        <v/>
      </c>
      <c r="S144" s="15" t="str">
        <f aca="false">IF(R144="","",R144/O144)</f>
        <v/>
      </c>
      <c r="T144" s="11" t="str">
        <f aca="false">IF(O144="","",O144-StartWeight)</f>
        <v/>
      </c>
    </row>
    <row r="145" customFormat="false" ht="15" hidden="false" customHeight="true" outlineLevel="0" collapsed="false">
      <c r="A145" s="16" t="n">
        <f aca="false">A144+1</f>
        <v>46425</v>
      </c>
      <c r="B145" s="17"/>
      <c r="C145" s="18"/>
      <c r="D145" s="18"/>
      <c r="E145" s="18"/>
      <c r="F145" s="18"/>
      <c r="G145" s="18"/>
      <c r="H145" s="17"/>
      <c r="I145" s="19"/>
      <c r="J145" s="10" t="str">
        <f aca="false">IF(C145="","",C145-TargetKcal)</f>
        <v/>
      </c>
      <c r="K145" s="10" t="str">
        <f aca="false">IF(D145="","",D145-TargetProtein)</f>
        <v/>
      </c>
      <c r="L145" s="10" t="str">
        <f aca="false">IF(E145="","",E145-TargetFat)</f>
        <v/>
      </c>
      <c r="M145" s="10" t="str">
        <f aca="false">IF(F145="","",F145-TargetCarb)</f>
        <v/>
      </c>
      <c r="N145" s="10" t="str">
        <f aca="false">IF(COUNT(C145:F145)&lt;4,"",ROUND(4*D145+9*E145+4*F145-C145,0))</f>
        <v/>
      </c>
      <c r="O145" s="13" t="str">
        <f aca="false">IF(B145="","",IFERROR(AVERAGEIFS(Питание!$B$14:$B$378,Питание!$A$14:$A$378,"&gt;"&amp;$A145-7,Питание!$A$14:$A$378,"&lt;="&amp;$A145,Питание!$B$14:$B$378,"&gt;0"),""))</f>
        <v/>
      </c>
      <c r="P145" s="8" t="str">
        <f aca="false">IF(C145="","",IFERROR(AVERAGEIFS(Питание!$C$14:$C$378,Питание!$A$14:$A$378,"&gt;"&amp;$A145-7,Питание!$A$14:$A$378,"&lt;="&amp;$A145,Питание!$C$14:$C$378,"&gt;0"),""))</f>
        <v/>
      </c>
      <c r="Q145" s="8" t="str">
        <f aca="false">IF(D145="","",IFERROR(AVERAGEIFS(Питание!$D$14:$D$378,Питание!$A$14:$A$378,"&gt;"&amp;$A145-7,Питание!$A$14:$A$378,"&lt;="&amp;$A145,Питание!$D$14:$D$378,"&gt;0"),""))</f>
        <v/>
      </c>
      <c r="R145" s="14" t="str">
        <f aca="false">IF(O145="","",IFERROR(O145-AVERAGEIFS(Питание!$B$14:$B$378,Питание!$A$14:$A$378,"&gt;"&amp;$A145-14,Питание!$A$14:$A$378,"&lt;="&amp;$A145-7,Питание!$B$14:$B$378,"&gt;0"),""))</f>
        <v/>
      </c>
      <c r="S145" s="15" t="str">
        <f aca="false">IF(R145="","",R145/O145)</f>
        <v/>
      </c>
      <c r="T145" s="11" t="str">
        <f aca="false">IF(O145="","",O145-StartWeight)</f>
        <v/>
      </c>
    </row>
    <row r="146" customFormat="false" ht="15" hidden="false" customHeight="true" outlineLevel="0" collapsed="false">
      <c r="A146" s="16" t="n">
        <f aca="false">A145+1</f>
        <v>46426</v>
      </c>
      <c r="B146" s="17"/>
      <c r="C146" s="18"/>
      <c r="D146" s="18"/>
      <c r="E146" s="18"/>
      <c r="F146" s="18"/>
      <c r="G146" s="18"/>
      <c r="H146" s="17"/>
      <c r="I146" s="19"/>
      <c r="J146" s="10" t="str">
        <f aca="false">IF(C146="","",C146-TargetKcal)</f>
        <v/>
      </c>
      <c r="K146" s="10" t="str">
        <f aca="false">IF(D146="","",D146-TargetProtein)</f>
        <v/>
      </c>
      <c r="L146" s="10" t="str">
        <f aca="false">IF(E146="","",E146-TargetFat)</f>
        <v/>
      </c>
      <c r="M146" s="10" t="str">
        <f aca="false">IF(F146="","",F146-TargetCarb)</f>
        <v/>
      </c>
      <c r="N146" s="10" t="str">
        <f aca="false">IF(COUNT(C146:F146)&lt;4,"",ROUND(4*D146+9*E146+4*F146-C146,0))</f>
        <v/>
      </c>
      <c r="O146" s="13" t="str">
        <f aca="false">IF(B146="","",IFERROR(AVERAGEIFS(Питание!$B$14:$B$378,Питание!$A$14:$A$378,"&gt;"&amp;$A146-7,Питание!$A$14:$A$378,"&lt;="&amp;$A146,Питание!$B$14:$B$378,"&gt;0"),""))</f>
        <v/>
      </c>
      <c r="P146" s="8" t="str">
        <f aca="false">IF(C146="","",IFERROR(AVERAGEIFS(Питание!$C$14:$C$378,Питание!$A$14:$A$378,"&gt;"&amp;$A146-7,Питание!$A$14:$A$378,"&lt;="&amp;$A146,Питание!$C$14:$C$378,"&gt;0"),""))</f>
        <v/>
      </c>
      <c r="Q146" s="8" t="str">
        <f aca="false">IF(D146="","",IFERROR(AVERAGEIFS(Питание!$D$14:$D$378,Питание!$A$14:$A$378,"&gt;"&amp;$A146-7,Питание!$A$14:$A$378,"&lt;="&amp;$A146,Питание!$D$14:$D$378,"&gt;0"),""))</f>
        <v/>
      </c>
      <c r="R146" s="14" t="str">
        <f aca="false">IF(O146="","",IFERROR(O146-AVERAGEIFS(Питание!$B$14:$B$378,Питание!$A$14:$A$378,"&gt;"&amp;$A146-14,Питание!$A$14:$A$378,"&lt;="&amp;$A146-7,Питание!$B$14:$B$378,"&gt;0"),""))</f>
        <v/>
      </c>
      <c r="S146" s="15" t="str">
        <f aca="false">IF(R146="","",R146/O146)</f>
        <v/>
      </c>
      <c r="T146" s="11" t="str">
        <f aca="false">IF(O146="","",O146-StartWeight)</f>
        <v/>
      </c>
    </row>
    <row r="147" customFormat="false" ht="15" hidden="false" customHeight="true" outlineLevel="0" collapsed="false">
      <c r="A147" s="16" t="n">
        <f aca="false">A146+1</f>
        <v>46427</v>
      </c>
      <c r="B147" s="17"/>
      <c r="C147" s="18"/>
      <c r="D147" s="18"/>
      <c r="E147" s="18"/>
      <c r="F147" s="18"/>
      <c r="G147" s="18"/>
      <c r="H147" s="17"/>
      <c r="I147" s="19"/>
      <c r="J147" s="10" t="str">
        <f aca="false">IF(C147="","",C147-TargetKcal)</f>
        <v/>
      </c>
      <c r="K147" s="10" t="str">
        <f aca="false">IF(D147="","",D147-TargetProtein)</f>
        <v/>
      </c>
      <c r="L147" s="10" t="str">
        <f aca="false">IF(E147="","",E147-TargetFat)</f>
        <v/>
      </c>
      <c r="M147" s="10" t="str">
        <f aca="false">IF(F147="","",F147-TargetCarb)</f>
        <v/>
      </c>
      <c r="N147" s="10" t="str">
        <f aca="false">IF(COUNT(C147:F147)&lt;4,"",ROUND(4*D147+9*E147+4*F147-C147,0))</f>
        <v/>
      </c>
      <c r="O147" s="13" t="str">
        <f aca="false">IF(B147="","",IFERROR(AVERAGEIFS(Питание!$B$14:$B$378,Питание!$A$14:$A$378,"&gt;"&amp;$A147-7,Питание!$A$14:$A$378,"&lt;="&amp;$A147,Питание!$B$14:$B$378,"&gt;0"),""))</f>
        <v/>
      </c>
      <c r="P147" s="8" t="str">
        <f aca="false">IF(C147="","",IFERROR(AVERAGEIFS(Питание!$C$14:$C$378,Питание!$A$14:$A$378,"&gt;"&amp;$A147-7,Питание!$A$14:$A$378,"&lt;="&amp;$A147,Питание!$C$14:$C$378,"&gt;0"),""))</f>
        <v/>
      </c>
      <c r="Q147" s="8" t="str">
        <f aca="false">IF(D147="","",IFERROR(AVERAGEIFS(Питание!$D$14:$D$378,Питание!$A$14:$A$378,"&gt;"&amp;$A147-7,Питание!$A$14:$A$378,"&lt;="&amp;$A147,Питание!$D$14:$D$378,"&gt;0"),""))</f>
        <v/>
      </c>
      <c r="R147" s="14" t="str">
        <f aca="false">IF(O147="","",IFERROR(O147-AVERAGEIFS(Питание!$B$14:$B$378,Питание!$A$14:$A$378,"&gt;"&amp;$A147-14,Питание!$A$14:$A$378,"&lt;="&amp;$A147-7,Питание!$B$14:$B$378,"&gt;0"),""))</f>
        <v/>
      </c>
      <c r="S147" s="15" t="str">
        <f aca="false">IF(R147="","",R147/O147)</f>
        <v/>
      </c>
      <c r="T147" s="11" t="str">
        <f aca="false">IF(O147="","",O147-StartWeight)</f>
        <v/>
      </c>
    </row>
    <row r="148" customFormat="false" ht="15" hidden="false" customHeight="true" outlineLevel="0" collapsed="false">
      <c r="A148" s="16" t="n">
        <f aca="false">A147+1</f>
        <v>46428</v>
      </c>
      <c r="B148" s="17"/>
      <c r="C148" s="18"/>
      <c r="D148" s="18"/>
      <c r="E148" s="18"/>
      <c r="F148" s="18"/>
      <c r="G148" s="18"/>
      <c r="H148" s="17"/>
      <c r="I148" s="19"/>
      <c r="J148" s="10" t="str">
        <f aca="false">IF(C148="","",C148-TargetKcal)</f>
        <v/>
      </c>
      <c r="K148" s="10" t="str">
        <f aca="false">IF(D148="","",D148-TargetProtein)</f>
        <v/>
      </c>
      <c r="L148" s="10" t="str">
        <f aca="false">IF(E148="","",E148-TargetFat)</f>
        <v/>
      </c>
      <c r="M148" s="10" t="str">
        <f aca="false">IF(F148="","",F148-TargetCarb)</f>
        <v/>
      </c>
      <c r="N148" s="10" t="str">
        <f aca="false">IF(COUNT(C148:F148)&lt;4,"",ROUND(4*D148+9*E148+4*F148-C148,0))</f>
        <v/>
      </c>
      <c r="O148" s="13" t="str">
        <f aca="false">IF(B148="","",IFERROR(AVERAGEIFS(Питание!$B$14:$B$378,Питание!$A$14:$A$378,"&gt;"&amp;$A148-7,Питание!$A$14:$A$378,"&lt;="&amp;$A148,Питание!$B$14:$B$378,"&gt;0"),""))</f>
        <v/>
      </c>
      <c r="P148" s="8" t="str">
        <f aca="false">IF(C148="","",IFERROR(AVERAGEIFS(Питание!$C$14:$C$378,Питание!$A$14:$A$378,"&gt;"&amp;$A148-7,Питание!$A$14:$A$378,"&lt;="&amp;$A148,Питание!$C$14:$C$378,"&gt;0"),""))</f>
        <v/>
      </c>
      <c r="Q148" s="8" t="str">
        <f aca="false">IF(D148="","",IFERROR(AVERAGEIFS(Питание!$D$14:$D$378,Питание!$A$14:$A$378,"&gt;"&amp;$A148-7,Питание!$A$14:$A$378,"&lt;="&amp;$A148,Питание!$D$14:$D$378,"&gt;0"),""))</f>
        <v/>
      </c>
      <c r="R148" s="14" t="str">
        <f aca="false">IF(O148="","",IFERROR(O148-AVERAGEIFS(Питание!$B$14:$B$378,Питание!$A$14:$A$378,"&gt;"&amp;$A148-14,Питание!$A$14:$A$378,"&lt;="&amp;$A148-7,Питание!$B$14:$B$378,"&gt;0"),""))</f>
        <v/>
      </c>
      <c r="S148" s="15" t="str">
        <f aca="false">IF(R148="","",R148/O148)</f>
        <v/>
      </c>
      <c r="T148" s="11" t="str">
        <f aca="false">IF(O148="","",O148-StartWeight)</f>
        <v/>
      </c>
    </row>
    <row r="149" customFormat="false" ht="15" hidden="false" customHeight="true" outlineLevel="0" collapsed="false">
      <c r="A149" s="16" t="n">
        <f aca="false">A148+1</f>
        <v>46429</v>
      </c>
      <c r="B149" s="17"/>
      <c r="C149" s="18"/>
      <c r="D149" s="18"/>
      <c r="E149" s="18"/>
      <c r="F149" s="18"/>
      <c r="G149" s="18"/>
      <c r="H149" s="17"/>
      <c r="I149" s="19"/>
      <c r="J149" s="10" t="str">
        <f aca="false">IF(C149="","",C149-TargetKcal)</f>
        <v/>
      </c>
      <c r="K149" s="10" t="str">
        <f aca="false">IF(D149="","",D149-TargetProtein)</f>
        <v/>
      </c>
      <c r="L149" s="10" t="str">
        <f aca="false">IF(E149="","",E149-TargetFat)</f>
        <v/>
      </c>
      <c r="M149" s="10" t="str">
        <f aca="false">IF(F149="","",F149-TargetCarb)</f>
        <v/>
      </c>
      <c r="N149" s="10" t="str">
        <f aca="false">IF(COUNT(C149:F149)&lt;4,"",ROUND(4*D149+9*E149+4*F149-C149,0))</f>
        <v/>
      </c>
      <c r="O149" s="13" t="str">
        <f aca="false">IF(B149="","",IFERROR(AVERAGEIFS(Питание!$B$14:$B$378,Питание!$A$14:$A$378,"&gt;"&amp;$A149-7,Питание!$A$14:$A$378,"&lt;="&amp;$A149,Питание!$B$14:$B$378,"&gt;0"),""))</f>
        <v/>
      </c>
      <c r="P149" s="8" t="str">
        <f aca="false">IF(C149="","",IFERROR(AVERAGEIFS(Питание!$C$14:$C$378,Питание!$A$14:$A$378,"&gt;"&amp;$A149-7,Питание!$A$14:$A$378,"&lt;="&amp;$A149,Питание!$C$14:$C$378,"&gt;0"),""))</f>
        <v/>
      </c>
      <c r="Q149" s="8" t="str">
        <f aca="false">IF(D149="","",IFERROR(AVERAGEIFS(Питание!$D$14:$D$378,Питание!$A$14:$A$378,"&gt;"&amp;$A149-7,Питание!$A$14:$A$378,"&lt;="&amp;$A149,Питание!$D$14:$D$378,"&gt;0"),""))</f>
        <v/>
      </c>
      <c r="R149" s="14" t="str">
        <f aca="false">IF(O149="","",IFERROR(O149-AVERAGEIFS(Питание!$B$14:$B$378,Питание!$A$14:$A$378,"&gt;"&amp;$A149-14,Питание!$A$14:$A$378,"&lt;="&amp;$A149-7,Питание!$B$14:$B$378,"&gt;0"),""))</f>
        <v/>
      </c>
      <c r="S149" s="15" t="str">
        <f aca="false">IF(R149="","",R149/O149)</f>
        <v/>
      </c>
      <c r="T149" s="11" t="str">
        <f aca="false">IF(O149="","",O149-StartWeight)</f>
        <v/>
      </c>
    </row>
    <row r="150" customFormat="false" ht="15" hidden="false" customHeight="true" outlineLevel="0" collapsed="false">
      <c r="A150" s="16" t="n">
        <f aca="false">A149+1</f>
        <v>46430</v>
      </c>
      <c r="B150" s="17"/>
      <c r="C150" s="18"/>
      <c r="D150" s="18"/>
      <c r="E150" s="18"/>
      <c r="F150" s="18"/>
      <c r="G150" s="18"/>
      <c r="H150" s="17"/>
      <c r="I150" s="19"/>
      <c r="J150" s="10" t="str">
        <f aca="false">IF(C150="","",C150-TargetKcal)</f>
        <v/>
      </c>
      <c r="K150" s="10" t="str">
        <f aca="false">IF(D150="","",D150-TargetProtein)</f>
        <v/>
      </c>
      <c r="L150" s="10" t="str">
        <f aca="false">IF(E150="","",E150-TargetFat)</f>
        <v/>
      </c>
      <c r="M150" s="10" t="str">
        <f aca="false">IF(F150="","",F150-TargetCarb)</f>
        <v/>
      </c>
      <c r="N150" s="10" t="str">
        <f aca="false">IF(COUNT(C150:F150)&lt;4,"",ROUND(4*D150+9*E150+4*F150-C150,0))</f>
        <v/>
      </c>
      <c r="O150" s="13" t="str">
        <f aca="false">IF(B150="","",IFERROR(AVERAGEIFS(Питание!$B$14:$B$378,Питание!$A$14:$A$378,"&gt;"&amp;$A150-7,Питание!$A$14:$A$378,"&lt;="&amp;$A150,Питание!$B$14:$B$378,"&gt;0"),""))</f>
        <v/>
      </c>
      <c r="P150" s="8" t="str">
        <f aca="false">IF(C150="","",IFERROR(AVERAGEIFS(Питание!$C$14:$C$378,Питание!$A$14:$A$378,"&gt;"&amp;$A150-7,Питание!$A$14:$A$378,"&lt;="&amp;$A150,Питание!$C$14:$C$378,"&gt;0"),""))</f>
        <v/>
      </c>
      <c r="Q150" s="8" t="str">
        <f aca="false">IF(D150="","",IFERROR(AVERAGEIFS(Питание!$D$14:$D$378,Питание!$A$14:$A$378,"&gt;"&amp;$A150-7,Питание!$A$14:$A$378,"&lt;="&amp;$A150,Питание!$D$14:$D$378,"&gt;0"),""))</f>
        <v/>
      </c>
      <c r="R150" s="14" t="str">
        <f aca="false">IF(O150="","",IFERROR(O150-AVERAGEIFS(Питание!$B$14:$B$378,Питание!$A$14:$A$378,"&gt;"&amp;$A150-14,Питание!$A$14:$A$378,"&lt;="&amp;$A150-7,Питание!$B$14:$B$378,"&gt;0"),""))</f>
        <v/>
      </c>
      <c r="S150" s="15" t="str">
        <f aca="false">IF(R150="","",R150/O150)</f>
        <v/>
      </c>
      <c r="T150" s="11" t="str">
        <f aca="false">IF(O150="","",O150-StartWeight)</f>
        <v/>
      </c>
    </row>
    <row r="151" customFormat="false" ht="15" hidden="false" customHeight="true" outlineLevel="0" collapsed="false">
      <c r="A151" s="16" t="n">
        <f aca="false">A150+1</f>
        <v>46431</v>
      </c>
      <c r="B151" s="17"/>
      <c r="C151" s="18"/>
      <c r="D151" s="18"/>
      <c r="E151" s="18"/>
      <c r="F151" s="18"/>
      <c r="G151" s="18"/>
      <c r="H151" s="17"/>
      <c r="I151" s="19"/>
      <c r="J151" s="10" t="str">
        <f aca="false">IF(C151="","",C151-TargetKcal)</f>
        <v/>
      </c>
      <c r="K151" s="10" t="str">
        <f aca="false">IF(D151="","",D151-TargetProtein)</f>
        <v/>
      </c>
      <c r="L151" s="10" t="str">
        <f aca="false">IF(E151="","",E151-TargetFat)</f>
        <v/>
      </c>
      <c r="M151" s="10" t="str">
        <f aca="false">IF(F151="","",F151-TargetCarb)</f>
        <v/>
      </c>
      <c r="N151" s="10" t="str">
        <f aca="false">IF(COUNT(C151:F151)&lt;4,"",ROUND(4*D151+9*E151+4*F151-C151,0))</f>
        <v/>
      </c>
      <c r="O151" s="13" t="str">
        <f aca="false">IF(B151="","",IFERROR(AVERAGEIFS(Питание!$B$14:$B$378,Питание!$A$14:$A$378,"&gt;"&amp;$A151-7,Питание!$A$14:$A$378,"&lt;="&amp;$A151,Питание!$B$14:$B$378,"&gt;0"),""))</f>
        <v/>
      </c>
      <c r="P151" s="8" t="str">
        <f aca="false">IF(C151="","",IFERROR(AVERAGEIFS(Питание!$C$14:$C$378,Питание!$A$14:$A$378,"&gt;"&amp;$A151-7,Питание!$A$14:$A$378,"&lt;="&amp;$A151,Питание!$C$14:$C$378,"&gt;0"),""))</f>
        <v/>
      </c>
      <c r="Q151" s="8" t="str">
        <f aca="false">IF(D151="","",IFERROR(AVERAGEIFS(Питание!$D$14:$D$378,Питание!$A$14:$A$378,"&gt;"&amp;$A151-7,Питание!$A$14:$A$378,"&lt;="&amp;$A151,Питание!$D$14:$D$378,"&gt;0"),""))</f>
        <v/>
      </c>
      <c r="R151" s="14" t="str">
        <f aca="false">IF(O151="","",IFERROR(O151-AVERAGEIFS(Питание!$B$14:$B$378,Питание!$A$14:$A$378,"&gt;"&amp;$A151-14,Питание!$A$14:$A$378,"&lt;="&amp;$A151-7,Питание!$B$14:$B$378,"&gt;0"),""))</f>
        <v/>
      </c>
      <c r="S151" s="15" t="str">
        <f aca="false">IF(R151="","",R151/O151)</f>
        <v/>
      </c>
      <c r="T151" s="11" t="str">
        <f aca="false">IF(O151="","",O151-StartWeight)</f>
        <v/>
      </c>
    </row>
    <row r="152" customFormat="false" ht="15" hidden="false" customHeight="true" outlineLevel="0" collapsed="false">
      <c r="A152" s="16" t="n">
        <f aca="false">A151+1</f>
        <v>46432</v>
      </c>
      <c r="B152" s="17"/>
      <c r="C152" s="18"/>
      <c r="D152" s="18"/>
      <c r="E152" s="18"/>
      <c r="F152" s="18"/>
      <c r="G152" s="18"/>
      <c r="H152" s="17"/>
      <c r="I152" s="19"/>
      <c r="J152" s="10" t="str">
        <f aca="false">IF(C152="","",C152-TargetKcal)</f>
        <v/>
      </c>
      <c r="K152" s="10" t="str">
        <f aca="false">IF(D152="","",D152-TargetProtein)</f>
        <v/>
      </c>
      <c r="L152" s="10" t="str">
        <f aca="false">IF(E152="","",E152-TargetFat)</f>
        <v/>
      </c>
      <c r="M152" s="10" t="str">
        <f aca="false">IF(F152="","",F152-TargetCarb)</f>
        <v/>
      </c>
      <c r="N152" s="10" t="str">
        <f aca="false">IF(COUNT(C152:F152)&lt;4,"",ROUND(4*D152+9*E152+4*F152-C152,0))</f>
        <v/>
      </c>
      <c r="O152" s="13" t="str">
        <f aca="false">IF(B152="","",IFERROR(AVERAGEIFS(Питание!$B$14:$B$378,Питание!$A$14:$A$378,"&gt;"&amp;$A152-7,Питание!$A$14:$A$378,"&lt;="&amp;$A152,Питание!$B$14:$B$378,"&gt;0"),""))</f>
        <v/>
      </c>
      <c r="P152" s="8" t="str">
        <f aca="false">IF(C152="","",IFERROR(AVERAGEIFS(Питание!$C$14:$C$378,Питание!$A$14:$A$378,"&gt;"&amp;$A152-7,Питание!$A$14:$A$378,"&lt;="&amp;$A152,Питание!$C$14:$C$378,"&gt;0"),""))</f>
        <v/>
      </c>
      <c r="Q152" s="8" t="str">
        <f aca="false">IF(D152="","",IFERROR(AVERAGEIFS(Питание!$D$14:$D$378,Питание!$A$14:$A$378,"&gt;"&amp;$A152-7,Питание!$A$14:$A$378,"&lt;="&amp;$A152,Питание!$D$14:$D$378,"&gt;0"),""))</f>
        <v/>
      </c>
      <c r="R152" s="14" t="str">
        <f aca="false">IF(O152="","",IFERROR(O152-AVERAGEIFS(Питание!$B$14:$B$378,Питание!$A$14:$A$378,"&gt;"&amp;$A152-14,Питание!$A$14:$A$378,"&lt;="&amp;$A152-7,Питание!$B$14:$B$378,"&gt;0"),""))</f>
        <v/>
      </c>
      <c r="S152" s="15" t="str">
        <f aca="false">IF(R152="","",R152/O152)</f>
        <v/>
      </c>
      <c r="T152" s="11" t="str">
        <f aca="false">IF(O152="","",O152-StartWeight)</f>
        <v/>
      </c>
    </row>
    <row r="153" customFormat="false" ht="15" hidden="false" customHeight="true" outlineLevel="0" collapsed="false">
      <c r="A153" s="16" t="n">
        <f aca="false">A152+1</f>
        <v>46433</v>
      </c>
      <c r="B153" s="17"/>
      <c r="C153" s="18"/>
      <c r="D153" s="18"/>
      <c r="E153" s="18"/>
      <c r="F153" s="18"/>
      <c r="G153" s="18"/>
      <c r="H153" s="17"/>
      <c r="I153" s="19"/>
      <c r="J153" s="10" t="str">
        <f aca="false">IF(C153="","",C153-TargetKcal)</f>
        <v/>
      </c>
      <c r="K153" s="10" t="str">
        <f aca="false">IF(D153="","",D153-TargetProtein)</f>
        <v/>
      </c>
      <c r="L153" s="10" t="str">
        <f aca="false">IF(E153="","",E153-TargetFat)</f>
        <v/>
      </c>
      <c r="M153" s="10" t="str">
        <f aca="false">IF(F153="","",F153-TargetCarb)</f>
        <v/>
      </c>
      <c r="N153" s="10" t="str">
        <f aca="false">IF(COUNT(C153:F153)&lt;4,"",ROUND(4*D153+9*E153+4*F153-C153,0))</f>
        <v/>
      </c>
      <c r="O153" s="13" t="str">
        <f aca="false">IF(B153="","",IFERROR(AVERAGEIFS(Питание!$B$14:$B$378,Питание!$A$14:$A$378,"&gt;"&amp;$A153-7,Питание!$A$14:$A$378,"&lt;="&amp;$A153,Питание!$B$14:$B$378,"&gt;0"),""))</f>
        <v/>
      </c>
      <c r="P153" s="8" t="str">
        <f aca="false">IF(C153="","",IFERROR(AVERAGEIFS(Питание!$C$14:$C$378,Питание!$A$14:$A$378,"&gt;"&amp;$A153-7,Питание!$A$14:$A$378,"&lt;="&amp;$A153,Питание!$C$14:$C$378,"&gt;0"),""))</f>
        <v/>
      </c>
      <c r="Q153" s="8" t="str">
        <f aca="false">IF(D153="","",IFERROR(AVERAGEIFS(Питание!$D$14:$D$378,Питание!$A$14:$A$378,"&gt;"&amp;$A153-7,Питание!$A$14:$A$378,"&lt;="&amp;$A153,Питание!$D$14:$D$378,"&gt;0"),""))</f>
        <v/>
      </c>
      <c r="R153" s="14" t="str">
        <f aca="false">IF(O153="","",IFERROR(O153-AVERAGEIFS(Питание!$B$14:$B$378,Питание!$A$14:$A$378,"&gt;"&amp;$A153-14,Питание!$A$14:$A$378,"&lt;="&amp;$A153-7,Питание!$B$14:$B$378,"&gt;0"),""))</f>
        <v/>
      </c>
      <c r="S153" s="15" t="str">
        <f aca="false">IF(R153="","",R153/O153)</f>
        <v/>
      </c>
      <c r="T153" s="11" t="str">
        <f aca="false">IF(O153="","",O153-StartWeight)</f>
        <v/>
      </c>
    </row>
    <row r="154" customFormat="false" ht="15" hidden="false" customHeight="true" outlineLevel="0" collapsed="false">
      <c r="A154" s="16" t="n">
        <f aca="false">A153+1</f>
        <v>46434</v>
      </c>
      <c r="B154" s="17"/>
      <c r="C154" s="18"/>
      <c r="D154" s="18"/>
      <c r="E154" s="18"/>
      <c r="F154" s="18"/>
      <c r="G154" s="18"/>
      <c r="H154" s="17"/>
      <c r="I154" s="19"/>
      <c r="J154" s="10" t="str">
        <f aca="false">IF(C154="","",C154-TargetKcal)</f>
        <v/>
      </c>
      <c r="K154" s="10" t="str">
        <f aca="false">IF(D154="","",D154-TargetProtein)</f>
        <v/>
      </c>
      <c r="L154" s="10" t="str">
        <f aca="false">IF(E154="","",E154-TargetFat)</f>
        <v/>
      </c>
      <c r="M154" s="10" t="str">
        <f aca="false">IF(F154="","",F154-TargetCarb)</f>
        <v/>
      </c>
      <c r="N154" s="10" t="str">
        <f aca="false">IF(COUNT(C154:F154)&lt;4,"",ROUND(4*D154+9*E154+4*F154-C154,0))</f>
        <v/>
      </c>
      <c r="O154" s="13" t="str">
        <f aca="false">IF(B154="","",IFERROR(AVERAGEIFS(Питание!$B$14:$B$378,Питание!$A$14:$A$378,"&gt;"&amp;$A154-7,Питание!$A$14:$A$378,"&lt;="&amp;$A154,Питание!$B$14:$B$378,"&gt;0"),""))</f>
        <v/>
      </c>
      <c r="P154" s="8" t="str">
        <f aca="false">IF(C154="","",IFERROR(AVERAGEIFS(Питание!$C$14:$C$378,Питание!$A$14:$A$378,"&gt;"&amp;$A154-7,Питание!$A$14:$A$378,"&lt;="&amp;$A154,Питание!$C$14:$C$378,"&gt;0"),""))</f>
        <v/>
      </c>
      <c r="Q154" s="8" t="str">
        <f aca="false">IF(D154="","",IFERROR(AVERAGEIFS(Питание!$D$14:$D$378,Питание!$A$14:$A$378,"&gt;"&amp;$A154-7,Питание!$A$14:$A$378,"&lt;="&amp;$A154,Питание!$D$14:$D$378,"&gt;0"),""))</f>
        <v/>
      </c>
      <c r="R154" s="14" t="str">
        <f aca="false">IF(O154="","",IFERROR(O154-AVERAGEIFS(Питание!$B$14:$B$378,Питание!$A$14:$A$378,"&gt;"&amp;$A154-14,Питание!$A$14:$A$378,"&lt;="&amp;$A154-7,Питание!$B$14:$B$378,"&gt;0"),""))</f>
        <v/>
      </c>
      <c r="S154" s="15" t="str">
        <f aca="false">IF(R154="","",R154/O154)</f>
        <v/>
      </c>
      <c r="T154" s="11" t="str">
        <f aca="false">IF(O154="","",O154-StartWeight)</f>
        <v/>
      </c>
    </row>
    <row r="155" customFormat="false" ht="15" hidden="false" customHeight="true" outlineLevel="0" collapsed="false">
      <c r="A155" s="16" t="n">
        <f aca="false">A154+1</f>
        <v>46435</v>
      </c>
      <c r="B155" s="17"/>
      <c r="C155" s="18"/>
      <c r="D155" s="18"/>
      <c r="E155" s="18"/>
      <c r="F155" s="18"/>
      <c r="G155" s="18"/>
      <c r="H155" s="17"/>
      <c r="I155" s="19"/>
      <c r="J155" s="10" t="str">
        <f aca="false">IF(C155="","",C155-TargetKcal)</f>
        <v/>
      </c>
      <c r="K155" s="10" t="str">
        <f aca="false">IF(D155="","",D155-TargetProtein)</f>
        <v/>
      </c>
      <c r="L155" s="10" t="str">
        <f aca="false">IF(E155="","",E155-TargetFat)</f>
        <v/>
      </c>
      <c r="M155" s="10" t="str">
        <f aca="false">IF(F155="","",F155-TargetCarb)</f>
        <v/>
      </c>
      <c r="N155" s="10" t="str">
        <f aca="false">IF(COUNT(C155:F155)&lt;4,"",ROUND(4*D155+9*E155+4*F155-C155,0))</f>
        <v/>
      </c>
      <c r="O155" s="13" t="str">
        <f aca="false">IF(B155="","",IFERROR(AVERAGEIFS(Питание!$B$14:$B$378,Питание!$A$14:$A$378,"&gt;"&amp;$A155-7,Питание!$A$14:$A$378,"&lt;="&amp;$A155,Питание!$B$14:$B$378,"&gt;0"),""))</f>
        <v/>
      </c>
      <c r="P155" s="8" t="str">
        <f aca="false">IF(C155="","",IFERROR(AVERAGEIFS(Питание!$C$14:$C$378,Питание!$A$14:$A$378,"&gt;"&amp;$A155-7,Питание!$A$14:$A$378,"&lt;="&amp;$A155,Питание!$C$14:$C$378,"&gt;0"),""))</f>
        <v/>
      </c>
      <c r="Q155" s="8" t="str">
        <f aca="false">IF(D155="","",IFERROR(AVERAGEIFS(Питание!$D$14:$D$378,Питание!$A$14:$A$378,"&gt;"&amp;$A155-7,Питание!$A$14:$A$378,"&lt;="&amp;$A155,Питание!$D$14:$D$378,"&gt;0"),""))</f>
        <v/>
      </c>
      <c r="R155" s="14" t="str">
        <f aca="false">IF(O155="","",IFERROR(O155-AVERAGEIFS(Питание!$B$14:$B$378,Питание!$A$14:$A$378,"&gt;"&amp;$A155-14,Питание!$A$14:$A$378,"&lt;="&amp;$A155-7,Питание!$B$14:$B$378,"&gt;0"),""))</f>
        <v/>
      </c>
      <c r="S155" s="15" t="str">
        <f aca="false">IF(R155="","",R155/O155)</f>
        <v/>
      </c>
      <c r="T155" s="11" t="str">
        <f aca="false">IF(O155="","",O155-StartWeight)</f>
        <v/>
      </c>
    </row>
    <row r="156" customFormat="false" ht="15" hidden="false" customHeight="true" outlineLevel="0" collapsed="false">
      <c r="A156" s="16" t="n">
        <f aca="false">A155+1</f>
        <v>46436</v>
      </c>
      <c r="B156" s="17"/>
      <c r="C156" s="18"/>
      <c r="D156" s="18"/>
      <c r="E156" s="18"/>
      <c r="F156" s="18"/>
      <c r="G156" s="18"/>
      <c r="H156" s="17"/>
      <c r="I156" s="19"/>
      <c r="J156" s="10" t="str">
        <f aca="false">IF(C156="","",C156-TargetKcal)</f>
        <v/>
      </c>
      <c r="K156" s="10" t="str">
        <f aca="false">IF(D156="","",D156-TargetProtein)</f>
        <v/>
      </c>
      <c r="L156" s="10" t="str">
        <f aca="false">IF(E156="","",E156-TargetFat)</f>
        <v/>
      </c>
      <c r="M156" s="10" t="str">
        <f aca="false">IF(F156="","",F156-TargetCarb)</f>
        <v/>
      </c>
      <c r="N156" s="10" t="str">
        <f aca="false">IF(COUNT(C156:F156)&lt;4,"",ROUND(4*D156+9*E156+4*F156-C156,0))</f>
        <v/>
      </c>
      <c r="O156" s="13" t="str">
        <f aca="false">IF(B156="","",IFERROR(AVERAGEIFS(Питание!$B$14:$B$378,Питание!$A$14:$A$378,"&gt;"&amp;$A156-7,Питание!$A$14:$A$378,"&lt;="&amp;$A156,Питание!$B$14:$B$378,"&gt;0"),""))</f>
        <v/>
      </c>
      <c r="P156" s="8" t="str">
        <f aca="false">IF(C156="","",IFERROR(AVERAGEIFS(Питание!$C$14:$C$378,Питание!$A$14:$A$378,"&gt;"&amp;$A156-7,Питание!$A$14:$A$378,"&lt;="&amp;$A156,Питание!$C$14:$C$378,"&gt;0"),""))</f>
        <v/>
      </c>
      <c r="Q156" s="8" t="str">
        <f aca="false">IF(D156="","",IFERROR(AVERAGEIFS(Питание!$D$14:$D$378,Питание!$A$14:$A$378,"&gt;"&amp;$A156-7,Питание!$A$14:$A$378,"&lt;="&amp;$A156,Питание!$D$14:$D$378,"&gt;0"),""))</f>
        <v/>
      </c>
      <c r="R156" s="14" t="str">
        <f aca="false">IF(O156="","",IFERROR(O156-AVERAGEIFS(Питание!$B$14:$B$378,Питание!$A$14:$A$378,"&gt;"&amp;$A156-14,Питание!$A$14:$A$378,"&lt;="&amp;$A156-7,Питание!$B$14:$B$378,"&gt;0"),""))</f>
        <v/>
      </c>
      <c r="S156" s="15" t="str">
        <f aca="false">IF(R156="","",R156/O156)</f>
        <v/>
      </c>
      <c r="T156" s="11" t="str">
        <f aca="false">IF(O156="","",O156-StartWeight)</f>
        <v/>
      </c>
    </row>
    <row r="157" customFormat="false" ht="15" hidden="false" customHeight="true" outlineLevel="0" collapsed="false">
      <c r="A157" s="16" t="n">
        <f aca="false">A156+1</f>
        <v>46437</v>
      </c>
      <c r="B157" s="17"/>
      <c r="C157" s="18"/>
      <c r="D157" s="18"/>
      <c r="E157" s="18"/>
      <c r="F157" s="18"/>
      <c r="G157" s="18"/>
      <c r="H157" s="17"/>
      <c r="I157" s="19"/>
      <c r="J157" s="10" t="str">
        <f aca="false">IF(C157="","",C157-TargetKcal)</f>
        <v/>
      </c>
      <c r="K157" s="10" t="str">
        <f aca="false">IF(D157="","",D157-TargetProtein)</f>
        <v/>
      </c>
      <c r="L157" s="10" t="str">
        <f aca="false">IF(E157="","",E157-TargetFat)</f>
        <v/>
      </c>
      <c r="M157" s="10" t="str">
        <f aca="false">IF(F157="","",F157-TargetCarb)</f>
        <v/>
      </c>
      <c r="N157" s="10" t="str">
        <f aca="false">IF(COUNT(C157:F157)&lt;4,"",ROUND(4*D157+9*E157+4*F157-C157,0))</f>
        <v/>
      </c>
      <c r="O157" s="13" t="str">
        <f aca="false">IF(B157="","",IFERROR(AVERAGEIFS(Питание!$B$14:$B$378,Питание!$A$14:$A$378,"&gt;"&amp;$A157-7,Питание!$A$14:$A$378,"&lt;="&amp;$A157,Питание!$B$14:$B$378,"&gt;0"),""))</f>
        <v/>
      </c>
      <c r="P157" s="8" t="str">
        <f aca="false">IF(C157="","",IFERROR(AVERAGEIFS(Питание!$C$14:$C$378,Питание!$A$14:$A$378,"&gt;"&amp;$A157-7,Питание!$A$14:$A$378,"&lt;="&amp;$A157,Питание!$C$14:$C$378,"&gt;0"),""))</f>
        <v/>
      </c>
      <c r="Q157" s="8" t="str">
        <f aca="false">IF(D157="","",IFERROR(AVERAGEIFS(Питание!$D$14:$D$378,Питание!$A$14:$A$378,"&gt;"&amp;$A157-7,Питание!$A$14:$A$378,"&lt;="&amp;$A157,Питание!$D$14:$D$378,"&gt;0"),""))</f>
        <v/>
      </c>
      <c r="R157" s="14" t="str">
        <f aca="false">IF(O157="","",IFERROR(O157-AVERAGEIFS(Питание!$B$14:$B$378,Питание!$A$14:$A$378,"&gt;"&amp;$A157-14,Питание!$A$14:$A$378,"&lt;="&amp;$A157-7,Питание!$B$14:$B$378,"&gt;0"),""))</f>
        <v/>
      </c>
      <c r="S157" s="15" t="str">
        <f aca="false">IF(R157="","",R157/O157)</f>
        <v/>
      </c>
      <c r="T157" s="11" t="str">
        <f aca="false">IF(O157="","",O157-StartWeight)</f>
        <v/>
      </c>
    </row>
    <row r="158" customFormat="false" ht="15" hidden="false" customHeight="true" outlineLevel="0" collapsed="false">
      <c r="A158" s="16" t="n">
        <f aca="false">A157+1</f>
        <v>46438</v>
      </c>
      <c r="B158" s="17"/>
      <c r="C158" s="18"/>
      <c r="D158" s="18"/>
      <c r="E158" s="18"/>
      <c r="F158" s="18"/>
      <c r="G158" s="18"/>
      <c r="H158" s="17"/>
      <c r="I158" s="19"/>
      <c r="J158" s="10" t="str">
        <f aca="false">IF(C158="","",C158-TargetKcal)</f>
        <v/>
      </c>
      <c r="K158" s="10" t="str">
        <f aca="false">IF(D158="","",D158-TargetProtein)</f>
        <v/>
      </c>
      <c r="L158" s="10" t="str">
        <f aca="false">IF(E158="","",E158-TargetFat)</f>
        <v/>
      </c>
      <c r="M158" s="10" t="str">
        <f aca="false">IF(F158="","",F158-TargetCarb)</f>
        <v/>
      </c>
      <c r="N158" s="10" t="str">
        <f aca="false">IF(COUNT(C158:F158)&lt;4,"",ROUND(4*D158+9*E158+4*F158-C158,0))</f>
        <v/>
      </c>
      <c r="O158" s="13" t="str">
        <f aca="false">IF(B158="","",IFERROR(AVERAGEIFS(Питание!$B$14:$B$378,Питание!$A$14:$A$378,"&gt;"&amp;$A158-7,Питание!$A$14:$A$378,"&lt;="&amp;$A158,Питание!$B$14:$B$378,"&gt;0"),""))</f>
        <v/>
      </c>
      <c r="P158" s="8" t="str">
        <f aca="false">IF(C158="","",IFERROR(AVERAGEIFS(Питание!$C$14:$C$378,Питание!$A$14:$A$378,"&gt;"&amp;$A158-7,Питание!$A$14:$A$378,"&lt;="&amp;$A158,Питание!$C$14:$C$378,"&gt;0"),""))</f>
        <v/>
      </c>
      <c r="Q158" s="8" t="str">
        <f aca="false">IF(D158="","",IFERROR(AVERAGEIFS(Питание!$D$14:$D$378,Питание!$A$14:$A$378,"&gt;"&amp;$A158-7,Питание!$A$14:$A$378,"&lt;="&amp;$A158,Питание!$D$14:$D$378,"&gt;0"),""))</f>
        <v/>
      </c>
      <c r="R158" s="14" t="str">
        <f aca="false">IF(O158="","",IFERROR(O158-AVERAGEIFS(Питание!$B$14:$B$378,Питание!$A$14:$A$378,"&gt;"&amp;$A158-14,Питание!$A$14:$A$378,"&lt;="&amp;$A158-7,Питание!$B$14:$B$378,"&gt;0"),""))</f>
        <v/>
      </c>
      <c r="S158" s="15" t="str">
        <f aca="false">IF(R158="","",R158/O158)</f>
        <v/>
      </c>
      <c r="T158" s="11" t="str">
        <f aca="false">IF(O158="","",O158-StartWeight)</f>
        <v/>
      </c>
    </row>
    <row r="159" customFormat="false" ht="15" hidden="false" customHeight="true" outlineLevel="0" collapsed="false">
      <c r="A159" s="16" t="n">
        <f aca="false">A158+1</f>
        <v>46439</v>
      </c>
      <c r="B159" s="17"/>
      <c r="C159" s="18"/>
      <c r="D159" s="18"/>
      <c r="E159" s="18"/>
      <c r="F159" s="18"/>
      <c r="G159" s="18"/>
      <c r="H159" s="17"/>
      <c r="I159" s="19"/>
      <c r="J159" s="10" t="str">
        <f aca="false">IF(C159="","",C159-TargetKcal)</f>
        <v/>
      </c>
      <c r="K159" s="10" t="str">
        <f aca="false">IF(D159="","",D159-TargetProtein)</f>
        <v/>
      </c>
      <c r="L159" s="10" t="str">
        <f aca="false">IF(E159="","",E159-TargetFat)</f>
        <v/>
      </c>
      <c r="M159" s="10" t="str">
        <f aca="false">IF(F159="","",F159-TargetCarb)</f>
        <v/>
      </c>
      <c r="N159" s="10" t="str">
        <f aca="false">IF(COUNT(C159:F159)&lt;4,"",ROUND(4*D159+9*E159+4*F159-C159,0))</f>
        <v/>
      </c>
      <c r="O159" s="13" t="str">
        <f aca="false">IF(B159="","",IFERROR(AVERAGEIFS(Питание!$B$14:$B$378,Питание!$A$14:$A$378,"&gt;"&amp;$A159-7,Питание!$A$14:$A$378,"&lt;="&amp;$A159,Питание!$B$14:$B$378,"&gt;0"),""))</f>
        <v/>
      </c>
      <c r="P159" s="8" t="str">
        <f aca="false">IF(C159="","",IFERROR(AVERAGEIFS(Питание!$C$14:$C$378,Питание!$A$14:$A$378,"&gt;"&amp;$A159-7,Питание!$A$14:$A$378,"&lt;="&amp;$A159,Питание!$C$14:$C$378,"&gt;0"),""))</f>
        <v/>
      </c>
      <c r="Q159" s="8" t="str">
        <f aca="false">IF(D159="","",IFERROR(AVERAGEIFS(Питание!$D$14:$D$378,Питание!$A$14:$A$378,"&gt;"&amp;$A159-7,Питание!$A$14:$A$378,"&lt;="&amp;$A159,Питание!$D$14:$D$378,"&gt;0"),""))</f>
        <v/>
      </c>
      <c r="R159" s="14" t="str">
        <f aca="false">IF(O159="","",IFERROR(O159-AVERAGEIFS(Питание!$B$14:$B$378,Питание!$A$14:$A$378,"&gt;"&amp;$A159-14,Питание!$A$14:$A$378,"&lt;="&amp;$A159-7,Питание!$B$14:$B$378,"&gt;0"),""))</f>
        <v/>
      </c>
      <c r="S159" s="15" t="str">
        <f aca="false">IF(R159="","",R159/O159)</f>
        <v/>
      </c>
      <c r="T159" s="11" t="str">
        <f aca="false">IF(O159="","",O159-StartWeight)</f>
        <v/>
      </c>
    </row>
    <row r="160" customFormat="false" ht="15" hidden="false" customHeight="true" outlineLevel="0" collapsed="false">
      <c r="A160" s="16" t="n">
        <f aca="false">A159+1</f>
        <v>46440</v>
      </c>
      <c r="B160" s="17"/>
      <c r="C160" s="18"/>
      <c r="D160" s="18"/>
      <c r="E160" s="18"/>
      <c r="F160" s="18"/>
      <c r="G160" s="18"/>
      <c r="H160" s="17"/>
      <c r="I160" s="19"/>
      <c r="J160" s="10" t="str">
        <f aca="false">IF(C160="","",C160-TargetKcal)</f>
        <v/>
      </c>
      <c r="K160" s="10" t="str">
        <f aca="false">IF(D160="","",D160-TargetProtein)</f>
        <v/>
      </c>
      <c r="L160" s="10" t="str">
        <f aca="false">IF(E160="","",E160-TargetFat)</f>
        <v/>
      </c>
      <c r="M160" s="10" t="str">
        <f aca="false">IF(F160="","",F160-TargetCarb)</f>
        <v/>
      </c>
      <c r="N160" s="10" t="str">
        <f aca="false">IF(COUNT(C160:F160)&lt;4,"",ROUND(4*D160+9*E160+4*F160-C160,0))</f>
        <v/>
      </c>
      <c r="O160" s="13" t="str">
        <f aca="false">IF(B160="","",IFERROR(AVERAGEIFS(Питание!$B$14:$B$378,Питание!$A$14:$A$378,"&gt;"&amp;$A160-7,Питание!$A$14:$A$378,"&lt;="&amp;$A160,Питание!$B$14:$B$378,"&gt;0"),""))</f>
        <v/>
      </c>
      <c r="P160" s="8" t="str">
        <f aca="false">IF(C160="","",IFERROR(AVERAGEIFS(Питание!$C$14:$C$378,Питание!$A$14:$A$378,"&gt;"&amp;$A160-7,Питание!$A$14:$A$378,"&lt;="&amp;$A160,Питание!$C$14:$C$378,"&gt;0"),""))</f>
        <v/>
      </c>
      <c r="Q160" s="8" t="str">
        <f aca="false">IF(D160="","",IFERROR(AVERAGEIFS(Питание!$D$14:$D$378,Питание!$A$14:$A$378,"&gt;"&amp;$A160-7,Питание!$A$14:$A$378,"&lt;="&amp;$A160,Питание!$D$14:$D$378,"&gt;0"),""))</f>
        <v/>
      </c>
      <c r="R160" s="14" t="str">
        <f aca="false">IF(O160="","",IFERROR(O160-AVERAGEIFS(Питание!$B$14:$B$378,Питание!$A$14:$A$378,"&gt;"&amp;$A160-14,Питание!$A$14:$A$378,"&lt;="&amp;$A160-7,Питание!$B$14:$B$378,"&gt;0"),""))</f>
        <v/>
      </c>
      <c r="S160" s="15" t="str">
        <f aca="false">IF(R160="","",R160/O160)</f>
        <v/>
      </c>
      <c r="T160" s="11" t="str">
        <f aca="false">IF(O160="","",O160-StartWeight)</f>
        <v/>
      </c>
    </row>
    <row r="161" customFormat="false" ht="15" hidden="false" customHeight="true" outlineLevel="0" collapsed="false">
      <c r="A161" s="16" t="n">
        <f aca="false">A160+1</f>
        <v>46441</v>
      </c>
      <c r="B161" s="17"/>
      <c r="C161" s="18"/>
      <c r="D161" s="18"/>
      <c r="E161" s="18"/>
      <c r="F161" s="18"/>
      <c r="G161" s="18"/>
      <c r="H161" s="17"/>
      <c r="I161" s="19"/>
      <c r="J161" s="10" t="str">
        <f aca="false">IF(C161="","",C161-TargetKcal)</f>
        <v/>
      </c>
      <c r="K161" s="10" t="str">
        <f aca="false">IF(D161="","",D161-TargetProtein)</f>
        <v/>
      </c>
      <c r="L161" s="10" t="str">
        <f aca="false">IF(E161="","",E161-TargetFat)</f>
        <v/>
      </c>
      <c r="M161" s="10" t="str">
        <f aca="false">IF(F161="","",F161-TargetCarb)</f>
        <v/>
      </c>
      <c r="N161" s="10" t="str">
        <f aca="false">IF(COUNT(C161:F161)&lt;4,"",ROUND(4*D161+9*E161+4*F161-C161,0))</f>
        <v/>
      </c>
      <c r="O161" s="13" t="str">
        <f aca="false">IF(B161="","",IFERROR(AVERAGEIFS(Питание!$B$14:$B$378,Питание!$A$14:$A$378,"&gt;"&amp;$A161-7,Питание!$A$14:$A$378,"&lt;="&amp;$A161,Питание!$B$14:$B$378,"&gt;0"),""))</f>
        <v/>
      </c>
      <c r="P161" s="8" t="str">
        <f aca="false">IF(C161="","",IFERROR(AVERAGEIFS(Питание!$C$14:$C$378,Питание!$A$14:$A$378,"&gt;"&amp;$A161-7,Питание!$A$14:$A$378,"&lt;="&amp;$A161,Питание!$C$14:$C$378,"&gt;0"),""))</f>
        <v/>
      </c>
      <c r="Q161" s="8" t="str">
        <f aca="false">IF(D161="","",IFERROR(AVERAGEIFS(Питание!$D$14:$D$378,Питание!$A$14:$A$378,"&gt;"&amp;$A161-7,Питание!$A$14:$A$378,"&lt;="&amp;$A161,Питание!$D$14:$D$378,"&gt;0"),""))</f>
        <v/>
      </c>
      <c r="R161" s="14" t="str">
        <f aca="false">IF(O161="","",IFERROR(O161-AVERAGEIFS(Питание!$B$14:$B$378,Питание!$A$14:$A$378,"&gt;"&amp;$A161-14,Питание!$A$14:$A$378,"&lt;="&amp;$A161-7,Питание!$B$14:$B$378,"&gt;0"),""))</f>
        <v/>
      </c>
      <c r="S161" s="15" t="str">
        <f aca="false">IF(R161="","",R161/O161)</f>
        <v/>
      </c>
      <c r="T161" s="11" t="str">
        <f aca="false">IF(O161="","",O161-StartWeight)</f>
        <v/>
      </c>
    </row>
    <row r="162" customFormat="false" ht="15" hidden="false" customHeight="true" outlineLevel="0" collapsed="false">
      <c r="A162" s="16" t="n">
        <f aca="false">A161+1</f>
        <v>46442</v>
      </c>
      <c r="B162" s="17"/>
      <c r="C162" s="18"/>
      <c r="D162" s="18"/>
      <c r="E162" s="18"/>
      <c r="F162" s="18"/>
      <c r="G162" s="18"/>
      <c r="H162" s="17"/>
      <c r="I162" s="19"/>
      <c r="J162" s="10" t="str">
        <f aca="false">IF(C162="","",C162-TargetKcal)</f>
        <v/>
      </c>
      <c r="K162" s="10" t="str">
        <f aca="false">IF(D162="","",D162-TargetProtein)</f>
        <v/>
      </c>
      <c r="L162" s="10" t="str">
        <f aca="false">IF(E162="","",E162-TargetFat)</f>
        <v/>
      </c>
      <c r="M162" s="10" t="str">
        <f aca="false">IF(F162="","",F162-TargetCarb)</f>
        <v/>
      </c>
      <c r="N162" s="10" t="str">
        <f aca="false">IF(COUNT(C162:F162)&lt;4,"",ROUND(4*D162+9*E162+4*F162-C162,0))</f>
        <v/>
      </c>
      <c r="O162" s="13" t="str">
        <f aca="false">IF(B162="","",IFERROR(AVERAGEIFS(Питание!$B$14:$B$378,Питание!$A$14:$A$378,"&gt;"&amp;$A162-7,Питание!$A$14:$A$378,"&lt;="&amp;$A162,Питание!$B$14:$B$378,"&gt;0"),""))</f>
        <v/>
      </c>
      <c r="P162" s="8" t="str">
        <f aca="false">IF(C162="","",IFERROR(AVERAGEIFS(Питание!$C$14:$C$378,Питание!$A$14:$A$378,"&gt;"&amp;$A162-7,Питание!$A$14:$A$378,"&lt;="&amp;$A162,Питание!$C$14:$C$378,"&gt;0"),""))</f>
        <v/>
      </c>
      <c r="Q162" s="8" t="str">
        <f aca="false">IF(D162="","",IFERROR(AVERAGEIFS(Питание!$D$14:$D$378,Питание!$A$14:$A$378,"&gt;"&amp;$A162-7,Питание!$A$14:$A$378,"&lt;="&amp;$A162,Питание!$D$14:$D$378,"&gt;0"),""))</f>
        <v/>
      </c>
      <c r="R162" s="14" t="str">
        <f aca="false">IF(O162="","",IFERROR(O162-AVERAGEIFS(Питание!$B$14:$B$378,Питание!$A$14:$A$378,"&gt;"&amp;$A162-14,Питание!$A$14:$A$378,"&lt;="&amp;$A162-7,Питание!$B$14:$B$378,"&gt;0"),""))</f>
        <v/>
      </c>
      <c r="S162" s="15" t="str">
        <f aca="false">IF(R162="","",R162/O162)</f>
        <v/>
      </c>
      <c r="T162" s="11" t="str">
        <f aca="false">IF(O162="","",O162-StartWeight)</f>
        <v/>
      </c>
    </row>
    <row r="163" customFormat="false" ht="15" hidden="false" customHeight="true" outlineLevel="0" collapsed="false">
      <c r="A163" s="16" t="n">
        <f aca="false">A162+1</f>
        <v>46443</v>
      </c>
      <c r="B163" s="17"/>
      <c r="C163" s="18"/>
      <c r="D163" s="18"/>
      <c r="E163" s="18"/>
      <c r="F163" s="18"/>
      <c r="G163" s="18"/>
      <c r="H163" s="17"/>
      <c r="I163" s="19"/>
      <c r="J163" s="10" t="str">
        <f aca="false">IF(C163="","",C163-TargetKcal)</f>
        <v/>
      </c>
      <c r="K163" s="10" t="str">
        <f aca="false">IF(D163="","",D163-TargetProtein)</f>
        <v/>
      </c>
      <c r="L163" s="10" t="str">
        <f aca="false">IF(E163="","",E163-TargetFat)</f>
        <v/>
      </c>
      <c r="M163" s="10" t="str">
        <f aca="false">IF(F163="","",F163-TargetCarb)</f>
        <v/>
      </c>
      <c r="N163" s="10" t="str">
        <f aca="false">IF(COUNT(C163:F163)&lt;4,"",ROUND(4*D163+9*E163+4*F163-C163,0))</f>
        <v/>
      </c>
      <c r="O163" s="13" t="str">
        <f aca="false">IF(B163="","",IFERROR(AVERAGEIFS(Питание!$B$14:$B$378,Питание!$A$14:$A$378,"&gt;"&amp;$A163-7,Питание!$A$14:$A$378,"&lt;="&amp;$A163,Питание!$B$14:$B$378,"&gt;0"),""))</f>
        <v/>
      </c>
      <c r="P163" s="8" t="str">
        <f aca="false">IF(C163="","",IFERROR(AVERAGEIFS(Питание!$C$14:$C$378,Питание!$A$14:$A$378,"&gt;"&amp;$A163-7,Питание!$A$14:$A$378,"&lt;="&amp;$A163,Питание!$C$14:$C$378,"&gt;0"),""))</f>
        <v/>
      </c>
      <c r="Q163" s="8" t="str">
        <f aca="false">IF(D163="","",IFERROR(AVERAGEIFS(Питание!$D$14:$D$378,Питание!$A$14:$A$378,"&gt;"&amp;$A163-7,Питание!$A$14:$A$378,"&lt;="&amp;$A163,Питание!$D$14:$D$378,"&gt;0"),""))</f>
        <v/>
      </c>
      <c r="R163" s="14" t="str">
        <f aca="false">IF(O163="","",IFERROR(O163-AVERAGEIFS(Питание!$B$14:$B$378,Питание!$A$14:$A$378,"&gt;"&amp;$A163-14,Питание!$A$14:$A$378,"&lt;="&amp;$A163-7,Питание!$B$14:$B$378,"&gt;0"),""))</f>
        <v/>
      </c>
      <c r="S163" s="15" t="str">
        <f aca="false">IF(R163="","",R163/O163)</f>
        <v/>
      </c>
      <c r="T163" s="11" t="str">
        <f aca="false">IF(O163="","",O163-StartWeight)</f>
        <v/>
      </c>
    </row>
    <row r="164" customFormat="false" ht="15" hidden="false" customHeight="true" outlineLevel="0" collapsed="false">
      <c r="A164" s="16" t="n">
        <f aca="false">A163+1</f>
        <v>46444</v>
      </c>
      <c r="B164" s="17"/>
      <c r="C164" s="18"/>
      <c r="D164" s="18"/>
      <c r="E164" s="18"/>
      <c r="F164" s="18"/>
      <c r="G164" s="18"/>
      <c r="H164" s="17"/>
      <c r="I164" s="19"/>
      <c r="J164" s="10" t="str">
        <f aca="false">IF(C164="","",C164-TargetKcal)</f>
        <v/>
      </c>
      <c r="K164" s="10" t="str">
        <f aca="false">IF(D164="","",D164-TargetProtein)</f>
        <v/>
      </c>
      <c r="L164" s="10" t="str">
        <f aca="false">IF(E164="","",E164-TargetFat)</f>
        <v/>
      </c>
      <c r="M164" s="10" t="str">
        <f aca="false">IF(F164="","",F164-TargetCarb)</f>
        <v/>
      </c>
      <c r="N164" s="10" t="str">
        <f aca="false">IF(COUNT(C164:F164)&lt;4,"",ROUND(4*D164+9*E164+4*F164-C164,0))</f>
        <v/>
      </c>
      <c r="O164" s="13" t="str">
        <f aca="false">IF(B164="","",IFERROR(AVERAGEIFS(Питание!$B$14:$B$378,Питание!$A$14:$A$378,"&gt;"&amp;$A164-7,Питание!$A$14:$A$378,"&lt;="&amp;$A164,Питание!$B$14:$B$378,"&gt;0"),""))</f>
        <v/>
      </c>
      <c r="P164" s="8" t="str">
        <f aca="false">IF(C164="","",IFERROR(AVERAGEIFS(Питание!$C$14:$C$378,Питание!$A$14:$A$378,"&gt;"&amp;$A164-7,Питание!$A$14:$A$378,"&lt;="&amp;$A164,Питание!$C$14:$C$378,"&gt;0"),""))</f>
        <v/>
      </c>
      <c r="Q164" s="8" t="str">
        <f aca="false">IF(D164="","",IFERROR(AVERAGEIFS(Питание!$D$14:$D$378,Питание!$A$14:$A$378,"&gt;"&amp;$A164-7,Питание!$A$14:$A$378,"&lt;="&amp;$A164,Питание!$D$14:$D$378,"&gt;0"),""))</f>
        <v/>
      </c>
      <c r="R164" s="14" t="str">
        <f aca="false">IF(O164="","",IFERROR(O164-AVERAGEIFS(Питание!$B$14:$B$378,Питание!$A$14:$A$378,"&gt;"&amp;$A164-14,Питание!$A$14:$A$378,"&lt;="&amp;$A164-7,Питание!$B$14:$B$378,"&gt;0"),""))</f>
        <v/>
      </c>
      <c r="S164" s="15" t="str">
        <f aca="false">IF(R164="","",R164/O164)</f>
        <v/>
      </c>
      <c r="T164" s="11" t="str">
        <f aca="false">IF(O164="","",O164-StartWeight)</f>
        <v/>
      </c>
    </row>
    <row r="165" customFormat="false" ht="15" hidden="false" customHeight="true" outlineLevel="0" collapsed="false">
      <c r="A165" s="16" t="n">
        <f aca="false">A164+1</f>
        <v>46445</v>
      </c>
      <c r="B165" s="17"/>
      <c r="C165" s="18"/>
      <c r="D165" s="18"/>
      <c r="E165" s="18"/>
      <c r="F165" s="18"/>
      <c r="G165" s="18"/>
      <c r="H165" s="17"/>
      <c r="I165" s="19"/>
      <c r="J165" s="10" t="str">
        <f aca="false">IF(C165="","",C165-TargetKcal)</f>
        <v/>
      </c>
      <c r="K165" s="10" t="str">
        <f aca="false">IF(D165="","",D165-TargetProtein)</f>
        <v/>
      </c>
      <c r="L165" s="10" t="str">
        <f aca="false">IF(E165="","",E165-TargetFat)</f>
        <v/>
      </c>
      <c r="M165" s="10" t="str">
        <f aca="false">IF(F165="","",F165-TargetCarb)</f>
        <v/>
      </c>
      <c r="N165" s="10" t="str">
        <f aca="false">IF(COUNT(C165:F165)&lt;4,"",ROUND(4*D165+9*E165+4*F165-C165,0))</f>
        <v/>
      </c>
      <c r="O165" s="13" t="str">
        <f aca="false">IF(B165="","",IFERROR(AVERAGEIFS(Питание!$B$14:$B$378,Питание!$A$14:$A$378,"&gt;"&amp;$A165-7,Питание!$A$14:$A$378,"&lt;="&amp;$A165,Питание!$B$14:$B$378,"&gt;0"),""))</f>
        <v/>
      </c>
      <c r="P165" s="8" t="str">
        <f aca="false">IF(C165="","",IFERROR(AVERAGEIFS(Питание!$C$14:$C$378,Питание!$A$14:$A$378,"&gt;"&amp;$A165-7,Питание!$A$14:$A$378,"&lt;="&amp;$A165,Питание!$C$14:$C$378,"&gt;0"),""))</f>
        <v/>
      </c>
      <c r="Q165" s="8" t="str">
        <f aca="false">IF(D165="","",IFERROR(AVERAGEIFS(Питание!$D$14:$D$378,Питание!$A$14:$A$378,"&gt;"&amp;$A165-7,Питание!$A$14:$A$378,"&lt;="&amp;$A165,Питание!$D$14:$D$378,"&gt;0"),""))</f>
        <v/>
      </c>
      <c r="R165" s="14" t="str">
        <f aca="false">IF(O165="","",IFERROR(O165-AVERAGEIFS(Питание!$B$14:$B$378,Питание!$A$14:$A$378,"&gt;"&amp;$A165-14,Питание!$A$14:$A$378,"&lt;="&amp;$A165-7,Питание!$B$14:$B$378,"&gt;0"),""))</f>
        <v/>
      </c>
      <c r="S165" s="15" t="str">
        <f aca="false">IF(R165="","",R165/O165)</f>
        <v/>
      </c>
      <c r="T165" s="11" t="str">
        <f aca="false">IF(O165="","",O165-StartWeight)</f>
        <v/>
      </c>
    </row>
    <row r="166" customFormat="false" ht="15" hidden="false" customHeight="true" outlineLevel="0" collapsed="false">
      <c r="A166" s="16" t="n">
        <f aca="false">A165+1</f>
        <v>46446</v>
      </c>
      <c r="B166" s="17"/>
      <c r="C166" s="18"/>
      <c r="D166" s="18"/>
      <c r="E166" s="18"/>
      <c r="F166" s="18"/>
      <c r="G166" s="18"/>
      <c r="H166" s="17"/>
      <c r="I166" s="19"/>
      <c r="J166" s="10" t="str">
        <f aca="false">IF(C166="","",C166-TargetKcal)</f>
        <v/>
      </c>
      <c r="K166" s="10" t="str">
        <f aca="false">IF(D166="","",D166-TargetProtein)</f>
        <v/>
      </c>
      <c r="L166" s="10" t="str">
        <f aca="false">IF(E166="","",E166-TargetFat)</f>
        <v/>
      </c>
      <c r="M166" s="10" t="str">
        <f aca="false">IF(F166="","",F166-TargetCarb)</f>
        <v/>
      </c>
      <c r="N166" s="10" t="str">
        <f aca="false">IF(COUNT(C166:F166)&lt;4,"",ROUND(4*D166+9*E166+4*F166-C166,0))</f>
        <v/>
      </c>
      <c r="O166" s="13" t="str">
        <f aca="false">IF(B166="","",IFERROR(AVERAGEIFS(Питание!$B$14:$B$378,Питание!$A$14:$A$378,"&gt;"&amp;$A166-7,Питание!$A$14:$A$378,"&lt;="&amp;$A166,Питание!$B$14:$B$378,"&gt;0"),""))</f>
        <v/>
      </c>
      <c r="P166" s="8" t="str">
        <f aca="false">IF(C166="","",IFERROR(AVERAGEIFS(Питание!$C$14:$C$378,Питание!$A$14:$A$378,"&gt;"&amp;$A166-7,Питание!$A$14:$A$378,"&lt;="&amp;$A166,Питание!$C$14:$C$378,"&gt;0"),""))</f>
        <v/>
      </c>
      <c r="Q166" s="8" t="str">
        <f aca="false">IF(D166="","",IFERROR(AVERAGEIFS(Питание!$D$14:$D$378,Питание!$A$14:$A$378,"&gt;"&amp;$A166-7,Питание!$A$14:$A$378,"&lt;="&amp;$A166,Питание!$D$14:$D$378,"&gt;0"),""))</f>
        <v/>
      </c>
      <c r="R166" s="14" t="str">
        <f aca="false">IF(O166="","",IFERROR(O166-AVERAGEIFS(Питание!$B$14:$B$378,Питание!$A$14:$A$378,"&gt;"&amp;$A166-14,Питание!$A$14:$A$378,"&lt;="&amp;$A166-7,Питание!$B$14:$B$378,"&gt;0"),""))</f>
        <v/>
      </c>
      <c r="S166" s="15" t="str">
        <f aca="false">IF(R166="","",R166/O166)</f>
        <v/>
      </c>
      <c r="T166" s="11" t="str">
        <f aca="false">IF(O166="","",O166-StartWeight)</f>
        <v/>
      </c>
    </row>
    <row r="167" customFormat="false" ht="15" hidden="false" customHeight="true" outlineLevel="0" collapsed="false">
      <c r="A167" s="16" t="n">
        <f aca="false">A166+1</f>
        <v>46447</v>
      </c>
      <c r="B167" s="17"/>
      <c r="C167" s="18"/>
      <c r="D167" s="18"/>
      <c r="E167" s="18"/>
      <c r="F167" s="18"/>
      <c r="G167" s="18"/>
      <c r="H167" s="17"/>
      <c r="I167" s="19"/>
      <c r="J167" s="10" t="str">
        <f aca="false">IF(C167="","",C167-TargetKcal)</f>
        <v/>
      </c>
      <c r="K167" s="10" t="str">
        <f aca="false">IF(D167="","",D167-TargetProtein)</f>
        <v/>
      </c>
      <c r="L167" s="10" t="str">
        <f aca="false">IF(E167="","",E167-TargetFat)</f>
        <v/>
      </c>
      <c r="M167" s="10" t="str">
        <f aca="false">IF(F167="","",F167-TargetCarb)</f>
        <v/>
      </c>
      <c r="N167" s="10" t="str">
        <f aca="false">IF(COUNT(C167:F167)&lt;4,"",ROUND(4*D167+9*E167+4*F167-C167,0))</f>
        <v/>
      </c>
      <c r="O167" s="13" t="str">
        <f aca="false">IF(B167="","",IFERROR(AVERAGEIFS(Питание!$B$14:$B$378,Питание!$A$14:$A$378,"&gt;"&amp;$A167-7,Питание!$A$14:$A$378,"&lt;="&amp;$A167,Питание!$B$14:$B$378,"&gt;0"),""))</f>
        <v/>
      </c>
      <c r="P167" s="8" t="str">
        <f aca="false">IF(C167="","",IFERROR(AVERAGEIFS(Питание!$C$14:$C$378,Питание!$A$14:$A$378,"&gt;"&amp;$A167-7,Питание!$A$14:$A$378,"&lt;="&amp;$A167,Питание!$C$14:$C$378,"&gt;0"),""))</f>
        <v/>
      </c>
      <c r="Q167" s="8" t="str">
        <f aca="false">IF(D167="","",IFERROR(AVERAGEIFS(Питание!$D$14:$D$378,Питание!$A$14:$A$378,"&gt;"&amp;$A167-7,Питание!$A$14:$A$378,"&lt;="&amp;$A167,Питание!$D$14:$D$378,"&gt;0"),""))</f>
        <v/>
      </c>
      <c r="R167" s="14" t="str">
        <f aca="false">IF(O167="","",IFERROR(O167-AVERAGEIFS(Питание!$B$14:$B$378,Питание!$A$14:$A$378,"&gt;"&amp;$A167-14,Питание!$A$14:$A$378,"&lt;="&amp;$A167-7,Питание!$B$14:$B$378,"&gt;0"),""))</f>
        <v/>
      </c>
      <c r="S167" s="15" t="str">
        <f aca="false">IF(R167="","",R167/O167)</f>
        <v/>
      </c>
      <c r="T167" s="11" t="str">
        <f aca="false">IF(O167="","",O167-StartWeight)</f>
        <v/>
      </c>
    </row>
    <row r="168" customFormat="false" ht="15" hidden="false" customHeight="true" outlineLevel="0" collapsed="false">
      <c r="A168" s="16" t="n">
        <f aca="false">A167+1</f>
        <v>46448</v>
      </c>
      <c r="B168" s="17"/>
      <c r="C168" s="18"/>
      <c r="D168" s="18"/>
      <c r="E168" s="18"/>
      <c r="F168" s="18"/>
      <c r="G168" s="18"/>
      <c r="H168" s="17"/>
      <c r="I168" s="19"/>
      <c r="J168" s="10" t="str">
        <f aca="false">IF(C168="","",C168-TargetKcal)</f>
        <v/>
      </c>
      <c r="K168" s="10" t="str">
        <f aca="false">IF(D168="","",D168-TargetProtein)</f>
        <v/>
      </c>
      <c r="L168" s="10" t="str">
        <f aca="false">IF(E168="","",E168-TargetFat)</f>
        <v/>
      </c>
      <c r="M168" s="10" t="str">
        <f aca="false">IF(F168="","",F168-TargetCarb)</f>
        <v/>
      </c>
      <c r="N168" s="10" t="str">
        <f aca="false">IF(COUNT(C168:F168)&lt;4,"",ROUND(4*D168+9*E168+4*F168-C168,0))</f>
        <v/>
      </c>
      <c r="O168" s="13" t="str">
        <f aca="false">IF(B168="","",IFERROR(AVERAGEIFS(Питание!$B$14:$B$378,Питание!$A$14:$A$378,"&gt;"&amp;$A168-7,Питание!$A$14:$A$378,"&lt;="&amp;$A168,Питание!$B$14:$B$378,"&gt;0"),""))</f>
        <v/>
      </c>
      <c r="P168" s="8" t="str">
        <f aca="false">IF(C168="","",IFERROR(AVERAGEIFS(Питание!$C$14:$C$378,Питание!$A$14:$A$378,"&gt;"&amp;$A168-7,Питание!$A$14:$A$378,"&lt;="&amp;$A168,Питание!$C$14:$C$378,"&gt;0"),""))</f>
        <v/>
      </c>
      <c r="Q168" s="8" t="str">
        <f aca="false">IF(D168="","",IFERROR(AVERAGEIFS(Питание!$D$14:$D$378,Питание!$A$14:$A$378,"&gt;"&amp;$A168-7,Питание!$A$14:$A$378,"&lt;="&amp;$A168,Питание!$D$14:$D$378,"&gt;0"),""))</f>
        <v/>
      </c>
      <c r="R168" s="14" t="str">
        <f aca="false">IF(O168="","",IFERROR(O168-AVERAGEIFS(Питание!$B$14:$B$378,Питание!$A$14:$A$378,"&gt;"&amp;$A168-14,Питание!$A$14:$A$378,"&lt;="&amp;$A168-7,Питание!$B$14:$B$378,"&gt;0"),""))</f>
        <v/>
      </c>
      <c r="S168" s="15" t="str">
        <f aca="false">IF(R168="","",R168/O168)</f>
        <v/>
      </c>
      <c r="T168" s="11" t="str">
        <f aca="false">IF(O168="","",O168-StartWeight)</f>
        <v/>
      </c>
    </row>
    <row r="169" customFormat="false" ht="15" hidden="false" customHeight="true" outlineLevel="0" collapsed="false">
      <c r="A169" s="16" t="n">
        <f aca="false">A168+1</f>
        <v>46449</v>
      </c>
      <c r="B169" s="17"/>
      <c r="C169" s="18"/>
      <c r="D169" s="18"/>
      <c r="E169" s="18"/>
      <c r="F169" s="18"/>
      <c r="G169" s="18"/>
      <c r="H169" s="17"/>
      <c r="I169" s="19"/>
      <c r="J169" s="10" t="str">
        <f aca="false">IF(C169="","",C169-TargetKcal)</f>
        <v/>
      </c>
      <c r="K169" s="10" t="str">
        <f aca="false">IF(D169="","",D169-TargetProtein)</f>
        <v/>
      </c>
      <c r="L169" s="10" t="str">
        <f aca="false">IF(E169="","",E169-TargetFat)</f>
        <v/>
      </c>
      <c r="M169" s="10" t="str">
        <f aca="false">IF(F169="","",F169-TargetCarb)</f>
        <v/>
      </c>
      <c r="N169" s="10" t="str">
        <f aca="false">IF(COUNT(C169:F169)&lt;4,"",ROUND(4*D169+9*E169+4*F169-C169,0))</f>
        <v/>
      </c>
      <c r="O169" s="13" t="str">
        <f aca="false">IF(B169="","",IFERROR(AVERAGEIFS(Питание!$B$14:$B$378,Питание!$A$14:$A$378,"&gt;"&amp;$A169-7,Питание!$A$14:$A$378,"&lt;="&amp;$A169,Питание!$B$14:$B$378,"&gt;0"),""))</f>
        <v/>
      </c>
      <c r="P169" s="8" t="str">
        <f aca="false">IF(C169="","",IFERROR(AVERAGEIFS(Питание!$C$14:$C$378,Питание!$A$14:$A$378,"&gt;"&amp;$A169-7,Питание!$A$14:$A$378,"&lt;="&amp;$A169,Питание!$C$14:$C$378,"&gt;0"),""))</f>
        <v/>
      </c>
      <c r="Q169" s="8" t="str">
        <f aca="false">IF(D169="","",IFERROR(AVERAGEIFS(Питание!$D$14:$D$378,Питание!$A$14:$A$378,"&gt;"&amp;$A169-7,Питание!$A$14:$A$378,"&lt;="&amp;$A169,Питание!$D$14:$D$378,"&gt;0"),""))</f>
        <v/>
      </c>
      <c r="R169" s="14" t="str">
        <f aca="false">IF(O169="","",IFERROR(O169-AVERAGEIFS(Питание!$B$14:$B$378,Питание!$A$14:$A$378,"&gt;"&amp;$A169-14,Питание!$A$14:$A$378,"&lt;="&amp;$A169-7,Питание!$B$14:$B$378,"&gt;0"),""))</f>
        <v/>
      </c>
      <c r="S169" s="15" t="str">
        <f aca="false">IF(R169="","",R169/O169)</f>
        <v/>
      </c>
      <c r="T169" s="11" t="str">
        <f aca="false">IF(O169="","",O169-StartWeight)</f>
        <v/>
      </c>
    </row>
    <row r="170" customFormat="false" ht="15" hidden="false" customHeight="true" outlineLevel="0" collapsed="false">
      <c r="A170" s="16" t="n">
        <f aca="false">A169+1</f>
        <v>46450</v>
      </c>
      <c r="B170" s="17"/>
      <c r="C170" s="18"/>
      <c r="D170" s="18"/>
      <c r="E170" s="18"/>
      <c r="F170" s="18"/>
      <c r="G170" s="18"/>
      <c r="H170" s="17"/>
      <c r="I170" s="19"/>
      <c r="J170" s="10" t="str">
        <f aca="false">IF(C170="","",C170-TargetKcal)</f>
        <v/>
      </c>
      <c r="K170" s="10" t="str">
        <f aca="false">IF(D170="","",D170-TargetProtein)</f>
        <v/>
      </c>
      <c r="L170" s="10" t="str">
        <f aca="false">IF(E170="","",E170-TargetFat)</f>
        <v/>
      </c>
      <c r="M170" s="10" t="str">
        <f aca="false">IF(F170="","",F170-TargetCarb)</f>
        <v/>
      </c>
      <c r="N170" s="10" t="str">
        <f aca="false">IF(COUNT(C170:F170)&lt;4,"",ROUND(4*D170+9*E170+4*F170-C170,0))</f>
        <v/>
      </c>
      <c r="O170" s="13" t="str">
        <f aca="false">IF(B170="","",IFERROR(AVERAGEIFS(Питание!$B$14:$B$378,Питание!$A$14:$A$378,"&gt;"&amp;$A170-7,Питание!$A$14:$A$378,"&lt;="&amp;$A170,Питание!$B$14:$B$378,"&gt;0"),""))</f>
        <v/>
      </c>
      <c r="P170" s="8" t="str">
        <f aca="false">IF(C170="","",IFERROR(AVERAGEIFS(Питание!$C$14:$C$378,Питание!$A$14:$A$378,"&gt;"&amp;$A170-7,Питание!$A$14:$A$378,"&lt;="&amp;$A170,Питание!$C$14:$C$378,"&gt;0"),""))</f>
        <v/>
      </c>
      <c r="Q170" s="8" t="str">
        <f aca="false">IF(D170="","",IFERROR(AVERAGEIFS(Питание!$D$14:$D$378,Питание!$A$14:$A$378,"&gt;"&amp;$A170-7,Питание!$A$14:$A$378,"&lt;="&amp;$A170,Питание!$D$14:$D$378,"&gt;0"),""))</f>
        <v/>
      </c>
      <c r="R170" s="14" t="str">
        <f aca="false">IF(O170="","",IFERROR(O170-AVERAGEIFS(Питание!$B$14:$B$378,Питание!$A$14:$A$378,"&gt;"&amp;$A170-14,Питание!$A$14:$A$378,"&lt;="&amp;$A170-7,Питание!$B$14:$B$378,"&gt;0"),""))</f>
        <v/>
      </c>
      <c r="S170" s="15" t="str">
        <f aca="false">IF(R170="","",R170/O170)</f>
        <v/>
      </c>
      <c r="T170" s="11" t="str">
        <f aca="false">IF(O170="","",O170-StartWeight)</f>
        <v/>
      </c>
    </row>
    <row r="171" customFormat="false" ht="15" hidden="false" customHeight="true" outlineLevel="0" collapsed="false">
      <c r="A171" s="16" t="n">
        <f aca="false">A170+1</f>
        <v>46451</v>
      </c>
      <c r="B171" s="17"/>
      <c r="C171" s="18"/>
      <c r="D171" s="18"/>
      <c r="E171" s="18"/>
      <c r="F171" s="18"/>
      <c r="G171" s="18"/>
      <c r="H171" s="17"/>
      <c r="I171" s="19"/>
      <c r="J171" s="10" t="str">
        <f aca="false">IF(C171="","",C171-TargetKcal)</f>
        <v/>
      </c>
      <c r="K171" s="10" t="str">
        <f aca="false">IF(D171="","",D171-TargetProtein)</f>
        <v/>
      </c>
      <c r="L171" s="10" t="str">
        <f aca="false">IF(E171="","",E171-TargetFat)</f>
        <v/>
      </c>
      <c r="M171" s="10" t="str">
        <f aca="false">IF(F171="","",F171-TargetCarb)</f>
        <v/>
      </c>
      <c r="N171" s="10" t="str">
        <f aca="false">IF(COUNT(C171:F171)&lt;4,"",ROUND(4*D171+9*E171+4*F171-C171,0))</f>
        <v/>
      </c>
      <c r="O171" s="13" t="str">
        <f aca="false">IF(B171="","",IFERROR(AVERAGEIFS(Питание!$B$14:$B$378,Питание!$A$14:$A$378,"&gt;"&amp;$A171-7,Питание!$A$14:$A$378,"&lt;="&amp;$A171,Питание!$B$14:$B$378,"&gt;0"),""))</f>
        <v/>
      </c>
      <c r="P171" s="8" t="str">
        <f aca="false">IF(C171="","",IFERROR(AVERAGEIFS(Питание!$C$14:$C$378,Питание!$A$14:$A$378,"&gt;"&amp;$A171-7,Питание!$A$14:$A$378,"&lt;="&amp;$A171,Питание!$C$14:$C$378,"&gt;0"),""))</f>
        <v/>
      </c>
      <c r="Q171" s="8" t="str">
        <f aca="false">IF(D171="","",IFERROR(AVERAGEIFS(Питание!$D$14:$D$378,Питание!$A$14:$A$378,"&gt;"&amp;$A171-7,Питание!$A$14:$A$378,"&lt;="&amp;$A171,Питание!$D$14:$D$378,"&gt;0"),""))</f>
        <v/>
      </c>
      <c r="R171" s="14" t="str">
        <f aca="false">IF(O171="","",IFERROR(O171-AVERAGEIFS(Питание!$B$14:$B$378,Питание!$A$14:$A$378,"&gt;"&amp;$A171-14,Питание!$A$14:$A$378,"&lt;="&amp;$A171-7,Питание!$B$14:$B$378,"&gt;0"),""))</f>
        <v/>
      </c>
      <c r="S171" s="15" t="str">
        <f aca="false">IF(R171="","",R171/O171)</f>
        <v/>
      </c>
      <c r="T171" s="11" t="str">
        <f aca="false">IF(O171="","",O171-StartWeight)</f>
        <v/>
      </c>
    </row>
    <row r="172" customFormat="false" ht="15" hidden="false" customHeight="true" outlineLevel="0" collapsed="false">
      <c r="A172" s="16" t="n">
        <f aca="false">A171+1</f>
        <v>46452</v>
      </c>
      <c r="B172" s="17"/>
      <c r="C172" s="18"/>
      <c r="D172" s="18"/>
      <c r="E172" s="18"/>
      <c r="F172" s="18"/>
      <c r="G172" s="18"/>
      <c r="H172" s="17"/>
      <c r="I172" s="19"/>
      <c r="J172" s="10" t="str">
        <f aca="false">IF(C172="","",C172-TargetKcal)</f>
        <v/>
      </c>
      <c r="K172" s="10" t="str">
        <f aca="false">IF(D172="","",D172-TargetProtein)</f>
        <v/>
      </c>
      <c r="L172" s="10" t="str">
        <f aca="false">IF(E172="","",E172-TargetFat)</f>
        <v/>
      </c>
      <c r="M172" s="10" t="str">
        <f aca="false">IF(F172="","",F172-TargetCarb)</f>
        <v/>
      </c>
      <c r="N172" s="10" t="str">
        <f aca="false">IF(COUNT(C172:F172)&lt;4,"",ROUND(4*D172+9*E172+4*F172-C172,0))</f>
        <v/>
      </c>
      <c r="O172" s="13" t="str">
        <f aca="false">IF(B172="","",IFERROR(AVERAGEIFS(Питание!$B$14:$B$378,Питание!$A$14:$A$378,"&gt;"&amp;$A172-7,Питание!$A$14:$A$378,"&lt;="&amp;$A172,Питание!$B$14:$B$378,"&gt;0"),""))</f>
        <v/>
      </c>
      <c r="P172" s="8" t="str">
        <f aca="false">IF(C172="","",IFERROR(AVERAGEIFS(Питание!$C$14:$C$378,Питание!$A$14:$A$378,"&gt;"&amp;$A172-7,Питание!$A$14:$A$378,"&lt;="&amp;$A172,Питание!$C$14:$C$378,"&gt;0"),""))</f>
        <v/>
      </c>
      <c r="Q172" s="8" t="str">
        <f aca="false">IF(D172="","",IFERROR(AVERAGEIFS(Питание!$D$14:$D$378,Питание!$A$14:$A$378,"&gt;"&amp;$A172-7,Питание!$A$14:$A$378,"&lt;="&amp;$A172,Питание!$D$14:$D$378,"&gt;0"),""))</f>
        <v/>
      </c>
      <c r="R172" s="14" t="str">
        <f aca="false">IF(O172="","",IFERROR(O172-AVERAGEIFS(Питание!$B$14:$B$378,Питание!$A$14:$A$378,"&gt;"&amp;$A172-14,Питание!$A$14:$A$378,"&lt;="&amp;$A172-7,Питание!$B$14:$B$378,"&gt;0"),""))</f>
        <v/>
      </c>
      <c r="S172" s="15" t="str">
        <f aca="false">IF(R172="","",R172/O172)</f>
        <v/>
      </c>
      <c r="T172" s="11" t="str">
        <f aca="false">IF(O172="","",O172-StartWeight)</f>
        <v/>
      </c>
    </row>
    <row r="173" customFormat="false" ht="15" hidden="false" customHeight="true" outlineLevel="0" collapsed="false">
      <c r="A173" s="16" t="n">
        <f aca="false">A172+1</f>
        <v>46453</v>
      </c>
      <c r="B173" s="17"/>
      <c r="C173" s="18"/>
      <c r="D173" s="18"/>
      <c r="E173" s="18"/>
      <c r="F173" s="18"/>
      <c r="G173" s="18"/>
      <c r="H173" s="17"/>
      <c r="I173" s="19"/>
      <c r="J173" s="10" t="str">
        <f aca="false">IF(C173="","",C173-TargetKcal)</f>
        <v/>
      </c>
      <c r="K173" s="10" t="str">
        <f aca="false">IF(D173="","",D173-TargetProtein)</f>
        <v/>
      </c>
      <c r="L173" s="10" t="str">
        <f aca="false">IF(E173="","",E173-TargetFat)</f>
        <v/>
      </c>
      <c r="M173" s="10" t="str">
        <f aca="false">IF(F173="","",F173-TargetCarb)</f>
        <v/>
      </c>
      <c r="N173" s="10" t="str">
        <f aca="false">IF(COUNT(C173:F173)&lt;4,"",ROUND(4*D173+9*E173+4*F173-C173,0))</f>
        <v/>
      </c>
      <c r="O173" s="13" t="str">
        <f aca="false">IF(B173="","",IFERROR(AVERAGEIFS(Питание!$B$14:$B$378,Питание!$A$14:$A$378,"&gt;"&amp;$A173-7,Питание!$A$14:$A$378,"&lt;="&amp;$A173,Питание!$B$14:$B$378,"&gt;0"),""))</f>
        <v/>
      </c>
      <c r="P173" s="8" t="str">
        <f aca="false">IF(C173="","",IFERROR(AVERAGEIFS(Питание!$C$14:$C$378,Питание!$A$14:$A$378,"&gt;"&amp;$A173-7,Питание!$A$14:$A$378,"&lt;="&amp;$A173,Питание!$C$14:$C$378,"&gt;0"),""))</f>
        <v/>
      </c>
      <c r="Q173" s="8" t="str">
        <f aca="false">IF(D173="","",IFERROR(AVERAGEIFS(Питание!$D$14:$D$378,Питание!$A$14:$A$378,"&gt;"&amp;$A173-7,Питание!$A$14:$A$378,"&lt;="&amp;$A173,Питание!$D$14:$D$378,"&gt;0"),""))</f>
        <v/>
      </c>
      <c r="R173" s="14" t="str">
        <f aca="false">IF(O173="","",IFERROR(O173-AVERAGEIFS(Питание!$B$14:$B$378,Питание!$A$14:$A$378,"&gt;"&amp;$A173-14,Питание!$A$14:$A$378,"&lt;="&amp;$A173-7,Питание!$B$14:$B$378,"&gt;0"),""))</f>
        <v/>
      </c>
      <c r="S173" s="15" t="str">
        <f aca="false">IF(R173="","",R173/O173)</f>
        <v/>
      </c>
      <c r="T173" s="11" t="str">
        <f aca="false">IF(O173="","",O173-StartWeight)</f>
        <v/>
      </c>
    </row>
    <row r="174" customFormat="false" ht="15" hidden="false" customHeight="true" outlineLevel="0" collapsed="false">
      <c r="A174" s="16" t="n">
        <f aca="false">A173+1</f>
        <v>46454</v>
      </c>
      <c r="B174" s="17"/>
      <c r="C174" s="18"/>
      <c r="D174" s="18"/>
      <c r="E174" s="18"/>
      <c r="F174" s="18"/>
      <c r="G174" s="18"/>
      <c r="H174" s="17"/>
      <c r="I174" s="19"/>
      <c r="J174" s="10" t="str">
        <f aca="false">IF(C174="","",C174-TargetKcal)</f>
        <v/>
      </c>
      <c r="K174" s="10" t="str">
        <f aca="false">IF(D174="","",D174-TargetProtein)</f>
        <v/>
      </c>
      <c r="L174" s="10" t="str">
        <f aca="false">IF(E174="","",E174-TargetFat)</f>
        <v/>
      </c>
      <c r="M174" s="10" t="str">
        <f aca="false">IF(F174="","",F174-TargetCarb)</f>
        <v/>
      </c>
      <c r="N174" s="10" t="str">
        <f aca="false">IF(COUNT(C174:F174)&lt;4,"",ROUND(4*D174+9*E174+4*F174-C174,0))</f>
        <v/>
      </c>
      <c r="O174" s="13" t="str">
        <f aca="false">IF(B174="","",IFERROR(AVERAGEIFS(Питание!$B$14:$B$378,Питание!$A$14:$A$378,"&gt;"&amp;$A174-7,Питание!$A$14:$A$378,"&lt;="&amp;$A174,Питание!$B$14:$B$378,"&gt;0"),""))</f>
        <v/>
      </c>
      <c r="P174" s="8" t="str">
        <f aca="false">IF(C174="","",IFERROR(AVERAGEIFS(Питание!$C$14:$C$378,Питание!$A$14:$A$378,"&gt;"&amp;$A174-7,Питание!$A$14:$A$378,"&lt;="&amp;$A174,Питание!$C$14:$C$378,"&gt;0"),""))</f>
        <v/>
      </c>
      <c r="Q174" s="8" t="str">
        <f aca="false">IF(D174="","",IFERROR(AVERAGEIFS(Питание!$D$14:$D$378,Питание!$A$14:$A$378,"&gt;"&amp;$A174-7,Питание!$A$14:$A$378,"&lt;="&amp;$A174,Питание!$D$14:$D$378,"&gt;0"),""))</f>
        <v/>
      </c>
      <c r="R174" s="14" t="str">
        <f aca="false">IF(O174="","",IFERROR(O174-AVERAGEIFS(Питание!$B$14:$B$378,Питание!$A$14:$A$378,"&gt;"&amp;$A174-14,Питание!$A$14:$A$378,"&lt;="&amp;$A174-7,Питание!$B$14:$B$378,"&gt;0"),""))</f>
        <v/>
      </c>
      <c r="S174" s="15" t="str">
        <f aca="false">IF(R174="","",R174/O174)</f>
        <v/>
      </c>
      <c r="T174" s="11" t="str">
        <f aca="false">IF(O174="","",O174-StartWeight)</f>
        <v/>
      </c>
    </row>
    <row r="175" customFormat="false" ht="15" hidden="false" customHeight="true" outlineLevel="0" collapsed="false">
      <c r="A175" s="16" t="n">
        <f aca="false">A174+1</f>
        <v>46455</v>
      </c>
      <c r="B175" s="17"/>
      <c r="C175" s="18"/>
      <c r="D175" s="18"/>
      <c r="E175" s="18"/>
      <c r="F175" s="18"/>
      <c r="G175" s="18"/>
      <c r="H175" s="17"/>
      <c r="I175" s="19"/>
      <c r="J175" s="10" t="str">
        <f aca="false">IF(C175="","",C175-TargetKcal)</f>
        <v/>
      </c>
      <c r="K175" s="10" t="str">
        <f aca="false">IF(D175="","",D175-TargetProtein)</f>
        <v/>
      </c>
      <c r="L175" s="10" t="str">
        <f aca="false">IF(E175="","",E175-TargetFat)</f>
        <v/>
      </c>
      <c r="M175" s="10" t="str">
        <f aca="false">IF(F175="","",F175-TargetCarb)</f>
        <v/>
      </c>
      <c r="N175" s="10" t="str">
        <f aca="false">IF(COUNT(C175:F175)&lt;4,"",ROUND(4*D175+9*E175+4*F175-C175,0))</f>
        <v/>
      </c>
      <c r="O175" s="13" t="str">
        <f aca="false">IF(B175="","",IFERROR(AVERAGEIFS(Питание!$B$14:$B$378,Питание!$A$14:$A$378,"&gt;"&amp;$A175-7,Питание!$A$14:$A$378,"&lt;="&amp;$A175,Питание!$B$14:$B$378,"&gt;0"),""))</f>
        <v/>
      </c>
      <c r="P175" s="8" t="str">
        <f aca="false">IF(C175="","",IFERROR(AVERAGEIFS(Питание!$C$14:$C$378,Питание!$A$14:$A$378,"&gt;"&amp;$A175-7,Питание!$A$14:$A$378,"&lt;="&amp;$A175,Питание!$C$14:$C$378,"&gt;0"),""))</f>
        <v/>
      </c>
      <c r="Q175" s="8" t="str">
        <f aca="false">IF(D175="","",IFERROR(AVERAGEIFS(Питание!$D$14:$D$378,Питание!$A$14:$A$378,"&gt;"&amp;$A175-7,Питание!$A$14:$A$378,"&lt;="&amp;$A175,Питание!$D$14:$D$378,"&gt;0"),""))</f>
        <v/>
      </c>
      <c r="R175" s="14" t="str">
        <f aca="false">IF(O175="","",IFERROR(O175-AVERAGEIFS(Питание!$B$14:$B$378,Питание!$A$14:$A$378,"&gt;"&amp;$A175-14,Питание!$A$14:$A$378,"&lt;="&amp;$A175-7,Питание!$B$14:$B$378,"&gt;0"),""))</f>
        <v/>
      </c>
      <c r="S175" s="15" t="str">
        <f aca="false">IF(R175="","",R175/O175)</f>
        <v/>
      </c>
      <c r="T175" s="11" t="str">
        <f aca="false">IF(O175="","",O175-StartWeight)</f>
        <v/>
      </c>
    </row>
    <row r="176" customFormat="false" ht="15" hidden="false" customHeight="true" outlineLevel="0" collapsed="false">
      <c r="A176" s="16" t="n">
        <f aca="false">A175+1</f>
        <v>46456</v>
      </c>
      <c r="B176" s="17"/>
      <c r="C176" s="18"/>
      <c r="D176" s="18"/>
      <c r="E176" s="18"/>
      <c r="F176" s="18"/>
      <c r="G176" s="18"/>
      <c r="H176" s="17"/>
      <c r="I176" s="19"/>
      <c r="J176" s="10" t="str">
        <f aca="false">IF(C176="","",C176-TargetKcal)</f>
        <v/>
      </c>
      <c r="K176" s="10" t="str">
        <f aca="false">IF(D176="","",D176-TargetProtein)</f>
        <v/>
      </c>
      <c r="L176" s="10" t="str">
        <f aca="false">IF(E176="","",E176-TargetFat)</f>
        <v/>
      </c>
      <c r="M176" s="10" t="str">
        <f aca="false">IF(F176="","",F176-TargetCarb)</f>
        <v/>
      </c>
      <c r="N176" s="10" t="str">
        <f aca="false">IF(COUNT(C176:F176)&lt;4,"",ROUND(4*D176+9*E176+4*F176-C176,0))</f>
        <v/>
      </c>
      <c r="O176" s="13" t="str">
        <f aca="false">IF(B176="","",IFERROR(AVERAGEIFS(Питание!$B$14:$B$378,Питание!$A$14:$A$378,"&gt;"&amp;$A176-7,Питание!$A$14:$A$378,"&lt;="&amp;$A176,Питание!$B$14:$B$378,"&gt;0"),""))</f>
        <v/>
      </c>
      <c r="P176" s="8" t="str">
        <f aca="false">IF(C176="","",IFERROR(AVERAGEIFS(Питание!$C$14:$C$378,Питание!$A$14:$A$378,"&gt;"&amp;$A176-7,Питание!$A$14:$A$378,"&lt;="&amp;$A176,Питание!$C$14:$C$378,"&gt;0"),""))</f>
        <v/>
      </c>
      <c r="Q176" s="8" t="str">
        <f aca="false">IF(D176="","",IFERROR(AVERAGEIFS(Питание!$D$14:$D$378,Питание!$A$14:$A$378,"&gt;"&amp;$A176-7,Питание!$A$14:$A$378,"&lt;="&amp;$A176,Питание!$D$14:$D$378,"&gt;0"),""))</f>
        <v/>
      </c>
      <c r="R176" s="14" t="str">
        <f aca="false">IF(O176="","",IFERROR(O176-AVERAGEIFS(Питание!$B$14:$B$378,Питание!$A$14:$A$378,"&gt;"&amp;$A176-14,Питание!$A$14:$A$378,"&lt;="&amp;$A176-7,Питание!$B$14:$B$378,"&gt;0"),""))</f>
        <v/>
      </c>
      <c r="S176" s="15" t="str">
        <f aca="false">IF(R176="","",R176/O176)</f>
        <v/>
      </c>
      <c r="T176" s="11" t="str">
        <f aca="false">IF(O176="","",O176-StartWeight)</f>
        <v/>
      </c>
    </row>
    <row r="177" customFormat="false" ht="15" hidden="false" customHeight="true" outlineLevel="0" collapsed="false">
      <c r="A177" s="16" t="n">
        <f aca="false">A176+1</f>
        <v>46457</v>
      </c>
      <c r="B177" s="17"/>
      <c r="C177" s="18"/>
      <c r="D177" s="18"/>
      <c r="E177" s="18"/>
      <c r="F177" s="18"/>
      <c r="G177" s="18"/>
      <c r="H177" s="17"/>
      <c r="I177" s="19"/>
      <c r="J177" s="10" t="str">
        <f aca="false">IF(C177="","",C177-TargetKcal)</f>
        <v/>
      </c>
      <c r="K177" s="10" t="str">
        <f aca="false">IF(D177="","",D177-TargetProtein)</f>
        <v/>
      </c>
      <c r="L177" s="10" t="str">
        <f aca="false">IF(E177="","",E177-TargetFat)</f>
        <v/>
      </c>
      <c r="M177" s="10" t="str">
        <f aca="false">IF(F177="","",F177-TargetCarb)</f>
        <v/>
      </c>
      <c r="N177" s="10" t="str">
        <f aca="false">IF(COUNT(C177:F177)&lt;4,"",ROUND(4*D177+9*E177+4*F177-C177,0))</f>
        <v/>
      </c>
      <c r="O177" s="13" t="str">
        <f aca="false">IF(B177="","",IFERROR(AVERAGEIFS(Питание!$B$14:$B$378,Питание!$A$14:$A$378,"&gt;"&amp;$A177-7,Питание!$A$14:$A$378,"&lt;="&amp;$A177,Питание!$B$14:$B$378,"&gt;0"),""))</f>
        <v/>
      </c>
      <c r="P177" s="8" t="str">
        <f aca="false">IF(C177="","",IFERROR(AVERAGEIFS(Питание!$C$14:$C$378,Питание!$A$14:$A$378,"&gt;"&amp;$A177-7,Питание!$A$14:$A$378,"&lt;="&amp;$A177,Питание!$C$14:$C$378,"&gt;0"),""))</f>
        <v/>
      </c>
      <c r="Q177" s="8" t="str">
        <f aca="false">IF(D177="","",IFERROR(AVERAGEIFS(Питание!$D$14:$D$378,Питание!$A$14:$A$378,"&gt;"&amp;$A177-7,Питание!$A$14:$A$378,"&lt;="&amp;$A177,Питание!$D$14:$D$378,"&gt;0"),""))</f>
        <v/>
      </c>
      <c r="R177" s="14" t="str">
        <f aca="false">IF(O177="","",IFERROR(O177-AVERAGEIFS(Питание!$B$14:$B$378,Питание!$A$14:$A$378,"&gt;"&amp;$A177-14,Питание!$A$14:$A$378,"&lt;="&amp;$A177-7,Питание!$B$14:$B$378,"&gt;0"),""))</f>
        <v/>
      </c>
      <c r="S177" s="15" t="str">
        <f aca="false">IF(R177="","",R177/O177)</f>
        <v/>
      </c>
      <c r="T177" s="11" t="str">
        <f aca="false">IF(O177="","",O177-StartWeight)</f>
        <v/>
      </c>
    </row>
    <row r="178" customFormat="false" ht="15" hidden="false" customHeight="true" outlineLevel="0" collapsed="false">
      <c r="A178" s="16" t="n">
        <f aca="false">A177+1</f>
        <v>46458</v>
      </c>
      <c r="B178" s="17"/>
      <c r="C178" s="18"/>
      <c r="D178" s="18"/>
      <c r="E178" s="18"/>
      <c r="F178" s="18"/>
      <c r="G178" s="18"/>
      <c r="H178" s="17"/>
      <c r="I178" s="19"/>
      <c r="J178" s="10" t="str">
        <f aca="false">IF(C178="","",C178-TargetKcal)</f>
        <v/>
      </c>
      <c r="K178" s="10" t="str">
        <f aca="false">IF(D178="","",D178-TargetProtein)</f>
        <v/>
      </c>
      <c r="L178" s="10" t="str">
        <f aca="false">IF(E178="","",E178-TargetFat)</f>
        <v/>
      </c>
      <c r="M178" s="10" t="str">
        <f aca="false">IF(F178="","",F178-TargetCarb)</f>
        <v/>
      </c>
      <c r="N178" s="10" t="str">
        <f aca="false">IF(COUNT(C178:F178)&lt;4,"",ROUND(4*D178+9*E178+4*F178-C178,0))</f>
        <v/>
      </c>
      <c r="O178" s="13" t="str">
        <f aca="false">IF(B178="","",IFERROR(AVERAGEIFS(Питание!$B$14:$B$378,Питание!$A$14:$A$378,"&gt;"&amp;$A178-7,Питание!$A$14:$A$378,"&lt;="&amp;$A178,Питание!$B$14:$B$378,"&gt;0"),""))</f>
        <v/>
      </c>
      <c r="P178" s="8" t="str">
        <f aca="false">IF(C178="","",IFERROR(AVERAGEIFS(Питание!$C$14:$C$378,Питание!$A$14:$A$378,"&gt;"&amp;$A178-7,Питание!$A$14:$A$378,"&lt;="&amp;$A178,Питание!$C$14:$C$378,"&gt;0"),""))</f>
        <v/>
      </c>
      <c r="Q178" s="8" t="str">
        <f aca="false">IF(D178="","",IFERROR(AVERAGEIFS(Питание!$D$14:$D$378,Питание!$A$14:$A$378,"&gt;"&amp;$A178-7,Питание!$A$14:$A$378,"&lt;="&amp;$A178,Питание!$D$14:$D$378,"&gt;0"),""))</f>
        <v/>
      </c>
      <c r="R178" s="14" t="str">
        <f aca="false">IF(O178="","",IFERROR(O178-AVERAGEIFS(Питание!$B$14:$B$378,Питание!$A$14:$A$378,"&gt;"&amp;$A178-14,Питание!$A$14:$A$378,"&lt;="&amp;$A178-7,Питание!$B$14:$B$378,"&gt;0"),""))</f>
        <v/>
      </c>
      <c r="S178" s="15" t="str">
        <f aca="false">IF(R178="","",R178/O178)</f>
        <v/>
      </c>
      <c r="T178" s="11" t="str">
        <f aca="false">IF(O178="","",O178-StartWeight)</f>
        <v/>
      </c>
    </row>
    <row r="179" customFormat="false" ht="15" hidden="false" customHeight="true" outlineLevel="0" collapsed="false">
      <c r="A179" s="16" t="n">
        <f aca="false">A178+1</f>
        <v>46459</v>
      </c>
      <c r="B179" s="17"/>
      <c r="C179" s="18"/>
      <c r="D179" s="18"/>
      <c r="E179" s="18"/>
      <c r="F179" s="18"/>
      <c r="G179" s="18"/>
      <c r="H179" s="17"/>
      <c r="I179" s="19"/>
      <c r="J179" s="10" t="str">
        <f aca="false">IF(C179="","",C179-TargetKcal)</f>
        <v/>
      </c>
      <c r="K179" s="10" t="str">
        <f aca="false">IF(D179="","",D179-TargetProtein)</f>
        <v/>
      </c>
      <c r="L179" s="10" t="str">
        <f aca="false">IF(E179="","",E179-TargetFat)</f>
        <v/>
      </c>
      <c r="M179" s="10" t="str">
        <f aca="false">IF(F179="","",F179-TargetCarb)</f>
        <v/>
      </c>
      <c r="N179" s="10" t="str">
        <f aca="false">IF(COUNT(C179:F179)&lt;4,"",ROUND(4*D179+9*E179+4*F179-C179,0))</f>
        <v/>
      </c>
      <c r="O179" s="13" t="str">
        <f aca="false">IF(B179="","",IFERROR(AVERAGEIFS(Питание!$B$14:$B$378,Питание!$A$14:$A$378,"&gt;"&amp;$A179-7,Питание!$A$14:$A$378,"&lt;="&amp;$A179,Питание!$B$14:$B$378,"&gt;0"),""))</f>
        <v/>
      </c>
      <c r="P179" s="8" t="str">
        <f aca="false">IF(C179="","",IFERROR(AVERAGEIFS(Питание!$C$14:$C$378,Питание!$A$14:$A$378,"&gt;"&amp;$A179-7,Питание!$A$14:$A$378,"&lt;="&amp;$A179,Питание!$C$14:$C$378,"&gt;0"),""))</f>
        <v/>
      </c>
      <c r="Q179" s="8" t="str">
        <f aca="false">IF(D179="","",IFERROR(AVERAGEIFS(Питание!$D$14:$D$378,Питание!$A$14:$A$378,"&gt;"&amp;$A179-7,Питание!$A$14:$A$378,"&lt;="&amp;$A179,Питание!$D$14:$D$378,"&gt;0"),""))</f>
        <v/>
      </c>
      <c r="R179" s="14" t="str">
        <f aca="false">IF(O179="","",IFERROR(O179-AVERAGEIFS(Питание!$B$14:$B$378,Питание!$A$14:$A$378,"&gt;"&amp;$A179-14,Питание!$A$14:$A$378,"&lt;="&amp;$A179-7,Питание!$B$14:$B$378,"&gt;0"),""))</f>
        <v/>
      </c>
      <c r="S179" s="15" t="str">
        <f aca="false">IF(R179="","",R179/O179)</f>
        <v/>
      </c>
      <c r="T179" s="11" t="str">
        <f aca="false">IF(O179="","",O179-StartWeight)</f>
        <v/>
      </c>
    </row>
    <row r="180" customFormat="false" ht="15" hidden="false" customHeight="true" outlineLevel="0" collapsed="false">
      <c r="A180" s="16" t="n">
        <f aca="false">A179+1</f>
        <v>46460</v>
      </c>
      <c r="B180" s="17"/>
      <c r="C180" s="18"/>
      <c r="D180" s="18"/>
      <c r="E180" s="18"/>
      <c r="F180" s="18"/>
      <c r="G180" s="18"/>
      <c r="H180" s="17"/>
      <c r="I180" s="19"/>
      <c r="J180" s="10" t="str">
        <f aca="false">IF(C180="","",C180-TargetKcal)</f>
        <v/>
      </c>
      <c r="K180" s="10" t="str">
        <f aca="false">IF(D180="","",D180-TargetProtein)</f>
        <v/>
      </c>
      <c r="L180" s="10" t="str">
        <f aca="false">IF(E180="","",E180-TargetFat)</f>
        <v/>
      </c>
      <c r="M180" s="10" t="str">
        <f aca="false">IF(F180="","",F180-TargetCarb)</f>
        <v/>
      </c>
      <c r="N180" s="10" t="str">
        <f aca="false">IF(COUNT(C180:F180)&lt;4,"",ROUND(4*D180+9*E180+4*F180-C180,0))</f>
        <v/>
      </c>
      <c r="O180" s="13" t="str">
        <f aca="false">IF(B180="","",IFERROR(AVERAGEIFS(Питание!$B$14:$B$378,Питание!$A$14:$A$378,"&gt;"&amp;$A180-7,Питание!$A$14:$A$378,"&lt;="&amp;$A180,Питание!$B$14:$B$378,"&gt;0"),""))</f>
        <v/>
      </c>
      <c r="P180" s="8" t="str">
        <f aca="false">IF(C180="","",IFERROR(AVERAGEIFS(Питание!$C$14:$C$378,Питание!$A$14:$A$378,"&gt;"&amp;$A180-7,Питание!$A$14:$A$378,"&lt;="&amp;$A180,Питание!$C$14:$C$378,"&gt;0"),""))</f>
        <v/>
      </c>
      <c r="Q180" s="8" t="str">
        <f aca="false">IF(D180="","",IFERROR(AVERAGEIFS(Питание!$D$14:$D$378,Питание!$A$14:$A$378,"&gt;"&amp;$A180-7,Питание!$A$14:$A$378,"&lt;="&amp;$A180,Питание!$D$14:$D$378,"&gt;0"),""))</f>
        <v/>
      </c>
      <c r="R180" s="14" t="str">
        <f aca="false">IF(O180="","",IFERROR(O180-AVERAGEIFS(Питание!$B$14:$B$378,Питание!$A$14:$A$378,"&gt;"&amp;$A180-14,Питание!$A$14:$A$378,"&lt;="&amp;$A180-7,Питание!$B$14:$B$378,"&gt;0"),""))</f>
        <v/>
      </c>
      <c r="S180" s="15" t="str">
        <f aca="false">IF(R180="","",R180/O180)</f>
        <v/>
      </c>
      <c r="T180" s="11" t="str">
        <f aca="false">IF(O180="","",O180-StartWeight)</f>
        <v/>
      </c>
    </row>
    <row r="181" customFormat="false" ht="15" hidden="false" customHeight="true" outlineLevel="0" collapsed="false">
      <c r="A181" s="16" t="n">
        <f aca="false">A180+1</f>
        <v>46461</v>
      </c>
      <c r="B181" s="17"/>
      <c r="C181" s="18"/>
      <c r="D181" s="18"/>
      <c r="E181" s="18"/>
      <c r="F181" s="18"/>
      <c r="G181" s="18"/>
      <c r="H181" s="17"/>
      <c r="I181" s="19"/>
      <c r="J181" s="10" t="str">
        <f aca="false">IF(C181="","",C181-TargetKcal)</f>
        <v/>
      </c>
      <c r="K181" s="10" t="str">
        <f aca="false">IF(D181="","",D181-TargetProtein)</f>
        <v/>
      </c>
      <c r="L181" s="10" t="str">
        <f aca="false">IF(E181="","",E181-TargetFat)</f>
        <v/>
      </c>
      <c r="M181" s="10" t="str">
        <f aca="false">IF(F181="","",F181-TargetCarb)</f>
        <v/>
      </c>
      <c r="N181" s="10" t="str">
        <f aca="false">IF(COUNT(C181:F181)&lt;4,"",ROUND(4*D181+9*E181+4*F181-C181,0))</f>
        <v/>
      </c>
      <c r="O181" s="13" t="str">
        <f aca="false">IF(B181="","",IFERROR(AVERAGEIFS(Питание!$B$14:$B$378,Питание!$A$14:$A$378,"&gt;"&amp;$A181-7,Питание!$A$14:$A$378,"&lt;="&amp;$A181,Питание!$B$14:$B$378,"&gt;0"),""))</f>
        <v/>
      </c>
      <c r="P181" s="8" t="str">
        <f aca="false">IF(C181="","",IFERROR(AVERAGEIFS(Питание!$C$14:$C$378,Питание!$A$14:$A$378,"&gt;"&amp;$A181-7,Питание!$A$14:$A$378,"&lt;="&amp;$A181,Питание!$C$14:$C$378,"&gt;0"),""))</f>
        <v/>
      </c>
      <c r="Q181" s="8" t="str">
        <f aca="false">IF(D181="","",IFERROR(AVERAGEIFS(Питание!$D$14:$D$378,Питание!$A$14:$A$378,"&gt;"&amp;$A181-7,Питание!$A$14:$A$378,"&lt;="&amp;$A181,Питание!$D$14:$D$378,"&gt;0"),""))</f>
        <v/>
      </c>
      <c r="R181" s="14" t="str">
        <f aca="false">IF(O181="","",IFERROR(O181-AVERAGEIFS(Питание!$B$14:$B$378,Питание!$A$14:$A$378,"&gt;"&amp;$A181-14,Питание!$A$14:$A$378,"&lt;="&amp;$A181-7,Питание!$B$14:$B$378,"&gt;0"),""))</f>
        <v/>
      </c>
      <c r="S181" s="15" t="str">
        <f aca="false">IF(R181="","",R181/O181)</f>
        <v/>
      </c>
      <c r="T181" s="11" t="str">
        <f aca="false">IF(O181="","",O181-StartWeight)</f>
        <v/>
      </c>
    </row>
    <row r="182" customFormat="false" ht="15" hidden="false" customHeight="true" outlineLevel="0" collapsed="false">
      <c r="A182" s="16" t="n">
        <f aca="false">A181+1</f>
        <v>46462</v>
      </c>
      <c r="B182" s="17"/>
      <c r="C182" s="18"/>
      <c r="D182" s="18"/>
      <c r="E182" s="18"/>
      <c r="F182" s="18"/>
      <c r="G182" s="18"/>
      <c r="H182" s="17"/>
      <c r="I182" s="19"/>
      <c r="J182" s="10" t="str">
        <f aca="false">IF(C182="","",C182-TargetKcal)</f>
        <v/>
      </c>
      <c r="K182" s="10" t="str">
        <f aca="false">IF(D182="","",D182-TargetProtein)</f>
        <v/>
      </c>
      <c r="L182" s="10" t="str">
        <f aca="false">IF(E182="","",E182-TargetFat)</f>
        <v/>
      </c>
      <c r="M182" s="10" t="str">
        <f aca="false">IF(F182="","",F182-TargetCarb)</f>
        <v/>
      </c>
      <c r="N182" s="10" t="str">
        <f aca="false">IF(COUNT(C182:F182)&lt;4,"",ROUND(4*D182+9*E182+4*F182-C182,0))</f>
        <v/>
      </c>
      <c r="O182" s="13" t="str">
        <f aca="false">IF(B182="","",IFERROR(AVERAGEIFS(Питание!$B$14:$B$378,Питание!$A$14:$A$378,"&gt;"&amp;$A182-7,Питание!$A$14:$A$378,"&lt;="&amp;$A182,Питание!$B$14:$B$378,"&gt;0"),""))</f>
        <v/>
      </c>
      <c r="P182" s="8" t="str">
        <f aca="false">IF(C182="","",IFERROR(AVERAGEIFS(Питание!$C$14:$C$378,Питание!$A$14:$A$378,"&gt;"&amp;$A182-7,Питание!$A$14:$A$378,"&lt;="&amp;$A182,Питание!$C$14:$C$378,"&gt;0"),""))</f>
        <v/>
      </c>
      <c r="Q182" s="8" t="str">
        <f aca="false">IF(D182="","",IFERROR(AVERAGEIFS(Питание!$D$14:$D$378,Питание!$A$14:$A$378,"&gt;"&amp;$A182-7,Питание!$A$14:$A$378,"&lt;="&amp;$A182,Питание!$D$14:$D$378,"&gt;0"),""))</f>
        <v/>
      </c>
      <c r="R182" s="14" t="str">
        <f aca="false">IF(O182="","",IFERROR(O182-AVERAGEIFS(Питание!$B$14:$B$378,Питание!$A$14:$A$378,"&gt;"&amp;$A182-14,Питание!$A$14:$A$378,"&lt;="&amp;$A182-7,Питание!$B$14:$B$378,"&gt;0"),""))</f>
        <v/>
      </c>
      <c r="S182" s="15" t="str">
        <f aca="false">IF(R182="","",R182/O182)</f>
        <v/>
      </c>
      <c r="T182" s="11" t="str">
        <f aca="false">IF(O182="","",O182-StartWeight)</f>
        <v/>
      </c>
    </row>
    <row r="183" customFormat="false" ht="15" hidden="false" customHeight="true" outlineLevel="0" collapsed="false">
      <c r="A183" s="16" t="n">
        <f aca="false">A182+1</f>
        <v>46463</v>
      </c>
      <c r="B183" s="17"/>
      <c r="C183" s="18"/>
      <c r="D183" s="18"/>
      <c r="E183" s="18"/>
      <c r="F183" s="18"/>
      <c r="G183" s="18"/>
      <c r="H183" s="17"/>
      <c r="I183" s="19"/>
      <c r="J183" s="10" t="str">
        <f aca="false">IF(C183="","",C183-TargetKcal)</f>
        <v/>
      </c>
      <c r="K183" s="10" t="str">
        <f aca="false">IF(D183="","",D183-TargetProtein)</f>
        <v/>
      </c>
      <c r="L183" s="10" t="str">
        <f aca="false">IF(E183="","",E183-TargetFat)</f>
        <v/>
      </c>
      <c r="M183" s="10" t="str">
        <f aca="false">IF(F183="","",F183-TargetCarb)</f>
        <v/>
      </c>
      <c r="N183" s="10" t="str">
        <f aca="false">IF(COUNT(C183:F183)&lt;4,"",ROUND(4*D183+9*E183+4*F183-C183,0))</f>
        <v/>
      </c>
      <c r="O183" s="13" t="str">
        <f aca="false">IF(B183="","",IFERROR(AVERAGEIFS(Питание!$B$14:$B$378,Питание!$A$14:$A$378,"&gt;"&amp;$A183-7,Питание!$A$14:$A$378,"&lt;="&amp;$A183,Питание!$B$14:$B$378,"&gt;0"),""))</f>
        <v/>
      </c>
      <c r="P183" s="8" t="str">
        <f aca="false">IF(C183="","",IFERROR(AVERAGEIFS(Питание!$C$14:$C$378,Питание!$A$14:$A$378,"&gt;"&amp;$A183-7,Питание!$A$14:$A$378,"&lt;="&amp;$A183,Питание!$C$14:$C$378,"&gt;0"),""))</f>
        <v/>
      </c>
      <c r="Q183" s="8" t="str">
        <f aca="false">IF(D183="","",IFERROR(AVERAGEIFS(Питание!$D$14:$D$378,Питание!$A$14:$A$378,"&gt;"&amp;$A183-7,Питание!$A$14:$A$378,"&lt;="&amp;$A183,Питание!$D$14:$D$378,"&gt;0"),""))</f>
        <v/>
      </c>
      <c r="R183" s="14" t="str">
        <f aca="false">IF(O183="","",IFERROR(O183-AVERAGEIFS(Питание!$B$14:$B$378,Питание!$A$14:$A$378,"&gt;"&amp;$A183-14,Питание!$A$14:$A$378,"&lt;="&amp;$A183-7,Питание!$B$14:$B$378,"&gt;0"),""))</f>
        <v/>
      </c>
      <c r="S183" s="15" t="str">
        <f aca="false">IF(R183="","",R183/O183)</f>
        <v/>
      </c>
      <c r="T183" s="11" t="str">
        <f aca="false">IF(O183="","",O183-StartWeight)</f>
        <v/>
      </c>
    </row>
    <row r="184" customFormat="false" ht="15" hidden="false" customHeight="true" outlineLevel="0" collapsed="false">
      <c r="A184" s="16" t="n">
        <f aca="false">A183+1</f>
        <v>46464</v>
      </c>
      <c r="B184" s="17"/>
      <c r="C184" s="18"/>
      <c r="D184" s="18"/>
      <c r="E184" s="18"/>
      <c r="F184" s="18"/>
      <c r="G184" s="18"/>
      <c r="H184" s="17"/>
      <c r="I184" s="19"/>
      <c r="J184" s="10" t="str">
        <f aca="false">IF(C184="","",C184-TargetKcal)</f>
        <v/>
      </c>
      <c r="K184" s="10" t="str">
        <f aca="false">IF(D184="","",D184-TargetProtein)</f>
        <v/>
      </c>
      <c r="L184" s="10" t="str">
        <f aca="false">IF(E184="","",E184-TargetFat)</f>
        <v/>
      </c>
      <c r="M184" s="10" t="str">
        <f aca="false">IF(F184="","",F184-TargetCarb)</f>
        <v/>
      </c>
      <c r="N184" s="10" t="str">
        <f aca="false">IF(COUNT(C184:F184)&lt;4,"",ROUND(4*D184+9*E184+4*F184-C184,0))</f>
        <v/>
      </c>
      <c r="O184" s="13" t="str">
        <f aca="false">IF(B184="","",IFERROR(AVERAGEIFS(Питание!$B$14:$B$378,Питание!$A$14:$A$378,"&gt;"&amp;$A184-7,Питание!$A$14:$A$378,"&lt;="&amp;$A184,Питание!$B$14:$B$378,"&gt;0"),""))</f>
        <v/>
      </c>
      <c r="P184" s="8" t="str">
        <f aca="false">IF(C184="","",IFERROR(AVERAGEIFS(Питание!$C$14:$C$378,Питание!$A$14:$A$378,"&gt;"&amp;$A184-7,Питание!$A$14:$A$378,"&lt;="&amp;$A184,Питание!$C$14:$C$378,"&gt;0"),""))</f>
        <v/>
      </c>
      <c r="Q184" s="8" t="str">
        <f aca="false">IF(D184="","",IFERROR(AVERAGEIFS(Питание!$D$14:$D$378,Питание!$A$14:$A$378,"&gt;"&amp;$A184-7,Питание!$A$14:$A$378,"&lt;="&amp;$A184,Питание!$D$14:$D$378,"&gt;0"),""))</f>
        <v/>
      </c>
      <c r="R184" s="14" t="str">
        <f aca="false">IF(O184="","",IFERROR(O184-AVERAGEIFS(Питание!$B$14:$B$378,Питание!$A$14:$A$378,"&gt;"&amp;$A184-14,Питание!$A$14:$A$378,"&lt;="&amp;$A184-7,Питание!$B$14:$B$378,"&gt;0"),""))</f>
        <v/>
      </c>
      <c r="S184" s="15" t="str">
        <f aca="false">IF(R184="","",R184/O184)</f>
        <v/>
      </c>
      <c r="T184" s="11" t="str">
        <f aca="false">IF(O184="","",O184-StartWeight)</f>
        <v/>
      </c>
    </row>
    <row r="185" customFormat="false" ht="15" hidden="false" customHeight="true" outlineLevel="0" collapsed="false">
      <c r="A185" s="16" t="n">
        <f aca="false">A184+1</f>
        <v>46465</v>
      </c>
      <c r="B185" s="17"/>
      <c r="C185" s="18"/>
      <c r="D185" s="18"/>
      <c r="E185" s="18"/>
      <c r="F185" s="18"/>
      <c r="G185" s="18"/>
      <c r="H185" s="17"/>
      <c r="I185" s="19"/>
      <c r="J185" s="10" t="str">
        <f aca="false">IF(C185="","",C185-TargetKcal)</f>
        <v/>
      </c>
      <c r="K185" s="10" t="str">
        <f aca="false">IF(D185="","",D185-TargetProtein)</f>
        <v/>
      </c>
      <c r="L185" s="10" t="str">
        <f aca="false">IF(E185="","",E185-TargetFat)</f>
        <v/>
      </c>
      <c r="M185" s="10" t="str">
        <f aca="false">IF(F185="","",F185-TargetCarb)</f>
        <v/>
      </c>
      <c r="N185" s="10" t="str">
        <f aca="false">IF(COUNT(C185:F185)&lt;4,"",ROUND(4*D185+9*E185+4*F185-C185,0))</f>
        <v/>
      </c>
      <c r="O185" s="13" t="str">
        <f aca="false">IF(B185="","",IFERROR(AVERAGEIFS(Питание!$B$14:$B$378,Питание!$A$14:$A$378,"&gt;"&amp;$A185-7,Питание!$A$14:$A$378,"&lt;="&amp;$A185,Питание!$B$14:$B$378,"&gt;0"),""))</f>
        <v/>
      </c>
      <c r="P185" s="8" t="str">
        <f aca="false">IF(C185="","",IFERROR(AVERAGEIFS(Питание!$C$14:$C$378,Питание!$A$14:$A$378,"&gt;"&amp;$A185-7,Питание!$A$14:$A$378,"&lt;="&amp;$A185,Питание!$C$14:$C$378,"&gt;0"),""))</f>
        <v/>
      </c>
      <c r="Q185" s="8" t="str">
        <f aca="false">IF(D185="","",IFERROR(AVERAGEIFS(Питание!$D$14:$D$378,Питание!$A$14:$A$378,"&gt;"&amp;$A185-7,Питание!$A$14:$A$378,"&lt;="&amp;$A185,Питание!$D$14:$D$378,"&gt;0"),""))</f>
        <v/>
      </c>
      <c r="R185" s="14" t="str">
        <f aca="false">IF(O185="","",IFERROR(O185-AVERAGEIFS(Питание!$B$14:$B$378,Питание!$A$14:$A$378,"&gt;"&amp;$A185-14,Питание!$A$14:$A$378,"&lt;="&amp;$A185-7,Питание!$B$14:$B$378,"&gt;0"),""))</f>
        <v/>
      </c>
      <c r="S185" s="15" t="str">
        <f aca="false">IF(R185="","",R185/O185)</f>
        <v/>
      </c>
      <c r="T185" s="11" t="str">
        <f aca="false">IF(O185="","",O185-StartWeight)</f>
        <v/>
      </c>
    </row>
    <row r="186" customFormat="false" ht="15" hidden="false" customHeight="true" outlineLevel="0" collapsed="false">
      <c r="A186" s="16" t="n">
        <f aca="false">A185+1</f>
        <v>46466</v>
      </c>
      <c r="B186" s="17"/>
      <c r="C186" s="18"/>
      <c r="D186" s="18"/>
      <c r="E186" s="18"/>
      <c r="F186" s="18"/>
      <c r="G186" s="18"/>
      <c r="H186" s="17"/>
      <c r="I186" s="19"/>
      <c r="J186" s="10" t="str">
        <f aca="false">IF(C186="","",C186-TargetKcal)</f>
        <v/>
      </c>
      <c r="K186" s="10" t="str">
        <f aca="false">IF(D186="","",D186-TargetProtein)</f>
        <v/>
      </c>
      <c r="L186" s="10" t="str">
        <f aca="false">IF(E186="","",E186-TargetFat)</f>
        <v/>
      </c>
      <c r="M186" s="10" t="str">
        <f aca="false">IF(F186="","",F186-TargetCarb)</f>
        <v/>
      </c>
      <c r="N186" s="10" t="str">
        <f aca="false">IF(COUNT(C186:F186)&lt;4,"",ROUND(4*D186+9*E186+4*F186-C186,0))</f>
        <v/>
      </c>
      <c r="O186" s="13" t="str">
        <f aca="false">IF(B186="","",IFERROR(AVERAGEIFS(Питание!$B$14:$B$378,Питание!$A$14:$A$378,"&gt;"&amp;$A186-7,Питание!$A$14:$A$378,"&lt;="&amp;$A186,Питание!$B$14:$B$378,"&gt;0"),""))</f>
        <v/>
      </c>
      <c r="P186" s="8" t="str">
        <f aca="false">IF(C186="","",IFERROR(AVERAGEIFS(Питание!$C$14:$C$378,Питание!$A$14:$A$378,"&gt;"&amp;$A186-7,Питание!$A$14:$A$378,"&lt;="&amp;$A186,Питание!$C$14:$C$378,"&gt;0"),""))</f>
        <v/>
      </c>
      <c r="Q186" s="8" t="str">
        <f aca="false">IF(D186="","",IFERROR(AVERAGEIFS(Питание!$D$14:$D$378,Питание!$A$14:$A$378,"&gt;"&amp;$A186-7,Питание!$A$14:$A$378,"&lt;="&amp;$A186,Питание!$D$14:$D$378,"&gt;0"),""))</f>
        <v/>
      </c>
      <c r="R186" s="14" t="str">
        <f aca="false">IF(O186="","",IFERROR(O186-AVERAGEIFS(Питание!$B$14:$B$378,Питание!$A$14:$A$378,"&gt;"&amp;$A186-14,Питание!$A$14:$A$378,"&lt;="&amp;$A186-7,Питание!$B$14:$B$378,"&gt;0"),""))</f>
        <v/>
      </c>
      <c r="S186" s="15" t="str">
        <f aca="false">IF(R186="","",R186/O186)</f>
        <v/>
      </c>
      <c r="T186" s="11" t="str">
        <f aca="false">IF(O186="","",O186-StartWeight)</f>
        <v/>
      </c>
    </row>
    <row r="187" customFormat="false" ht="15" hidden="false" customHeight="true" outlineLevel="0" collapsed="false">
      <c r="A187" s="16" t="n">
        <f aca="false">A186+1</f>
        <v>46467</v>
      </c>
      <c r="B187" s="17"/>
      <c r="C187" s="18"/>
      <c r="D187" s="18"/>
      <c r="E187" s="18"/>
      <c r="F187" s="18"/>
      <c r="G187" s="18"/>
      <c r="H187" s="17"/>
      <c r="I187" s="19"/>
      <c r="J187" s="10" t="str">
        <f aca="false">IF(C187="","",C187-TargetKcal)</f>
        <v/>
      </c>
      <c r="K187" s="10" t="str">
        <f aca="false">IF(D187="","",D187-TargetProtein)</f>
        <v/>
      </c>
      <c r="L187" s="10" t="str">
        <f aca="false">IF(E187="","",E187-TargetFat)</f>
        <v/>
      </c>
      <c r="M187" s="10" t="str">
        <f aca="false">IF(F187="","",F187-TargetCarb)</f>
        <v/>
      </c>
      <c r="N187" s="10" t="str">
        <f aca="false">IF(COUNT(C187:F187)&lt;4,"",ROUND(4*D187+9*E187+4*F187-C187,0))</f>
        <v/>
      </c>
      <c r="O187" s="13" t="str">
        <f aca="false">IF(B187="","",IFERROR(AVERAGEIFS(Питание!$B$14:$B$378,Питание!$A$14:$A$378,"&gt;"&amp;$A187-7,Питание!$A$14:$A$378,"&lt;="&amp;$A187,Питание!$B$14:$B$378,"&gt;0"),""))</f>
        <v/>
      </c>
      <c r="P187" s="8" t="str">
        <f aca="false">IF(C187="","",IFERROR(AVERAGEIFS(Питание!$C$14:$C$378,Питание!$A$14:$A$378,"&gt;"&amp;$A187-7,Питание!$A$14:$A$378,"&lt;="&amp;$A187,Питание!$C$14:$C$378,"&gt;0"),""))</f>
        <v/>
      </c>
      <c r="Q187" s="8" t="str">
        <f aca="false">IF(D187="","",IFERROR(AVERAGEIFS(Питание!$D$14:$D$378,Питание!$A$14:$A$378,"&gt;"&amp;$A187-7,Питание!$A$14:$A$378,"&lt;="&amp;$A187,Питание!$D$14:$D$378,"&gt;0"),""))</f>
        <v/>
      </c>
      <c r="R187" s="14" t="str">
        <f aca="false">IF(O187="","",IFERROR(O187-AVERAGEIFS(Питание!$B$14:$B$378,Питание!$A$14:$A$378,"&gt;"&amp;$A187-14,Питание!$A$14:$A$378,"&lt;="&amp;$A187-7,Питание!$B$14:$B$378,"&gt;0"),""))</f>
        <v/>
      </c>
      <c r="S187" s="15" t="str">
        <f aca="false">IF(R187="","",R187/O187)</f>
        <v/>
      </c>
      <c r="T187" s="11" t="str">
        <f aca="false">IF(O187="","",O187-StartWeight)</f>
        <v/>
      </c>
    </row>
    <row r="188" customFormat="false" ht="15" hidden="false" customHeight="true" outlineLevel="0" collapsed="false">
      <c r="A188" s="16" t="n">
        <f aca="false">A187+1</f>
        <v>46468</v>
      </c>
      <c r="B188" s="17"/>
      <c r="C188" s="18"/>
      <c r="D188" s="18"/>
      <c r="E188" s="18"/>
      <c r="F188" s="18"/>
      <c r="G188" s="18"/>
      <c r="H188" s="17"/>
      <c r="I188" s="19"/>
      <c r="J188" s="10" t="str">
        <f aca="false">IF(C188="","",C188-TargetKcal)</f>
        <v/>
      </c>
      <c r="K188" s="10" t="str">
        <f aca="false">IF(D188="","",D188-TargetProtein)</f>
        <v/>
      </c>
      <c r="L188" s="10" t="str">
        <f aca="false">IF(E188="","",E188-TargetFat)</f>
        <v/>
      </c>
      <c r="M188" s="10" t="str">
        <f aca="false">IF(F188="","",F188-TargetCarb)</f>
        <v/>
      </c>
      <c r="N188" s="10" t="str">
        <f aca="false">IF(COUNT(C188:F188)&lt;4,"",ROUND(4*D188+9*E188+4*F188-C188,0))</f>
        <v/>
      </c>
      <c r="O188" s="13" t="str">
        <f aca="false">IF(B188="","",IFERROR(AVERAGEIFS(Питание!$B$14:$B$378,Питание!$A$14:$A$378,"&gt;"&amp;$A188-7,Питание!$A$14:$A$378,"&lt;="&amp;$A188,Питание!$B$14:$B$378,"&gt;0"),""))</f>
        <v/>
      </c>
      <c r="P188" s="8" t="str">
        <f aca="false">IF(C188="","",IFERROR(AVERAGEIFS(Питание!$C$14:$C$378,Питание!$A$14:$A$378,"&gt;"&amp;$A188-7,Питание!$A$14:$A$378,"&lt;="&amp;$A188,Питание!$C$14:$C$378,"&gt;0"),""))</f>
        <v/>
      </c>
      <c r="Q188" s="8" t="str">
        <f aca="false">IF(D188="","",IFERROR(AVERAGEIFS(Питание!$D$14:$D$378,Питание!$A$14:$A$378,"&gt;"&amp;$A188-7,Питание!$A$14:$A$378,"&lt;="&amp;$A188,Питание!$D$14:$D$378,"&gt;0"),""))</f>
        <v/>
      </c>
      <c r="R188" s="14" t="str">
        <f aca="false">IF(O188="","",IFERROR(O188-AVERAGEIFS(Питание!$B$14:$B$378,Питание!$A$14:$A$378,"&gt;"&amp;$A188-14,Питание!$A$14:$A$378,"&lt;="&amp;$A188-7,Питание!$B$14:$B$378,"&gt;0"),""))</f>
        <v/>
      </c>
      <c r="S188" s="15" t="str">
        <f aca="false">IF(R188="","",R188/O188)</f>
        <v/>
      </c>
      <c r="T188" s="11" t="str">
        <f aca="false">IF(O188="","",O188-StartWeight)</f>
        <v/>
      </c>
    </row>
    <row r="189" customFormat="false" ht="15" hidden="false" customHeight="true" outlineLevel="0" collapsed="false">
      <c r="A189" s="16" t="n">
        <f aca="false">A188+1</f>
        <v>46469</v>
      </c>
      <c r="B189" s="17"/>
      <c r="C189" s="18"/>
      <c r="D189" s="18"/>
      <c r="E189" s="18"/>
      <c r="F189" s="18"/>
      <c r="G189" s="18"/>
      <c r="H189" s="17"/>
      <c r="I189" s="19"/>
      <c r="J189" s="10" t="str">
        <f aca="false">IF(C189="","",C189-TargetKcal)</f>
        <v/>
      </c>
      <c r="K189" s="10" t="str">
        <f aca="false">IF(D189="","",D189-TargetProtein)</f>
        <v/>
      </c>
      <c r="L189" s="10" t="str">
        <f aca="false">IF(E189="","",E189-TargetFat)</f>
        <v/>
      </c>
      <c r="M189" s="10" t="str">
        <f aca="false">IF(F189="","",F189-TargetCarb)</f>
        <v/>
      </c>
      <c r="N189" s="10" t="str">
        <f aca="false">IF(COUNT(C189:F189)&lt;4,"",ROUND(4*D189+9*E189+4*F189-C189,0))</f>
        <v/>
      </c>
      <c r="O189" s="13" t="str">
        <f aca="false">IF(B189="","",IFERROR(AVERAGEIFS(Питание!$B$14:$B$378,Питание!$A$14:$A$378,"&gt;"&amp;$A189-7,Питание!$A$14:$A$378,"&lt;="&amp;$A189,Питание!$B$14:$B$378,"&gt;0"),""))</f>
        <v/>
      </c>
      <c r="P189" s="8" t="str">
        <f aca="false">IF(C189="","",IFERROR(AVERAGEIFS(Питание!$C$14:$C$378,Питание!$A$14:$A$378,"&gt;"&amp;$A189-7,Питание!$A$14:$A$378,"&lt;="&amp;$A189,Питание!$C$14:$C$378,"&gt;0"),""))</f>
        <v/>
      </c>
      <c r="Q189" s="8" t="str">
        <f aca="false">IF(D189="","",IFERROR(AVERAGEIFS(Питание!$D$14:$D$378,Питание!$A$14:$A$378,"&gt;"&amp;$A189-7,Питание!$A$14:$A$378,"&lt;="&amp;$A189,Питание!$D$14:$D$378,"&gt;0"),""))</f>
        <v/>
      </c>
      <c r="R189" s="14" t="str">
        <f aca="false">IF(O189="","",IFERROR(O189-AVERAGEIFS(Питание!$B$14:$B$378,Питание!$A$14:$A$378,"&gt;"&amp;$A189-14,Питание!$A$14:$A$378,"&lt;="&amp;$A189-7,Питание!$B$14:$B$378,"&gt;0"),""))</f>
        <v/>
      </c>
      <c r="S189" s="15" t="str">
        <f aca="false">IF(R189="","",R189/O189)</f>
        <v/>
      </c>
      <c r="T189" s="11" t="str">
        <f aca="false">IF(O189="","",O189-StartWeight)</f>
        <v/>
      </c>
    </row>
    <row r="190" customFormat="false" ht="15" hidden="false" customHeight="true" outlineLevel="0" collapsed="false">
      <c r="A190" s="16" t="n">
        <f aca="false">A189+1</f>
        <v>46470</v>
      </c>
      <c r="B190" s="17"/>
      <c r="C190" s="18"/>
      <c r="D190" s="18"/>
      <c r="E190" s="18"/>
      <c r="F190" s="18"/>
      <c r="G190" s="18"/>
      <c r="H190" s="17"/>
      <c r="I190" s="19"/>
      <c r="J190" s="10" t="str">
        <f aca="false">IF(C190="","",C190-TargetKcal)</f>
        <v/>
      </c>
      <c r="K190" s="10" t="str">
        <f aca="false">IF(D190="","",D190-TargetProtein)</f>
        <v/>
      </c>
      <c r="L190" s="10" t="str">
        <f aca="false">IF(E190="","",E190-TargetFat)</f>
        <v/>
      </c>
      <c r="M190" s="10" t="str">
        <f aca="false">IF(F190="","",F190-TargetCarb)</f>
        <v/>
      </c>
      <c r="N190" s="10" t="str">
        <f aca="false">IF(COUNT(C190:F190)&lt;4,"",ROUND(4*D190+9*E190+4*F190-C190,0))</f>
        <v/>
      </c>
      <c r="O190" s="13" t="str">
        <f aca="false">IF(B190="","",IFERROR(AVERAGEIFS(Питание!$B$14:$B$378,Питание!$A$14:$A$378,"&gt;"&amp;$A190-7,Питание!$A$14:$A$378,"&lt;="&amp;$A190,Питание!$B$14:$B$378,"&gt;0"),""))</f>
        <v/>
      </c>
      <c r="P190" s="8" t="str">
        <f aca="false">IF(C190="","",IFERROR(AVERAGEIFS(Питание!$C$14:$C$378,Питание!$A$14:$A$378,"&gt;"&amp;$A190-7,Питание!$A$14:$A$378,"&lt;="&amp;$A190,Питание!$C$14:$C$378,"&gt;0"),""))</f>
        <v/>
      </c>
      <c r="Q190" s="8" t="str">
        <f aca="false">IF(D190="","",IFERROR(AVERAGEIFS(Питание!$D$14:$D$378,Питание!$A$14:$A$378,"&gt;"&amp;$A190-7,Питание!$A$14:$A$378,"&lt;="&amp;$A190,Питание!$D$14:$D$378,"&gt;0"),""))</f>
        <v/>
      </c>
      <c r="R190" s="14" t="str">
        <f aca="false">IF(O190="","",IFERROR(O190-AVERAGEIFS(Питание!$B$14:$B$378,Питание!$A$14:$A$378,"&gt;"&amp;$A190-14,Питание!$A$14:$A$378,"&lt;="&amp;$A190-7,Питание!$B$14:$B$378,"&gt;0"),""))</f>
        <v/>
      </c>
      <c r="S190" s="15" t="str">
        <f aca="false">IF(R190="","",R190/O190)</f>
        <v/>
      </c>
      <c r="T190" s="11" t="str">
        <f aca="false">IF(O190="","",O190-StartWeight)</f>
        <v/>
      </c>
    </row>
    <row r="191" customFormat="false" ht="15" hidden="false" customHeight="true" outlineLevel="0" collapsed="false">
      <c r="A191" s="16" t="n">
        <f aca="false">A190+1</f>
        <v>46471</v>
      </c>
      <c r="B191" s="17"/>
      <c r="C191" s="18"/>
      <c r="D191" s="18"/>
      <c r="E191" s="18"/>
      <c r="F191" s="18"/>
      <c r="G191" s="18"/>
      <c r="H191" s="17"/>
      <c r="I191" s="19"/>
      <c r="J191" s="10" t="str">
        <f aca="false">IF(C191="","",C191-TargetKcal)</f>
        <v/>
      </c>
      <c r="K191" s="10" t="str">
        <f aca="false">IF(D191="","",D191-TargetProtein)</f>
        <v/>
      </c>
      <c r="L191" s="10" t="str">
        <f aca="false">IF(E191="","",E191-TargetFat)</f>
        <v/>
      </c>
      <c r="M191" s="10" t="str">
        <f aca="false">IF(F191="","",F191-TargetCarb)</f>
        <v/>
      </c>
      <c r="N191" s="10" t="str">
        <f aca="false">IF(COUNT(C191:F191)&lt;4,"",ROUND(4*D191+9*E191+4*F191-C191,0))</f>
        <v/>
      </c>
      <c r="O191" s="13" t="str">
        <f aca="false">IF(B191="","",IFERROR(AVERAGEIFS(Питание!$B$14:$B$378,Питание!$A$14:$A$378,"&gt;"&amp;$A191-7,Питание!$A$14:$A$378,"&lt;="&amp;$A191,Питание!$B$14:$B$378,"&gt;0"),""))</f>
        <v/>
      </c>
      <c r="P191" s="8" t="str">
        <f aca="false">IF(C191="","",IFERROR(AVERAGEIFS(Питание!$C$14:$C$378,Питание!$A$14:$A$378,"&gt;"&amp;$A191-7,Питание!$A$14:$A$378,"&lt;="&amp;$A191,Питание!$C$14:$C$378,"&gt;0"),""))</f>
        <v/>
      </c>
      <c r="Q191" s="8" t="str">
        <f aca="false">IF(D191="","",IFERROR(AVERAGEIFS(Питание!$D$14:$D$378,Питание!$A$14:$A$378,"&gt;"&amp;$A191-7,Питание!$A$14:$A$378,"&lt;="&amp;$A191,Питание!$D$14:$D$378,"&gt;0"),""))</f>
        <v/>
      </c>
      <c r="R191" s="14" t="str">
        <f aca="false">IF(O191="","",IFERROR(O191-AVERAGEIFS(Питание!$B$14:$B$378,Питание!$A$14:$A$378,"&gt;"&amp;$A191-14,Питание!$A$14:$A$378,"&lt;="&amp;$A191-7,Питание!$B$14:$B$378,"&gt;0"),""))</f>
        <v/>
      </c>
      <c r="S191" s="15" t="str">
        <f aca="false">IF(R191="","",R191/O191)</f>
        <v/>
      </c>
      <c r="T191" s="11" t="str">
        <f aca="false">IF(O191="","",O191-StartWeight)</f>
        <v/>
      </c>
    </row>
    <row r="192" customFormat="false" ht="15" hidden="false" customHeight="true" outlineLevel="0" collapsed="false">
      <c r="A192" s="16" t="n">
        <f aca="false">A191+1</f>
        <v>46472</v>
      </c>
      <c r="B192" s="17"/>
      <c r="C192" s="18"/>
      <c r="D192" s="18"/>
      <c r="E192" s="18"/>
      <c r="F192" s="18"/>
      <c r="G192" s="18"/>
      <c r="H192" s="17"/>
      <c r="I192" s="19"/>
      <c r="J192" s="10" t="str">
        <f aca="false">IF(C192="","",C192-TargetKcal)</f>
        <v/>
      </c>
      <c r="K192" s="10" t="str">
        <f aca="false">IF(D192="","",D192-TargetProtein)</f>
        <v/>
      </c>
      <c r="L192" s="10" t="str">
        <f aca="false">IF(E192="","",E192-TargetFat)</f>
        <v/>
      </c>
      <c r="M192" s="10" t="str">
        <f aca="false">IF(F192="","",F192-TargetCarb)</f>
        <v/>
      </c>
      <c r="N192" s="10" t="str">
        <f aca="false">IF(COUNT(C192:F192)&lt;4,"",ROUND(4*D192+9*E192+4*F192-C192,0))</f>
        <v/>
      </c>
      <c r="O192" s="13" t="str">
        <f aca="false">IF(B192="","",IFERROR(AVERAGEIFS(Питание!$B$14:$B$378,Питание!$A$14:$A$378,"&gt;"&amp;$A192-7,Питание!$A$14:$A$378,"&lt;="&amp;$A192,Питание!$B$14:$B$378,"&gt;0"),""))</f>
        <v/>
      </c>
      <c r="P192" s="8" t="str">
        <f aca="false">IF(C192="","",IFERROR(AVERAGEIFS(Питание!$C$14:$C$378,Питание!$A$14:$A$378,"&gt;"&amp;$A192-7,Питание!$A$14:$A$378,"&lt;="&amp;$A192,Питание!$C$14:$C$378,"&gt;0"),""))</f>
        <v/>
      </c>
      <c r="Q192" s="8" t="str">
        <f aca="false">IF(D192="","",IFERROR(AVERAGEIFS(Питание!$D$14:$D$378,Питание!$A$14:$A$378,"&gt;"&amp;$A192-7,Питание!$A$14:$A$378,"&lt;="&amp;$A192,Питание!$D$14:$D$378,"&gt;0"),""))</f>
        <v/>
      </c>
      <c r="R192" s="14" t="str">
        <f aca="false">IF(O192="","",IFERROR(O192-AVERAGEIFS(Питание!$B$14:$B$378,Питание!$A$14:$A$378,"&gt;"&amp;$A192-14,Питание!$A$14:$A$378,"&lt;="&amp;$A192-7,Питание!$B$14:$B$378,"&gt;0"),""))</f>
        <v/>
      </c>
      <c r="S192" s="15" t="str">
        <f aca="false">IF(R192="","",R192/O192)</f>
        <v/>
      </c>
      <c r="T192" s="11" t="str">
        <f aca="false">IF(O192="","",O192-StartWeight)</f>
        <v/>
      </c>
    </row>
    <row r="193" customFormat="false" ht="15" hidden="false" customHeight="true" outlineLevel="0" collapsed="false">
      <c r="A193" s="16" t="n">
        <f aca="false">A192+1</f>
        <v>46473</v>
      </c>
      <c r="B193" s="17"/>
      <c r="C193" s="18"/>
      <c r="D193" s="18"/>
      <c r="E193" s="18"/>
      <c r="F193" s="18"/>
      <c r="G193" s="18"/>
      <c r="H193" s="17"/>
      <c r="I193" s="19"/>
      <c r="J193" s="10" t="str">
        <f aca="false">IF(C193="","",C193-TargetKcal)</f>
        <v/>
      </c>
      <c r="K193" s="10" t="str">
        <f aca="false">IF(D193="","",D193-TargetProtein)</f>
        <v/>
      </c>
      <c r="L193" s="10" t="str">
        <f aca="false">IF(E193="","",E193-TargetFat)</f>
        <v/>
      </c>
      <c r="M193" s="10" t="str">
        <f aca="false">IF(F193="","",F193-TargetCarb)</f>
        <v/>
      </c>
      <c r="N193" s="10" t="str">
        <f aca="false">IF(COUNT(C193:F193)&lt;4,"",ROUND(4*D193+9*E193+4*F193-C193,0))</f>
        <v/>
      </c>
      <c r="O193" s="13" t="str">
        <f aca="false">IF(B193="","",IFERROR(AVERAGEIFS(Питание!$B$14:$B$378,Питание!$A$14:$A$378,"&gt;"&amp;$A193-7,Питание!$A$14:$A$378,"&lt;="&amp;$A193,Питание!$B$14:$B$378,"&gt;0"),""))</f>
        <v/>
      </c>
      <c r="P193" s="8" t="str">
        <f aca="false">IF(C193="","",IFERROR(AVERAGEIFS(Питание!$C$14:$C$378,Питание!$A$14:$A$378,"&gt;"&amp;$A193-7,Питание!$A$14:$A$378,"&lt;="&amp;$A193,Питание!$C$14:$C$378,"&gt;0"),""))</f>
        <v/>
      </c>
      <c r="Q193" s="8" t="str">
        <f aca="false">IF(D193="","",IFERROR(AVERAGEIFS(Питание!$D$14:$D$378,Питание!$A$14:$A$378,"&gt;"&amp;$A193-7,Питание!$A$14:$A$378,"&lt;="&amp;$A193,Питание!$D$14:$D$378,"&gt;0"),""))</f>
        <v/>
      </c>
      <c r="R193" s="14" t="str">
        <f aca="false">IF(O193="","",IFERROR(O193-AVERAGEIFS(Питание!$B$14:$B$378,Питание!$A$14:$A$378,"&gt;"&amp;$A193-14,Питание!$A$14:$A$378,"&lt;="&amp;$A193-7,Питание!$B$14:$B$378,"&gt;0"),""))</f>
        <v/>
      </c>
      <c r="S193" s="15" t="str">
        <f aca="false">IF(R193="","",R193/O193)</f>
        <v/>
      </c>
      <c r="T193" s="11" t="str">
        <f aca="false">IF(O193="","",O193-StartWeight)</f>
        <v/>
      </c>
    </row>
    <row r="194" customFormat="false" ht="15" hidden="false" customHeight="true" outlineLevel="0" collapsed="false">
      <c r="A194" s="16" t="n">
        <f aca="false">A193+1</f>
        <v>46474</v>
      </c>
      <c r="B194" s="17"/>
      <c r="C194" s="18"/>
      <c r="D194" s="18"/>
      <c r="E194" s="18"/>
      <c r="F194" s="18"/>
      <c r="G194" s="18"/>
      <c r="H194" s="17"/>
      <c r="I194" s="19"/>
      <c r="J194" s="10" t="str">
        <f aca="false">IF(C194="","",C194-TargetKcal)</f>
        <v/>
      </c>
      <c r="K194" s="10" t="str">
        <f aca="false">IF(D194="","",D194-TargetProtein)</f>
        <v/>
      </c>
      <c r="L194" s="10" t="str">
        <f aca="false">IF(E194="","",E194-TargetFat)</f>
        <v/>
      </c>
      <c r="M194" s="10" t="str">
        <f aca="false">IF(F194="","",F194-TargetCarb)</f>
        <v/>
      </c>
      <c r="N194" s="10" t="str">
        <f aca="false">IF(COUNT(C194:F194)&lt;4,"",ROUND(4*D194+9*E194+4*F194-C194,0))</f>
        <v/>
      </c>
      <c r="O194" s="13" t="str">
        <f aca="false">IF(B194="","",IFERROR(AVERAGEIFS(Питание!$B$14:$B$378,Питание!$A$14:$A$378,"&gt;"&amp;$A194-7,Питание!$A$14:$A$378,"&lt;="&amp;$A194,Питание!$B$14:$B$378,"&gt;0"),""))</f>
        <v/>
      </c>
      <c r="P194" s="8" t="str">
        <f aca="false">IF(C194="","",IFERROR(AVERAGEIFS(Питание!$C$14:$C$378,Питание!$A$14:$A$378,"&gt;"&amp;$A194-7,Питание!$A$14:$A$378,"&lt;="&amp;$A194,Питание!$C$14:$C$378,"&gt;0"),""))</f>
        <v/>
      </c>
      <c r="Q194" s="8" t="str">
        <f aca="false">IF(D194="","",IFERROR(AVERAGEIFS(Питание!$D$14:$D$378,Питание!$A$14:$A$378,"&gt;"&amp;$A194-7,Питание!$A$14:$A$378,"&lt;="&amp;$A194,Питание!$D$14:$D$378,"&gt;0"),""))</f>
        <v/>
      </c>
      <c r="R194" s="14" t="str">
        <f aca="false">IF(O194="","",IFERROR(O194-AVERAGEIFS(Питание!$B$14:$B$378,Питание!$A$14:$A$378,"&gt;"&amp;$A194-14,Питание!$A$14:$A$378,"&lt;="&amp;$A194-7,Питание!$B$14:$B$378,"&gt;0"),""))</f>
        <v/>
      </c>
      <c r="S194" s="15" t="str">
        <f aca="false">IF(R194="","",R194/O194)</f>
        <v/>
      </c>
      <c r="T194" s="11" t="str">
        <f aca="false">IF(O194="","",O194-StartWeight)</f>
        <v/>
      </c>
    </row>
    <row r="195" customFormat="false" ht="15" hidden="false" customHeight="true" outlineLevel="0" collapsed="false">
      <c r="A195" s="16" t="n">
        <f aca="false">A194+1</f>
        <v>46475</v>
      </c>
      <c r="B195" s="17"/>
      <c r="C195" s="18"/>
      <c r="D195" s="18"/>
      <c r="E195" s="18"/>
      <c r="F195" s="18"/>
      <c r="G195" s="18"/>
      <c r="H195" s="17"/>
      <c r="I195" s="19"/>
      <c r="J195" s="10" t="str">
        <f aca="false">IF(C195="","",C195-TargetKcal)</f>
        <v/>
      </c>
      <c r="K195" s="10" t="str">
        <f aca="false">IF(D195="","",D195-TargetProtein)</f>
        <v/>
      </c>
      <c r="L195" s="10" t="str">
        <f aca="false">IF(E195="","",E195-TargetFat)</f>
        <v/>
      </c>
      <c r="M195" s="10" t="str">
        <f aca="false">IF(F195="","",F195-TargetCarb)</f>
        <v/>
      </c>
      <c r="N195" s="10" t="str">
        <f aca="false">IF(COUNT(C195:F195)&lt;4,"",ROUND(4*D195+9*E195+4*F195-C195,0))</f>
        <v/>
      </c>
      <c r="O195" s="13" t="str">
        <f aca="false">IF(B195="","",IFERROR(AVERAGEIFS(Питание!$B$14:$B$378,Питание!$A$14:$A$378,"&gt;"&amp;$A195-7,Питание!$A$14:$A$378,"&lt;="&amp;$A195,Питание!$B$14:$B$378,"&gt;0"),""))</f>
        <v/>
      </c>
      <c r="P195" s="8" t="str">
        <f aca="false">IF(C195="","",IFERROR(AVERAGEIFS(Питание!$C$14:$C$378,Питание!$A$14:$A$378,"&gt;"&amp;$A195-7,Питание!$A$14:$A$378,"&lt;="&amp;$A195,Питание!$C$14:$C$378,"&gt;0"),""))</f>
        <v/>
      </c>
      <c r="Q195" s="8" t="str">
        <f aca="false">IF(D195="","",IFERROR(AVERAGEIFS(Питание!$D$14:$D$378,Питание!$A$14:$A$378,"&gt;"&amp;$A195-7,Питание!$A$14:$A$378,"&lt;="&amp;$A195,Питание!$D$14:$D$378,"&gt;0"),""))</f>
        <v/>
      </c>
      <c r="R195" s="14" t="str">
        <f aca="false">IF(O195="","",IFERROR(O195-AVERAGEIFS(Питание!$B$14:$B$378,Питание!$A$14:$A$378,"&gt;"&amp;$A195-14,Питание!$A$14:$A$378,"&lt;="&amp;$A195-7,Питание!$B$14:$B$378,"&gt;0"),""))</f>
        <v/>
      </c>
      <c r="S195" s="15" t="str">
        <f aca="false">IF(R195="","",R195/O195)</f>
        <v/>
      </c>
      <c r="T195" s="11" t="str">
        <f aca="false">IF(O195="","",O195-StartWeight)</f>
        <v/>
      </c>
    </row>
    <row r="196" customFormat="false" ht="15" hidden="false" customHeight="true" outlineLevel="0" collapsed="false">
      <c r="A196" s="16" t="n">
        <f aca="false">A195+1</f>
        <v>46476</v>
      </c>
      <c r="B196" s="17"/>
      <c r="C196" s="18"/>
      <c r="D196" s="18"/>
      <c r="E196" s="18"/>
      <c r="F196" s="18"/>
      <c r="G196" s="18"/>
      <c r="H196" s="17"/>
      <c r="I196" s="19"/>
      <c r="J196" s="10" t="str">
        <f aca="false">IF(C196="","",C196-TargetKcal)</f>
        <v/>
      </c>
      <c r="K196" s="10" t="str">
        <f aca="false">IF(D196="","",D196-TargetProtein)</f>
        <v/>
      </c>
      <c r="L196" s="10" t="str">
        <f aca="false">IF(E196="","",E196-TargetFat)</f>
        <v/>
      </c>
      <c r="M196" s="10" t="str">
        <f aca="false">IF(F196="","",F196-TargetCarb)</f>
        <v/>
      </c>
      <c r="N196" s="10" t="str">
        <f aca="false">IF(COUNT(C196:F196)&lt;4,"",ROUND(4*D196+9*E196+4*F196-C196,0))</f>
        <v/>
      </c>
      <c r="O196" s="13" t="str">
        <f aca="false">IF(B196="","",IFERROR(AVERAGEIFS(Питание!$B$14:$B$378,Питание!$A$14:$A$378,"&gt;"&amp;$A196-7,Питание!$A$14:$A$378,"&lt;="&amp;$A196,Питание!$B$14:$B$378,"&gt;0"),""))</f>
        <v/>
      </c>
      <c r="P196" s="8" t="str">
        <f aca="false">IF(C196="","",IFERROR(AVERAGEIFS(Питание!$C$14:$C$378,Питание!$A$14:$A$378,"&gt;"&amp;$A196-7,Питание!$A$14:$A$378,"&lt;="&amp;$A196,Питание!$C$14:$C$378,"&gt;0"),""))</f>
        <v/>
      </c>
      <c r="Q196" s="8" t="str">
        <f aca="false">IF(D196="","",IFERROR(AVERAGEIFS(Питание!$D$14:$D$378,Питание!$A$14:$A$378,"&gt;"&amp;$A196-7,Питание!$A$14:$A$378,"&lt;="&amp;$A196,Питание!$D$14:$D$378,"&gt;0"),""))</f>
        <v/>
      </c>
      <c r="R196" s="14" t="str">
        <f aca="false">IF(O196="","",IFERROR(O196-AVERAGEIFS(Питание!$B$14:$B$378,Питание!$A$14:$A$378,"&gt;"&amp;$A196-14,Питание!$A$14:$A$378,"&lt;="&amp;$A196-7,Питание!$B$14:$B$378,"&gt;0"),""))</f>
        <v/>
      </c>
      <c r="S196" s="15" t="str">
        <f aca="false">IF(R196="","",R196/O196)</f>
        <v/>
      </c>
      <c r="T196" s="11" t="str">
        <f aca="false">IF(O196="","",O196-StartWeight)</f>
        <v/>
      </c>
    </row>
    <row r="197" customFormat="false" ht="15" hidden="false" customHeight="true" outlineLevel="0" collapsed="false">
      <c r="A197" s="16" t="n">
        <f aca="false">A196+1</f>
        <v>46477</v>
      </c>
      <c r="B197" s="17"/>
      <c r="C197" s="18"/>
      <c r="D197" s="18"/>
      <c r="E197" s="18"/>
      <c r="F197" s="18"/>
      <c r="G197" s="18"/>
      <c r="H197" s="17"/>
      <c r="I197" s="19"/>
      <c r="J197" s="10" t="str">
        <f aca="false">IF(C197="","",C197-TargetKcal)</f>
        <v/>
      </c>
      <c r="K197" s="10" t="str">
        <f aca="false">IF(D197="","",D197-TargetProtein)</f>
        <v/>
      </c>
      <c r="L197" s="10" t="str">
        <f aca="false">IF(E197="","",E197-TargetFat)</f>
        <v/>
      </c>
      <c r="M197" s="10" t="str">
        <f aca="false">IF(F197="","",F197-TargetCarb)</f>
        <v/>
      </c>
      <c r="N197" s="10" t="str">
        <f aca="false">IF(COUNT(C197:F197)&lt;4,"",ROUND(4*D197+9*E197+4*F197-C197,0))</f>
        <v/>
      </c>
      <c r="O197" s="13" t="str">
        <f aca="false">IF(B197="","",IFERROR(AVERAGEIFS(Питание!$B$14:$B$378,Питание!$A$14:$A$378,"&gt;"&amp;$A197-7,Питание!$A$14:$A$378,"&lt;="&amp;$A197,Питание!$B$14:$B$378,"&gt;0"),""))</f>
        <v/>
      </c>
      <c r="P197" s="8" t="str">
        <f aca="false">IF(C197="","",IFERROR(AVERAGEIFS(Питание!$C$14:$C$378,Питание!$A$14:$A$378,"&gt;"&amp;$A197-7,Питание!$A$14:$A$378,"&lt;="&amp;$A197,Питание!$C$14:$C$378,"&gt;0"),""))</f>
        <v/>
      </c>
      <c r="Q197" s="8" t="str">
        <f aca="false">IF(D197="","",IFERROR(AVERAGEIFS(Питание!$D$14:$D$378,Питание!$A$14:$A$378,"&gt;"&amp;$A197-7,Питание!$A$14:$A$378,"&lt;="&amp;$A197,Питание!$D$14:$D$378,"&gt;0"),""))</f>
        <v/>
      </c>
      <c r="R197" s="14" t="str">
        <f aca="false">IF(O197="","",IFERROR(O197-AVERAGEIFS(Питание!$B$14:$B$378,Питание!$A$14:$A$378,"&gt;"&amp;$A197-14,Питание!$A$14:$A$378,"&lt;="&amp;$A197-7,Питание!$B$14:$B$378,"&gt;0"),""))</f>
        <v/>
      </c>
      <c r="S197" s="15" t="str">
        <f aca="false">IF(R197="","",R197/O197)</f>
        <v/>
      </c>
      <c r="T197" s="11" t="str">
        <f aca="false">IF(O197="","",O197-StartWeight)</f>
        <v/>
      </c>
    </row>
    <row r="198" customFormat="false" ht="15" hidden="false" customHeight="true" outlineLevel="0" collapsed="false">
      <c r="A198" s="16" t="n">
        <f aca="false">A197+1</f>
        <v>46478</v>
      </c>
      <c r="B198" s="17"/>
      <c r="C198" s="18"/>
      <c r="D198" s="18"/>
      <c r="E198" s="18"/>
      <c r="F198" s="18"/>
      <c r="G198" s="18"/>
      <c r="H198" s="17"/>
      <c r="I198" s="19"/>
      <c r="J198" s="10" t="str">
        <f aca="false">IF(C198="","",C198-TargetKcal)</f>
        <v/>
      </c>
      <c r="K198" s="10" t="str">
        <f aca="false">IF(D198="","",D198-TargetProtein)</f>
        <v/>
      </c>
      <c r="L198" s="10" t="str">
        <f aca="false">IF(E198="","",E198-TargetFat)</f>
        <v/>
      </c>
      <c r="M198" s="10" t="str">
        <f aca="false">IF(F198="","",F198-TargetCarb)</f>
        <v/>
      </c>
      <c r="N198" s="10" t="str">
        <f aca="false">IF(COUNT(C198:F198)&lt;4,"",ROUND(4*D198+9*E198+4*F198-C198,0))</f>
        <v/>
      </c>
      <c r="O198" s="13" t="str">
        <f aca="false">IF(B198="","",IFERROR(AVERAGEIFS(Питание!$B$14:$B$378,Питание!$A$14:$A$378,"&gt;"&amp;$A198-7,Питание!$A$14:$A$378,"&lt;="&amp;$A198,Питание!$B$14:$B$378,"&gt;0"),""))</f>
        <v/>
      </c>
      <c r="P198" s="8" t="str">
        <f aca="false">IF(C198="","",IFERROR(AVERAGEIFS(Питание!$C$14:$C$378,Питание!$A$14:$A$378,"&gt;"&amp;$A198-7,Питание!$A$14:$A$378,"&lt;="&amp;$A198,Питание!$C$14:$C$378,"&gt;0"),""))</f>
        <v/>
      </c>
      <c r="Q198" s="8" t="str">
        <f aca="false">IF(D198="","",IFERROR(AVERAGEIFS(Питание!$D$14:$D$378,Питание!$A$14:$A$378,"&gt;"&amp;$A198-7,Питание!$A$14:$A$378,"&lt;="&amp;$A198,Питание!$D$14:$D$378,"&gt;0"),""))</f>
        <v/>
      </c>
      <c r="R198" s="14" t="str">
        <f aca="false">IF(O198="","",IFERROR(O198-AVERAGEIFS(Питание!$B$14:$B$378,Питание!$A$14:$A$378,"&gt;"&amp;$A198-14,Питание!$A$14:$A$378,"&lt;="&amp;$A198-7,Питание!$B$14:$B$378,"&gt;0"),""))</f>
        <v/>
      </c>
      <c r="S198" s="15" t="str">
        <f aca="false">IF(R198="","",R198/O198)</f>
        <v/>
      </c>
      <c r="T198" s="11" t="str">
        <f aca="false">IF(O198="","",O198-StartWeight)</f>
        <v/>
      </c>
    </row>
    <row r="199" customFormat="false" ht="15" hidden="false" customHeight="true" outlineLevel="0" collapsed="false">
      <c r="A199" s="16" t="n">
        <f aca="false">A198+1</f>
        <v>46479</v>
      </c>
      <c r="B199" s="17"/>
      <c r="C199" s="18"/>
      <c r="D199" s="18"/>
      <c r="E199" s="18"/>
      <c r="F199" s="18"/>
      <c r="G199" s="18"/>
      <c r="H199" s="17"/>
      <c r="I199" s="19"/>
      <c r="J199" s="10" t="str">
        <f aca="false">IF(C199="","",C199-TargetKcal)</f>
        <v/>
      </c>
      <c r="K199" s="10" t="str">
        <f aca="false">IF(D199="","",D199-TargetProtein)</f>
        <v/>
      </c>
      <c r="L199" s="10" t="str">
        <f aca="false">IF(E199="","",E199-TargetFat)</f>
        <v/>
      </c>
      <c r="M199" s="10" t="str">
        <f aca="false">IF(F199="","",F199-TargetCarb)</f>
        <v/>
      </c>
      <c r="N199" s="10" t="str">
        <f aca="false">IF(COUNT(C199:F199)&lt;4,"",ROUND(4*D199+9*E199+4*F199-C199,0))</f>
        <v/>
      </c>
      <c r="O199" s="13" t="str">
        <f aca="false">IF(B199="","",IFERROR(AVERAGEIFS(Питание!$B$14:$B$378,Питание!$A$14:$A$378,"&gt;"&amp;$A199-7,Питание!$A$14:$A$378,"&lt;="&amp;$A199,Питание!$B$14:$B$378,"&gt;0"),""))</f>
        <v/>
      </c>
      <c r="P199" s="8" t="str">
        <f aca="false">IF(C199="","",IFERROR(AVERAGEIFS(Питание!$C$14:$C$378,Питание!$A$14:$A$378,"&gt;"&amp;$A199-7,Питание!$A$14:$A$378,"&lt;="&amp;$A199,Питание!$C$14:$C$378,"&gt;0"),""))</f>
        <v/>
      </c>
      <c r="Q199" s="8" t="str">
        <f aca="false">IF(D199="","",IFERROR(AVERAGEIFS(Питание!$D$14:$D$378,Питание!$A$14:$A$378,"&gt;"&amp;$A199-7,Питание!$A$14:$A$378,"&lt;="&amp;$A199,Питание!$D$14:$D$378,"&gt;0"),""))</f>
        <v/>
      </c>
      <c r="R199" s="14" t="str">
        <f aca="false">IF(O199="","",IFERROR(O199-AVERAGEIFS(Питание!$B$14:$B$378,Питание!$A$14:$A$378,"&gt;"&amp;$A199-14,Питание!$A$14:$A$378,"&lt;="&amp;$A199-7,Питание!$B$14:$B$378,"&gt;0"),""))</f>
        <v/>
      </c>
      <c r="S199" s="15" t="str">
        <f aca="false">IF(R199="","",R199/O199)</f>
        <v/>
      </c>
      <c r="T199" s="11" t="str">
        <f aca="false">IF(O199="","",O199-StartWeight)</f>
        <v/>
      </c>
    </row>
    <row r="200" customFormat="false" ht="15" hidden="false" customHeight="true" outlineLevel="0" collapsed="false">
      <c r="A200" s="16" t="n">
        <f aca="false">A199+1</f>
        <v>46480</v>
      </c>
      <c r="B200" s="17"/>
      <c r="C200" s="18"/>
      <c r="D200" s="18"/>
      <c r="E200" s="18"/>
      <c r="F200" s="18"/>
      <c r="G200" s="18"/>
      <c r="H200" s="17"/>
      <c r="I200" s="19"/>
      <c r="J200" s="10" t="str">
        <f aca="false">IF(C200="","",C200-TargetKcal)</f>
        <v/>
      </c>
      <c r="K200" s="10" t="str">
        <f aca="false">IF(D200="","",D200-TargetProtein)</f>
        <v/>
      </c>
      <c r="L200" s="10" t="str">
        <f aca="false">IF(E200="","",E200-TargetFat)</f>
        <v/>
      </c>
      <c r="M200" s="10" t="str">
        <f aca="false">IF(F200="","",F200-TargetCarb)</f>
        <v/>
      </c>
      <c r="N200" s="10" t="str">
        <f aca="false">IF(COUNT(C200:F200)&lt;4,"",ROUND(4*D200+9*E200+4*F200-C200,0))</f>
        <v/>
      </c>
      <c r="O200" s="13" t="str">
        <f aca="false">IF(B200="","",IFERROR(AVERAGEIFS(Питание!$B$14:$B$378,Питание!$A$14:$A$378,"&gt;"&amp;$A200-7,Питание!$A$14:$A$378,"&lt;="&amp;$A200,Питание!$B$14:$B$378,"&gt;0"),""))</f>
        <v/>
      </c>
      <c r="P200" s="8" t="str">
        <f aca="false">IF(C200="","",IFERROR(AVERAGEIFS(Питание!$C$14:$C$378,Питание!$A$14:$A$378,"&gt;"&amp;$A200-7,Питание!$A$14:$A$378,"&lt;="&amp;$A200,Питание!$C$14:$C$378,"&gt;0"),""))</f>
        <v/>
      </c>
      <c r="Q200" s="8" t="str">
        <f aca="false">IF(D200="","",IFERROR(AVERAGEIFS(Питание!$D$14:$D$378,Питание!$A$14:$A$378,"&gt;"&amp;$A200-7,Питание!$A$14:$A$378,"&lt;="&amp;$A200,Питание!$D$14:$D$378,"&gt;0"),""))</f>
        <v/>
      </c>
      <c r="R200" s="14" t="str">
        <f aca="false">IF(O200="","",IFERROR(O200-AVERAGEIFS(Питание!$B$14:$B$378,Питание!$A$14:$A$378,"&gt;"&amp;$A200-14,Питание!$A$14:$A$378,"&lt;="&amp;$A200-7,Питание!$B$14:$B$378,"&gt;0"),""))</f>
        <v/>
      </c>
      <c r="S200" s="15" t="str">
        <f aca="false">IF(R200="","",R200/O200)</f>
        <v/>
      </c>
      <c r="T200" s="11" t="str">
        <f aca="false">IF(O200="","",O200-StartWeight)</f>
        <v/>
      </c>
    </row>
    <row r="201" customFormat="false" ht="15" hidden="false" customHeight="true" outlineLevel="0" collapsed="false">
      <c r="A201" s="16" t="n">
        <f aca="false">A200+1</f>
        <v>46481</v>
      </c>
      <c r="B201" s="17"/>
      <c r="C201" s="18"/>
      <c r="D201" s="18"/>
      <c r="E201" s="18"/>
      <c r="F201" s="18"/>
      <c r="G201" s="18"/>
      <c r="H201" s="17"/>
      <c r="I201" s="19"/>
      <c r="J201" s="10" t="str">
        <f aca="false">IF(C201="","",C201-TargetKcal)</f>
        <v/>
      </c>
      <c r="K201" s="10" t="str">
        <f aca="false">IF(D201="","",D201-TargetProtein)</f>
        <v/>
      </c>
      <c r="L201" s="10" t="str">
        <f aca="false">IF(E201="","",E201-TargetFat)</f>
        <v/>
      </c>
      <c r="M201" s="10" t="str">
        <f aca="false">IF(F201="","",F201-TargetCarb)</f>
        <v/>
      </c>
      <c r="N201" s="10" t="str">
        <f aca="false">IF(COUNT(C201:F201)&lt;4,"",ROUND(4*D201+9*E201+4*F201-C201,0))</f>
        <v/>
      </c>
      <c r="O201" s="13" t="str">
        <f aca="false">IF(B201="","",IFERROR(AVERAGEIFS(Питание!$B$14:$B$378,Питание!$A$14:$A$378,"&gt;"&amp;$A201-7,Питание!$A$14:$A$378,"&lt;="&amp;$A201,Питание!$B$14:$B$378,"&gt;0"),""))</f>
        <v/>
      </c>
      <c r="P201" s="8" t="str">
        <f aca="false">IF(C201="","",IFERROR(AVERAGEIFS(Питание!$C$14:$C$378,Питание!$A$14:$A$378,"&gt;"&amp;$A201-7,Питание!$A$14:$A$378,"&lt;="&amp;$A201,Питание!$C$14:$C$378,"&gt;0"),""))</f>
        <v/>
      </c>
      <c r="Q201" s="8" t="str">
        <f aca="false">IF(D201="","",IFERROR(AVERAGEIFS(Питание!$D$14:$D$378,Питание!$A$14:$A$378,"&gt;"&amp;$A201-7,Питание!$A$14:$A$378,"&lt;="&amp;$A201,Питание!$D$14:$D$378,"&gt;0"),""))</f>
        <v/>
      </c>
      <c r="R201" s="14" t="str">
        <f aca="false">IF(O201="","",IFERROR(O201-AVERAGEIFS(Питание!$B$14:$B$378,Питание!$A$14:$A$378,"&gt;"&amp;$A201-14,Питание!$A$14:$A$378,"&lt;="&amp;$A201-7,Питание!$B$14:$B$378,"&gt;0"),""))</f>
        <v/>
      </c>
      <c r="S201" s="15" t="str">
        <f aca="false">IF(R201="","",R201/O201)</f>
        <v/>
      </c>
      <c r="T201" s="11" t="str">
        <f aca="false">IF(O201="","",O201-StartWeight)</f>
        <v/>
      </c>
    </row>
    <row r="202" customFormat="false" ht="15" hidden="false" customHeight="true" outlineLevel="0" collapsed="false">
      <c r="A202" s="16" t="n">
        <f aca="false">A201+1</f>
        <v>46482</v>
      </c>
      <c r="B202" s="17"/>
      <c r="C202" s="18"/>
      <c r="D202" s="18"/>
      <c r="E202" s="18"/>
      <c r="F202" s="18"/>
      <c r="G202" s="18"/>
      <c r="H202" s="17"/>
      <c r="I202" s="19"/>
      <c r="J202" s="10" t="str">
        <f aca="false">IF(C202="","",C202-TargetKcal)</f>
        <v/>
      </c>
      <c r="K202" s="10" t="str">
        <f aca="false">IF(D202="","",D202-TargetProtein)</f>
        <v/>
      </c>
      <c r="L202" s="10" t="str">
        <f aca="false">IF(E202="","",E202-TargetFat)</f>
        <v/>
      </c>
      <c r="M202" s="10" t="str">
        <f aca="false">IF(F202="","",F202-TargetCarb)</f>
        <v/>
      </c>
      <c r="N202" s="10" t="str">
        <f aca="false">IF(COUNT(C202:F202)&lt;4,"",ROUND(4*D202+9*E202+4*F202-C202,0))</f>
        <v/>
      </c>
      <c r="O202" s="13" t="str">
        <f aca="false">IF(B202="","",IFERROR(AVERAGEIFS(Питание!$B$14:$B$378,Питание!$A$14:$A$378,"&gt;"&amp;$A202-7,Питание!$A$14:$A$378,"&lt;="&amp;$A202,Питание!$B$14:$B$378,"&gt;0"),""))</f>
        <v/>
      </c>
      <c r="P202" s="8" t="str">
        <f aca="false">IF(C202="","",IFERROR(AVERAGEIFS(Питание!$C$14:$C$378,Питание!$A$14:$A$378,"&gt;"&amp;$A202-7,Питание!$A$14:$A$378,"&lt;="&amp;$A202,Питание!$C$14:$C$378,"&gt;0"),""))</f>
        <v/>
      </c>
      <c r="Q202" s="8" t="str">
        <f aca="false">IF(D202="","",IFERROR(AVERAGEIFS(Питание!$D$14:$D$378,Питание!$A$14:$A$378,"&gt;"&amp;$A202-7,Питание!$A$14:$A$378,"&lt;="&amp;$A202,Питание!$D$14:$D$378,"&gt;0"),""))</f>
        <v/>
      </c>
      <c r="R202" s="14" t="str">
        <f aca="false">IF(O202="","",IFERROR(O202-AVERAGEIFS(Питание!$B$14:$B$378,Питание!$A$14:$A$378,"&gt;"&amp;$A202-14,Питание!$A$14:$A$378,"&lt;="&amp;$A202-7,Питание!$B$14:$B$378,"&gt;0"),""))</f>
        <v/>
      </c>
      <c r="S202" s="15" t="str">
        <f aca="false">IF(R202="","",R202/O202)</f>
        <v/>
      </c>
      <c r="T202" s="11" t="str">
        <f aca="false">IF(O202="","",O202-StartWeight)</f>
        <v/>
      </c>
    </row>
    <row r="203" customFormat="false" ht="15" hidden="false" customHeight="true" outlineLevel="0" collapsed="false">
      <c r="A203" s="16" t="n">
        <f aca="false">A202+1</f>
        <v>46483</v>
      </c>
      <c r="B203" s="17"/>
      <c r="C203" s="18"/>
      <c r="D203" s="18"/>
      <c r="E203" s="18"/>
      <c r="F203" s="18"/>
      <c r="G203" s="18"/>
      <c r="H203" s="17"/>
      <c r="I203" s="19"/>
      <c r="J203" s="10" t="str">
        <f aca="false">IF(C203="","",C203-TargetKcal)</f>
        <v/>
      </c>
      <c r="K203" s="10" t="str">
        <f aca="false">IF(D203="","",D203-TargetProtein)</f>
        <v/>
      </c>
      <c r="L203" s="10" t="str">
        <f aca="false">IF(E203="","",E203-TargetFat)</f>
        <v/>
      </c>
      <c r="M203" s="10" t="str">
        <f aca="false">IF(F203="","",F203-TargetCarb)</f>
        <v/>
      </c>
      <c r="N203" s="10" t="str">
        <f aca="false">IF(COUNT(C203:F203)&lt;4,"",ROUND(4*D203+9*E203+4*F203-C203,0))</f>
        <v/>
      </c>
      <c r="O203" s="13" t="str">
        <f aca="false">IF(B203="","",IFERROR(AVERAGEIFS(Питание!$B$14:$B$378,Питание!$A$14:$A$378,"&gt;"&amp;$A203-7,Питание!$A$14:$A$378,"&lt;="&amp;$A203,Питание!$B$14:$B$378,"&gt;0"),""))</f>
        <v/>
      </c>
      <c r="P203" s="8" t="str">
        <f aca="false">IF(C203="","",IFERROR(AVERAGEIFS(Питание!$C$14:$C$378,Питание!$A$14:$A$378,"&gt;"&amp;$A203-7,Питание!$A$14:$A$378,"&lt;="&amp;$A203,Питание!$C$14:$C$378,"&gt;0"),""))</f>
        <v/>
      </c>
      <c r="Q203" s="8" t="str">
        <f aca="false">IF(D203="","",IFERROR(AVERAGEIFS(Питание!$D$14:$D$378,Питание!$A$14:$A$378,"&gt;"&amp;$A203-7,Питание!$A$14:$A$378,"&lt;="&amp;$A203,Питание!$D$14:$D$378,"&gt;0"),""))</f>
        <v/>
      </c>
      <c r="R203" s="14" t="str">
        <f aca="false">IF(O203="","",IFERROR(O203-AVERAGEIFS(Питание!$B$14:$B$378,Питание!$A$14:$A$378,"&gt;"&amp;$A203-14,Питание!$A$14:$A$378,"&lt;="&amp;$A203-7,Питание!$B$14:$B$378,"&gt;0"),""))</f>
        <v/>
      </c>
      <c r="S203" s="15" t="str">
        <f aca="false">IF(R203="","",R203/O203)</f>
        <v/>
      </c>
      <c r="T203" s="11" t="str">
        <f aca="false">IF(O203="","",O203-StartWeight)</f>
        <v/>
      </c>
    </row>
    <row r="204" customFormat="false" ht="15" hidden="false" customHeight="true" outlineLevel="0" collapsed="false">
      <c r="A204" s="16" t="n">
        <f aca="false">A203+1</f>
        <v>46484</v>
      </c>
      <c r="B204" s="17"/>
      <c r="C204" s="18"/>
      <c r="D204" s="18"/>
      <c r="E204" s="18"/>
      <c r="F204" s="18"/>
      <c r="G204" s="18"/>
      <c r="H204" s="17"/>
      <c r="I204" s="19"/>
      <c r="J204" s="10" t="str">
        <f aca="false">IF(C204="","",C204-TargetKcal)</f>
        <v/>
      </c>
      <c r="K204" s="10" t="str">
        <f aca="false">IF(D204="","",D204-TargetProtein)</f>
        <v/>
      </c>
      <c r="L204" s="10" t="str">
        <f aca="false">IF(E204="","",E204-TargetFat)</f>
        <v/>
      </c>
      <c r="M204" s="10" t="str">
        <f aca="false">IF(F204="","",F204-TargetCarb)</f>
        <v/>
      </c>
      <c r="N204" s="10" t="str">
        <f aca="false">IF(COUNT(C204:F204)&lt;4,"",ROUND(4*D204+9*E204+4*F204-C204,0))</f>
        <v/>
      </c>
      <c r="O204" s="13" t="str">
        <f aca="false">IF(B204="","",IFERROR(AVERAGEIFS(Питание!$B$14:$B$378,Питание!$A$14:$A$378,"&gt;"&amp;$A204-7,Питание!$A$14:$A$378,"&lt;="&amp;$A204,Питание!$B$14:$B$378,"&gt;0"),""))</f>
        <v/>
      </c>
      <c r="P204" s="8" t="str">
        <f aca="false">IF(C204="","",IFERROR(AVERAGEIFS(Питание!$C$14:$C$378,Питание!$A$14:$A$378,"&gt;"&amp;$A204-7,Питание!$A$14:$A$378,"&lt;="&amp;$A204,Питание!$C$14:$C$378,"&gt;0"),""))</f>
        <v/>
      </c>
      <c r="Q204" s="8" t="str">
        <f aca="false">IF(D204="","",IFERROR(AVERAGEIFS(Питание!$D$14:$D$378,Питание!$A$14:$A$378,"&gt;"&amp;$A204-7,Питание!$A$14:$A$378,"&lt;="&amp;$A204,Питание!$D$14:$D$378,"&gt;0"),""))</f>
        <v/>
      </c>
      <c r="R204" s="14" t="str">
        <f aca="false">IF(O204="","",IFERROR(O204-AVERAGEIFS(Питание!$B$14:$B$378,Питание!$A$14:$A$378,"&gt;"&amp;$A204-14,Питание!$A$14:$A$378,"&lt;="&amp;$A204-7,Питание!$B$14:$B$378,"&gt;0"),""))</f>
        <v/>
      </c>
      <c r="S204" s="15" t="str">
        <f aca="false">IF(R204="","",R204/O204)</f>
        <v/>
      </c>
      <c r="T204" s="11" t="str">
        <f aca="false">IF(O204="","",O204-StartWeight)</f>
        <v/>
      </c>
    </row>
    <row r="205" customFormat="false" ht="15" hidden="false" customHeight="true" outlineLevel="0" collapsed="false">
      <c r="A205" s="16" t="n">
        <f aca="false">A204+1</f>
        <v>46485</v>
      </c>
      <c r="B205" s="17"/>
      <c r="C205" s="18"/>
      <c r="D205" s="18"/>
      <c r="E205" s="18"/>
      <c r="F205" s="18"/>
      <c r="G205" s="18"/>
      <c r="H205" s="17"/>
      <c r="I205" s="19"/>
      <c r="J205" s="10" t="str">
        <f aca="false">IF(C205="","",C205-TargetKcal)</f>
        <v/>
      </c>
      <c r="K205" s="10" t="str">
        <f aca="false">IF(D205="","",D205-TargetProtein)</f>
        <v/>
      </c>
      <c r="L205" s="10" t="str">
        <f aca="false">IF(E205="","",E205-TargetFat)</f>
        <v/>
      </c>
      <c r="M205" s="10" t="str">
        <f aca="false">IF(F205="","",F205-TargetCarb)</f>
        <v/>
      </c>
      <c r="N205" s="10" t="str">
        <f aca="false">IF(COUNT(C205:F205)&lt;4,"",ROUND(4*D205+9*E205+4*F205-C205,0))</f>
        <v/>
      </c>
      <c r="O205" s="13" t="str">
        <f aca="false">IF(B205="","",IFERROR(AVERAGEIFS(Питание!$B$14:$B$378,Питание!$A$14:$A$378,"&gt;"&amp;$A205-7,Питание!$A$14:$A$378,"&lt;="&amp;$A205,Питание!$B$14:$B$378,"&gt;0"),""))</f>
        <v/>
      </c>
      <c r="P205" s="8" t="str">
        <f aca="false">IF(C205="","",IFERROR(AVERAGEIFS(Питание!$C$14:$C$378,Питание!$A$14:$A$378,"&gt;"&amp;$A205-7,Питание!$A$14:$A$378,"&lt;="&amp;$A205,Питание!$C$14:$C$378,"&gt;0"),""))</f>
        <v/>
      </c>
      <c r="Q205" s="8" t="str">
        <f aca="false">IF(D205="","",IFERROR(AVERAGEIFS(Питание!$D$14:$D$378,Питание!$A$14:$A$378,"&gt;"&amp;$A205-7,Питание!$A$14:$A$378,"&lt;="&amp;$A205,Питание!$D$14:$D$378,"&gt;0"),""))</f>
        <v/>
      </c>
      <c r="R205" s="14" t="str">
        <f aca="false">IF(O205="","",IFERROR(O205-AVERAGEIFS(Питание!$B$14:$B$378,Питание!$A$14:$A$378,"&gt;"&amp;$A205-14,Питание!$A$14:$A$378,"&lt;="&amp;$A205-7,Питание!$B$14:$B$378,"&gt;0"),""))</f>
        <v/>
      </c>
      <c r="S205" s="15" t="str">
        <f aca="false">IF(R205="","",R205/O205)</f>
        <v/>
      </c>
      <c r="T205" s="11" t="str">
        <f aca="false">IF(O205="","",O205-StartWeight)</f>
        <v/>
      </c>
    </row>
    <row r="206" customFormat="false" ht="15" hidden="false" customHeight="true" outlineLevel="0" collapsed="false">
      <c r="A206" s="16" t="n">
        <f aca="false">A205+1</f>
        <v>46486</v>
      </c>
      <c r="B206" s="17"/>
      <c r="C206" s="18"/>
      <c r="D206" s="18"/>
      <c r="E206" s="18"/>
      <c r="F206" s="18"/>
      <c r="G206" s="18"/>
      <c r="H206" s="17"/>
      <c r="I206" s="19"/>
      <c r="J206" s="10" t="str">
        <f aca="false">IF(C206="","",C206-TargetKcal)</f>
        <v/>
      </c>
      <c r="K206" s="10" t="str">
        <f aca="false">IF(D206="","",D206-TargetProtein)</f>
        <v/>
      </c>
      <c r="L206" s="10" t="str">
        <f aca="false">IF(E206="","",E206-TargetFat)</f>
        <v/>
      </c>
      <c r="M206" s="10" t="str">
        <f aca="false">IF(F206="","",F206-TargetCarb)</f>
        <v/>
      </c>
      <c r="N206" s="10" t="str">
        <f aca="false">IF(COUNT(C206:F206)&lt;4,"",ROUND(4*D206+9*E206+4*F206-C206,0))</f>
        <v/>
      </c>
      <c r="O206" s="13" t="str">
        <f aca="false">IF(B206="","",IFERROR(AVERAGEIFS(Питание!$B$14:$B$378,Питание!$A$14:$A$378,"&gt;"&amp;$A206-7,Питание!$A$14:$A$378,"&lt;="&amp;$A206,Питание!$B$14:$B$378,"&gt;0"),""))</f>
        <v/>
      </c>
      <c r="P206" s="8" t="str">
        <f aca="false">IF(C206="","",IFERROR(AVERAGEIFS(Питание!$C$14:$C$378,Питание!$A$14:$A$378,"&gt;"&amp;$A206-7,Питание!$A$14:$A$378,"&lt;="&amp;$A206,Питание!$C$14:$C$378,"&gt;0"),""))</f>
        <v/>
      </c>
      <c r="Q206" s="8" t="str">
        <f aca="false">IF(D206="","",IFERROR(AVERAGEIFS(Питание!$D$14:$D$378,Питание!$A$14:$A$378,"&gt;"&amp;$A206-7,Питание!$A$14:$A$378,"&lt;="&amp;$A206,Питание!$D$14:$D$378,"&gt;0"),""))</f>
        <v/>
      </c>
      <c r="R206" s="14" t="str">
        <f aca="false">IF(O206="","",IFERROR(O206-AVERAGEIFS(Питание!$B$14:$B$378,Питание!$A$14:$A$378,"&gt;"&amp;$A206-14,Питание!$A$14:$A$378,"&lt;="&amp;$A206-7,Питание!$B$14:$B$378,"&gt;0"),""))</f>
        <v/>
      </c>
      <c r="S206" s="15" t="str">
        <f aca="false">IF(R206="","",R206/O206)</f>
        <v/>
      </c>
      <c r="T206" s="11" t="str">
        <f aca="false">IF(O206="","",O206-StartWeight)</f>
        <v/>
      </c>
    </row>
    <row r="207" customFormat="false" ht="15" hidden="false" customHeight="true" outlineLevel="0" collapsed="false">
      <c r="A207" s="16" t="n">
        <f aca="false">A206+1</f>
        <v>46487</v>
      </c>
      <c r="B207" s="17"/>
      <c r="C207" s="18"/>
      <c r="D207" s="18"/>
      <c r="E207" s="18"/>
      <c r="F207" s="18"/>
      <c r="G207" s="18"/>
      <c r="H207" s="17"/>
      <c r="I207" s="19"/>
      <c r="J207" s="10" t="str">
        <f aca="false">IF(C207="","",C207-TargetKcal)</f>
        <v/>
      </c>
      <c r="K207" s="10" t="str">
        <f aca="false">IF(D207="","",D207-TargetProtein)</f>
        <v/>
      </c>
      <c r="L207" s="10" t="str">
        <f aca="false">IF(E207="","",E207-TargetFat)</f>
        <v/>
      </c>
      <c r="M207" s="10" t="str">
        <f aca="false">IF(F207="","",F207-TargetCarb)</f>
        <v/>
      </c>
      <c r="N207" s="10" t="str">
        <f aca="false">IF(COUNT(C207:F207)&lt;4,"",ROUND(4*D207+9*E207+4*F207-C207,0))</f>
        <v/>
      </c>
      <c r="O207" s="13" t="str">
        <f aca="false">IF(B207="","",IFERROR(AVERAGEIFS(Питание!$B$14:$B$378,Питание!$A$14:$A$378,"&gt;"&amp;$A207-7,Питание!$A$14:$A$378,"&lt;="&amp;$A207,Питание!$B$14:$B$378,"&gt;0"),""))</f>
        <v/>
      </c>
      <c r="P207" s="8" t="str">
        <f aca="false">IF(C207="","",IFERROR(AVERAGEIFS(Питание!$C$14:$C$378,Питание!$A$14:$A$378,"&gt;"&amp;$A207-7,Питание!$A$14:$A$378,"&lt;="&amp;$A207,Питание!$C$14:$C$378,"&gt;0"),""))</f>
        <v/>
      </c>
      <c r="Q207" s="8" t="str">
        <f aca="false">IF(D207="","",IFERROR(AVERAGEIFS(Питание!$D$14:$D$378,Питание!$A$14:$A$378,"&gt;"&amp;$A207-7,Питание!$A$14:$A$378,"&lt;="&amp;$A207,Питание!$D$14:$D$378,"&gt;0"),""))</f>
        <v/>
      </c>
      <c r="R207" s="14" t="str">
        <f aca="false">IF(O207="","",IFERROR(O207-AVERAGEIFS(Питание!$B$14:$B$378,Питание!$A$14:$A$378,"&gt;"&amp;$A207-14,Питание!$A$14:$A$378,"&lt;="&amp;$A207-7,Питание!$B$14:$B$378,"&gt;0"),""))</f>
        <v/>
      </c>
      <c r="S207" s="15" t="str">
        <f aca="false">IF(R207="","",R207/O207)</f>
        <v/>
      </c>
      <c r="T207" s="11" t="str">
        <f aca="false">IF(O207="","",O207-StartWeight)</f>
        <v/>
      </c>
    </row>
    <row r="208" customFormat="false" ht="15" hidden="false" customHeight="true" outlineLevel="0" collapsed="false">
      <c r="A208" s="16" t="n">
        <f aca="false">A207+1</f>
        <v>46488</v>
      </c>
      <c r="B208" s="17"/>
      <c r="C208" s="18"/>
      <c r="D208" s="18"/>
      <c r="E208" s="18"/>
      <c r="F208" s="18"/>
      <c r="G208" s="18"/>
      <c r="H208" s="17"/>
      <c r="I208" s="19"/>
      <c r="J208" s="10" t="str">
        <f aca="false">IF(C208="","",C208-TargetKcal)</f>
        <v/>
      </c>
      <c r="K208" s="10" t="str">
        <f aca="false">IF(D208="","",D208-TargetProtein)</f>
        <v/>
      </c>
      <c r="L208" s="10" t="str">
        <f aca="false">IF(E208="","",E208-TargetFat)</f>
        <v/>
      </c>
      <c r="M208" s="10" t="str">
        <f aca="false">IF(F208="","",F208-TargetCarb)</f>
        <v/>
      </c>
      <c r="N208" s="10" t="str">
        <f aca="false">IF(COUNT(C208:F208)&lt;4,"",ROUND(4*D208+9*E208+4*F208-C208,0))</f>
        <v/>
      </c>
      <c r="O208" s="13" t="str">
        <f aca="false">IF(B208="","",IFERROR(AVERAGEIFS(Питание!$B$14:$B$378,Питание!$A$14:$A$378,"&gt;"&amp;$A208-7,Питание!$A$14:$A$378,"&lt;="&amp;$A208,Питание!$B$14:$B$378,"&gt;0"),""))</f>
        <v/>
      </c>
      <c r="P208" s="8" t="str">
        <f aca="false">IF(C208="","",IFERROR(AVERAGEIFS(Питание!$C$14:$C$378,Питание!$A$14:$A$378,"&gt;"&amp;$A208-7,Питание!$A$14:$A$378,"&lt;="&amp;$A208,Питание!$C$14:$C$378,"&gt;0"),""))</f>
        <v/>
      </c>
      <c r="Q208" s="8" t="str">
        <f aca="false">IF(D208="","",IFERROR(AVERAGEIFS(Питание!$D$14:$D$378,Питание!$A$14:$A$378,"&gt;"&amp;$A208-7,Питание!$A$14:$A$378,"&lt;="&amp;$A208,Питание!$D$14:$D$378,"&gt;0"),""))</f>
        <v/>
      </c>
      <c r="R208" s="14" t="str">
        <f aca="false">IF(O208="","",IFERROR(O208-AVERAGEIFS(Питание!$B$14:$B$378,Питание!$A$14:$A$378,"&gt;"&amp;$A208-14,Питание!$A$14:$A$378,"&lt;="&amp;$A208-7,Питание!$B$14:$B$378,"&gt;0"),""))</f>
        <v/>
      </c>
      <c r="S208" s="15" t="str">
        <f aca="false">IF(R208="","",R208/O208)</f>
        <v/>
      </c>
      <c r="T208" s="11" t="str">
        <f aca="false">IF(O208="","",O208-StartWeight)</f>
        <v/>
      </c>
    </row>
    <row r="209" customFormat="false" ht="15" hidden="false" customHeight="true" outlineLevel="0" collapsed="false">
      <c r="A209" s="16" t="n">
        <f aca="false">A208+1</f>
        <v>46489</v>
      </c>
      <c r="B209" s="17"/>
      <c r="C209" s="18"/>
      <c r="D209" s="18"/>
      <c r="E209" s="18"/>
      <c r="F209" s="18"/>
      <c r="G209" s="18"/>
      <c r="H209" s="17"/>
      <c r="I209" s="19"/>
      <c r="J209" s="10" t="str">
        <f aca="false">IF(C209="","",C209-TargetKcal)</f>
        <v/>
      </c>
      <c r="K209" s="10" t="str">
        <f aca="false">IF(D209="","",D209-TargetProtein)</f>
        <v/>
      </c>
      <c r="L209" s="10" t="str">
        <f aca="false">IF(E209="","",E209-TargetFat)</f>
        <v/>
      </c>
      <c r="M209" s="10" t="str">
        <f aca="false">IF(F209="","",F209-TargetCarb)</f>
        <v/>
      </c>
      <c r="N209" s="10" t="str">
        <f aca="false">IF(COUNT(C209:F209)&lt;4,"",ROUND(4*D209+9*E209+4*F209-C209,0))</f>
        <v/>
      </c>
      <c r="O209" s="13" t="str">
        <f aca="false">IF(B209="","",IFERROR(AVERAGEIFS(Питание!$B$14:$B$378,Питание!$A$14:$A$378,"&gt;"&amp;$A209-7,Питание!$A$14:$A$378,"&lt;="&amp;$A209,Питание!$B$14:$B$378,"&gt;0"),""))</f>
        <v/>
      </c>
      <c r="P209" s="8" t="str">
        <f aca="false">IF(C209="","",IFERROR(AVERAGEIFS(Питание!$C$14:$C$378,Питание!$A$14:$A$378,"&gt;"&amp;$A209-7,Питание!$A$14:$A$378,"&lt;="&amp;$A209,Питание!$C$14:$C$378,"&gt;0"),""))</f>
        <v/>
      </c>
      <c r="Q209" s="8" t="str">
        <f aca="false">IF(D209="","",IFERROR(AVERAGEIFS(Питание!$D$14:$D$378,Питание!$A$14:$A$378,"&gt;"&amp;$A209-7,Питание!$A$14:$A$378,"&lt;="&amp;$A209,Питание!$D$14:$D$378,"&gt;0"),""))</f>
        <v/>
      </c>
      <c r="R209" s="14" t="str">
        <f aca="false">IF(O209="","",IFERROR(O209-AVERAGEIFS(Питание!$B$14:$B$378,Питание!$A$14:$A$378,"&gt;"&amp;$A209-14,Питание!$A$14:$A$378,"&lt;="&amp;$A209-7,Питание!$B$14:$B$378,"&gt;0"),""))</f>
        <v/>
      </c>
      <c r="S209" s="15" t="str">
        <f aca="false">IF(R209="","",R209/O209)</f>
        <v/>
      </c>
      <c r="T209" s="11" t="str">
        <f aca="false">IF(O209="","",O209-StartWeight)</f>
        <v/>
      </c>
    </row>
    <row r="210" customFormat="false" ht="15" hidden="false" customHeight="true" outlineLevel="0" collapsed="false">
      <c r="A210" s="16" t="n">
        <f aca="false">A209+1</f>
        <v>46490</v>
      </c>
      <c r="B210" s="17"/>
      <c r="C210" s="18"/>
      <c r="D210" s="18"/>
      <c r="E210" s="18"/>
      <c r="F210" s="18"/>
      <c r="G210" s="18"/>
      <c r="H210" s="17"/>
      <c r="I210" s="19"/>
      <c r="J210" s="10" t="str">
        <f aca="false">IF(C210="","",C210-TargetKcal)</f>
        <v/>
      </c>
      <c r="K210" s="10" t="str">
        <f aca="false">IF(D210="","",D210-TargetProtein)</f>
        <v/>
      </c>
      <c r="L210" s="10" t="str">
        <f aca="false">IF(E210="","",E210-TargetFat)</f>
        <v/>
      </c>
      <c r="M210" s="10" t="str">
        <f aca="false">IF(F210="","",F210-TargetCarb)</f>
        <v/>
      </c>
      <c r="N210" s="10" t="str">
        <f aca="false">IF(COUNT(C210:F210)&lt;4,"",ROUND(4*D210+9*E210+4*F210-C210,0))</f>
        <v/>
      </c>
      <c r="O210" s="13" t="str">
        <f aca="false">IF(B210="","",IFERROR(AVERAGEIFS(Питание!$B$14:$B$378,Питание!$A$14:$A$378,"&gt;"&amp;$A210-7,Питание!$A$14:$A$378,"&lt;="&amp;$A210,Питание!$B$14:$B$378,"&gt;0"),""))</f>
        <v/>
      </c>
      <c r="P210" s="8" t="str">
        <f aca="false">IF(C210="","",IFERROR(AVERAGEIFS(Питание!$C$14:$C$378,Питание!$A$14:$A$378,"&gt;"&amp;$A210-7,Питание!$A$14:$A$378,"&lt;="&amp;$A210,Питание!$C$14:$C$378,"&gt;0"),""))</f>
        <v/>
      </c>
      <c r="Q210" s="8" t="str">
        <f aca="false">IF(D210="","",IFERROR(AVERAGEIFS(Питание!$D$14:$D$378,Питание!$A$14:$A$378,"&gt;"&amp;$A210-7,Питание!$A$14:$A$378,"&lt;="&amp;$A210,Питание!$D$14:$D$378,"&gt;0"),""))</f>
        <v/>
      </c>
      <c r="R210" s="14" t="str">
        <f aca="false">IF(O210="","",IFERROR(O210-AVERAGEIFS(Питание!$B$14:$B$378,Питание!$A$14:$A$378,"&gt;"&amp;$A210-14,Питание!$A$14:$A$378,"&lt;="&amp;$A210-7,Питание!$B$14:$B$378,"&gt;0"),""))</f>
        <v/>
      </c>
      <c r="S210" s="15" t="str">
        <f aca="false">IF(R210="","",R210/O210)</f>
        <v/>
      </c>
      <c r="T210" s="11" t="str">
        <f aca="false">IF(O210="","",O210-StartWeight)</f>
        <v/>
      </c>
    </row>
    <row r="211" customFormat="false" ht="15" hidden="false" customHeight="true" outlineLevel="0" collapsed="false">
      <c r="A211" s="16" t="n">
        <f aca="false">A210+1</f>
        <v>46491</v>
      </c>
      <c r="B211" s="17"/>
      <c r="C211" s="18"/>
      <c r="D211" s="18"/>
      <c r="E211" s="18"/>
      <c r="F211" s="18"/>
      <c r="G211" s="18"/>
      <c r="H211" s="17"/>
      <c r="I211" s="19"/>
      <c r="J211" s="10" t="str">
        <f aca="false">IF(C211="","",C211-TargetKcal)</f>
        <v/>
      </c>
      <c r="K211" s="10" t="str">
        <f aca="false">IF(D211="","",D211-TargetProtein)</f>
        <v/>
      </c>
      <c r="L211" s="10" t="str">
        <f aca="false">IF(E211="","",E211-TargetFat)</f>
        <v/>
      </c>
      <c r="M211" s="10" t="str">
        <f aca="false">IF(F211="","",F211-TargetCarb)</f>
        <v/>
      </c>
      <c r="N211" s="10" t="str">
        <f aca="false">IF(COUNT(C211:F211)&lt;4,"",ROUND(4*D211+9*E211+4*F211-C211,0))</f>
        <v/>
      </c>
      <c r="O211" s="13" t="str">
        <f aca="false">IF(B211="","",IFERROR(AVERAGEIFS(Питание!$B$14:$B$378,Питание!$A$14:$A$378,"&gt;"&amp;$A211-7,Питание!$A$14:$A$378,"&lt;="&amp;$A211,Питание!$B$14:$B$378,"&gt;0"),""))</f>
        <v/>
      </c>
      <c r="P211" s="8" t="str">
        <f aca="false">IF(C211="","",IFERROR(AVERAGEIFS(Питание!$C$14:$C$378,Питание!$A$14:$A$378,"&gt;"&amp;$A211-7,Питание!$A$14:$A$378,"&lt;="&amp;$A211,Питание!$C$14:$C$378,"&gt;0"),""))</f>
        <v/>
      </c>
      <c r="Q211" s="8" t="str">
        <f aca="false">IF(D211="","",IFERROR(AVERAGEIFS(Питание!$D$14:$D$378,Питание!$A$14:$A$378,"&gt;"&amp;$A211-7,Питание!$A$14:$A$378,"&lt;="&amp;$A211,Питание!$D$14:$D$378,"&gt;0"),""))</f>
        <v/>
      </c>
      <c r="R211" s="14" t="str">
        <f aca="false">IF(O211="","",IFERROR(O211-AVERAGEIFS(Питание!$B$14:$B$378,Питание!$A$14:$A$378,"&gt;"&amp;$A211-14,Питание!$A$14:$A$378,"&lt;="&amp;$A211-7,Питание!$B$14:$B$378,"&gt;0"),""))</f>
        <v/>
      </c>
      <c r="S211" s="15" t="str">
        <f aca="false">IF(R211="","",R211/O211)</f>
        <v/>
      </c>
      <c r="T211" s="11" t="str">
        <f aca="false">IF(O211="","",O211-StartWeight)</f>
        <v/>
      </c>
    </row>
    <row r="212" customFormat="false" ht="15" hidden="false" customHeight="true" outlineLevel="0" collapsed="false">
      <c r="A212" s="16" t="n">
        <f aca="false">A211+1</f>
        <v>46492</v>
      </c>
      <c r="B212" s="17"/>
      <c r="C212" s="18"/>
      <c r="D212" s="18"/>
      <c r="E212" s="18"/>
      <c r="F212" s="18"/>
      <c r="G212" s="18"/>
      <c r="H212" s="17"/>
      <c r="I212" s="19"/>
      <c r="J212" s="10" t="str">
        <f aca="false">IF(C212="","",C212-TargetKcal)</f>
        <v/>
      </c>
      <c r="K212" s="10" t="str">
        <f aca="false">IF(D212="","",D212-TargetProtein)</f>
        <v/>
      </c>
      <c r="L212" s="10" t="str">
        <f aca="false">IF(E212="","",E212-TargetFat)</f>
        <v/>
      </c>
      <c r="M212" s="10" t="str">
        <f aca="false">IF(F212="","",F212-TargetCarb)</f>
        <v/>
      </c>
      <c r="N212" s="10" t="str">
        <f aca="false">IF(COUNT(C212:F212)&lt;4,"",ROUND(4*D212+9*E212+4*F212-C212,0))</f>
        <v/>
      </c>
      <c r="O212" s="13" t="str">
        <f aca="false">IF(B212="","",IFERROR(AVERAGEIFS(Питание!$B$14:$B$378,Питание!$A$14:$A$378,"&gt;"&amp;$A212-7,Питание!$A$14:$A$378,"&lt;="&amp;$A212,Питание!$B$14:$B$378,"&gt;0"),""))</f>
        <v/>
      </c>
      <c r="P212" s="8" t="str">
        <f aca="false">IF(C212="","",IFERROR(AVERAGEIFS(Питание!$C$14:$C$378,Питание!$A$14:$A$378,"&gt;"&amp;$A212-7,Питание!$A$14:$A$378,"&lt;="&amp;$A212,Питание!$C$14:$C$378,"&gt;0"),""))</f>
        <v/>
      </c>
      <c r="Q212" s="8" t="str">
        <f aca="false">IF(D212="","",IFERROR(AVERAGEIFS(Питание!$D$14:$D$378,Питание!$A$14:$A$378,"&gt;"&amp;$A212-7,Питание!$A$14:$A$378,"&lt;="&amp;$A212,Питание!$D$14:$D$378,"&gt;0"),""))</f>
        <v/>
      </c>
      <c r="R212" s="14" t="str">
        <f aca="false">IF(O212="","",IFERROR(O212-AVERAGEIFS(Питание!$B$14:$B$378,Питание!$A$14:$A$378,"&gt;"&amp;$A212-14,Питание!$A$14:$A$378,"&lt;="&amp;$A212-7,Питание!$B$14:$B$378,"&gt;0"),""))</f>
        <v/>
      </c>
      <c r="S212" s="15" t="str">
        <f aca="false">IF(R212="","",R212/O212)</f>
        <v/>
      </c>
      <c r="T212" s="11" t="str">
        <f aca="false">IF(O212="","",O212-StartWeight)</f>
        <v/>
      </c>
    </row>
    <row r="213" customFormat="false" ht="15" hidden="false" customHeight="true" outlineLevel="0" collapsed="false">
      <c r="A213" s="16" t="n">
        <f aca="false">A212+1</f>
        <v>46493</v>
      </c>
      <c r="B213" s="17"/>
      <c r="C213" s="18"/>
      <c r="D213" s="18"/>
      <c r="E213" s="18"/>
      <c r="F213" s="18"/>
      <c r="G213" s="18"/>
      <c r="H213" s="17"/>
      <c r="I213" s="19"/>
      <c r="J213" s="10" t="str">
        <f aca="false">IF(C213="","",C213-TargetKcal)</f>
        <v/>
      </c>
      <c r="K213" s="10" t="str">
        <f aca="false">IF(D213="","",D213-TargetProtein)</f>
        <v/>
      </c>
      <c r="L213" s="10" t="str">
        <f aca="false">IF(E213="","",E213-TargetFat)</f>
        <v/>
      </c>
      <c r="M213" s="10" t="str">
        <f aca="false">IF(F213="","",F213-TargetCarb)</f>
        <v/>
      </c>
      <c r="N213" s="10" t="str">
        <f aca="false">IF(COUNT(C213:F213)&lt;4,"",ROUND(4*D213+9*E213+4*F213-C213,0))</f>
        <v/>
      </c>
      <c r="O213" s="13" t="str">
        <f aca="false">IF(B213="","",IFERROR(AVERAGEIFS(Питание!$B$14:$B$378,Питание!$A$14:$A$378,"&gt;"&amp;$A213-7,Питание!$A$14:$A$378,"&lt;="&amp;$A213,Питание!$B$14:$B$378,"&gt;0"),""))</f>
        <v/>
      </c>
      <c r="P213" s="8" t="str">
        <f aca="false">IF(C213="","",IFERROR(AVERAGEIFS(Питание!$C$14:$C$378,Питание!$A$14:$A$378,"&gt;"&amp;$A213-7,Питание!$A$14:$A$378,"&lt;="&amp;$A213,Питание!$C$14:$C$378,"&gt;0"),""))</f>
        <v/>
      </c>
      <c r="Q213" s="8" t="str">
        <f aca="false">IF(D213="","",IFERROR(AVERAGEIFS(Питание!$D$14:$D$378,Питание!$A$14:$A$378,"&gt;"&amp;$A213-7,Питание!$A$14:$A$378,"&lt;="&amp;$A213,Питание!$D$14:$D$378,"&gt;0"),""))</f>
        <v/>
      </c>
      <c r="R213" s="14" t="str">
        <f aca="false">IF(O213="","",IFERROR(O213-AVERAGEIFS(Питание!$B$14:$B$378,Питание!$A$14:$A$378,"&gt;"&amp;$A213-14,Питание!$A$14:$A$378,"&lt;="&amp;$A213-7,Питание!$B$14:$B$378,"&gt;0"),""))</f>
        <v/>
      </c>
      <c r="S213" s="15" t="str">
        <f aca="false">IF(R213="","",R213/O213)</f>
        <v/>
      </c>
      <c r="T213" s="11" t="str">
        <f aca="false">IF(O213="","",O213-StartWeight)</f>
        <v/>
      </c>
    </row>
    <row r="214" customFormat="false" ht="15" hidden="false" customHeight="true" outlineLevel="0" collapsed="false">
      <c r="A214" s="16" t="n">
        <f aca="false">A213+1</f>
        <v>46494</v>
      </c>
      <c r="B214" s="17"/>
      <c r="C214" s="18"/>
      <c r="D214" s="18"/>
      <c r="E214" s="18"/>
      <c r="F214" s="18"/>
      <c r="G214" s="18"/>
      <c r="H214" s="17"/>
      <c r="I214" s="19"/>
      <c r="J214" s="10" t="str">
        <f aca="false">IF(C214="","",C214-TargetKcal)</f>
        <v/>
      </c>
      <c r="K214" s="10" t="str">
        <f aca="false">IF(D214="","",D214-TargetProtein)</f>
        <v/>
      </c>
      <c r="L214" s="10" t="str">
        <f aca="false">IF(E214="","",E214-TargetFat)</f>
        <v/>
      </c>
      <c r="M214" s="10" t="str">
        <f aca="false">IF(F214="","",F214-TargetCarb)</f>
        <v/>
      </c>
      <c r="N214" s="10" t="str">
        <f aca="false">IF(COUNT(C214:F214)&lt;4,"",ROUND(4*D214+9*E214+4*F214-C214,0))</f>
        <v/>
      </c>
      <c r="O214" s="13" t="str">
        <f aca="false">IF(B214="","",IFERROR(AVERAGEIFS(Питание!$B$14:$B$378,Питание!$A$14:$A$378,"&gt;"&amp;$A214-7,Питание!$A$14:$A$378,"&lt;="&amp;$A214,Питание!$B$14:$B$378,"&gt;0"),""))</f>
        <v/>
      </c>
      <c r="P214" s="8" t="str">
        <f aca="false">IF(C214="","",IFERROR(AVERAGEIFS(Питание!$C$14:$C$378,Питание!$A$14:$A$378,"&gt;"&amp;$A214-7,Питание!$A$14:$A$378,"&lt;="&amp;$A214,Питание!$C$14:$C$378,"&gt;0"),""))</f>
        <v/>
      </c>
      <c r="Q214" s="8" t="str">
        <f aca="false">IF(D214="","",IFERROR(AVERAGEIFS(Питание!$D$14:$D$378,Питание!$A$14:$A$378,"&gt;"&amp;$A214-7,Питание!$A$14:$A$378,"&lt;="&amp;$A214,Питание!$D$14:$D$378,"&gt;0"),""))</f>
        <v/>
      </c>
      <c r="R214" s="14" t="str">
        <f aca="false">IF(O214="","",IFERROR(O214-AVERAGEIFS(Питание!$B$14:$B$378,Питание!$A$14:$A$378,"&gt;"&amp;$A214-14,Питание!$A$14:$A$378,"&lt;="&amp;$A214-7,Питание!$B$14:$B$378,"&gt;0"),""))</f>
        <v/>
      </c>
      <c r="S214" s="15" t="str">
        <f aca="false">IF(R214="","",R214/O214)</f>
        <v/>
      </c>
      <c r="T214" s="11" t="str">
        <f aca="false">IF(O214="","",O214-StartWeight)</f>
        <v/>
      </c>
    </row>
    <row r="215" customFormat="false" ht="15" hidden="false" customHeight="true" outlineLevel="0" collapsed="false">
      <c r="A215" s="16" t="n">
        <f aca="false">A214+1</f>
        <v>46495</v>
      </c>
      <c r="B215" s="17"/>
      <c r="C215" s="18"/>
      <c r="D215" s="18"/>
      <c r="E215" s="18"/>
      <c r="F215" s="18"/>
      <c r="G215" s="18"/>
      <c r="H215" s="17"/>
      <c r="I215" s="19"/>
      <c r="J215" s="10" t="str">
        <f aca="false">IF(C215="","",C215-TargetKcal)</f>
        <v/>
      </c>
      <c r="K215" s="10" t="str">
        <f aca="false">IF(D215="","",D215-TargetProtein)</f>
        <v/>
      </c>
      <c r="L215" s="10" t="str">
        <f aca="false">IF(E215="","",E215-TargetFat)</f>
        <v/>
      </c>
      <c r="M215" s="10" t="str">
        <f aca="false">IF(F215="","",F215-TargetCarb)</f>
        <v/>
      </c>
      <c r="N215" s="10" t="str">
        <f aca="false">IF(COUNT(C215:F215)&lt;4,"",ROUND(4*D215+9*E215+4*F215-C215,0))</f>
        <v/>
      </c>
      <c r="O215" s="13" t="str">
        <f aca="false">IF(B215="","",IFERROR(AVERAGEIFS(Питание!$B$14:$B$378,Питание!$A$14:$A$378,"&gt;"&amp;$A215-7,Питание!$A$14:$A$378,"&lt;="&amp;$A215,Питание!$B$14:$B$378,"&gt;0"),""))</f>
        <v/>
      </c>
      <c r="P215" s="8" t="str">
        <f aca="false">IF(C215="","",IFERROR(AVERAGEIFS(Питание!$C$14:$C$378,Питание!$A$14:$A$378,"&gt;"&amp;$A215-7,Питание!$A$14:$A$378,"&lt;="&amp;$A215,Питание!$C$14:$C$378,"&gt;0"),""))</f>
        <v/>
      </c>
      <c r="Q215" s="8" t="str">
        <f aca="false">IF(D215="","",IFERROR(AVERAGEIFS(Питание!$D$14:$D$378,Питание!$A$14:$A$378,"&gt;"&amp;$A215-7,Питание!$A$14:$A$378,"&lt;="&amp;$A215,Питание!$D$14:$D$378,"&gt;0"),""))</f>
        <v/>
      </c>
      <c r="R215" s="14" t="str">
        <f aca="false">IF(O215="","",IFERROR(O215-AVERAGEIFS(Питание!$B$14:$B$378,Питание!$A$14:$A$378,"&gt;"&amp;$A215-14,Питание!$A$14:$A$378,"&lt;="&amp;$A215-7,Питание!$B$14:$B$378,"&gt;0"),""))</f>
        <v/>
      </c>
      <c r="S215" s="15" t="str">
        <f aca="false">IF(R215="","",R215/O215)</f>
        <v/>
      </c>
      <c r="T215" s="11" t="str">
        <f aca="false">IF(O215="","",O215-StartWeight)</f>
        <v/>
      </c>
    </row>
    <row r="216" customFormat="false" ht="15" hidden="false" customHeight="true" outlineLevel="0" collapsed="false">
      <c r="A216" s="16" t="n">
        <f aca="false">A215+1</f>
        <v>46496</v>
      </c>
      <c r="B216" s="17"/>
      <c r="C216" s="18"/>
      <c r="D216" s="18"/>
      <c r="E216" s="18"/>
      <c r="F216" s="18"/>
      <c r="G216" s="18"/>
      <c r="H216" s="17"/>
      <c r="I216" s="19"/>
      <c r="J216" s="10" t="str">
        <f aca="false">IF(C216="","",C216-TargetKcal)</f>
        <v/>
      </c>
      <c r="K216" s="10" t="str">
        <f aca="false">IF(D216="","",D216-TargetProtein)</f>
        <v/>
      </c>
      <c r="L216" s="10" t="str">
        <f aca="false">IF(E216="","",E216-TargetFat)</f>
        <v/>
      </c>
      <c r="M216" s="10" t="str">
        <f aca="false">IF(F216="","",F216-TargetCarb)</f>
        <v/>
      </c>
      <c r="N216" s="10" t="str">
        <f aca="false">IF(COUNT(C216:F216)&lt;4,"",ROUND(4*D216+9*E216+4*F216-C216,0))</f>
        <v/>
      </c>
      <c r="O216" s="13" t="str">
        <f aca="false">IF(B216="","",IFERROR(AVERAGEIFS(Питание!$B$14:$B$378,Питание!$A$14:$A$378,"&gt;"&amp;$A216-7,Питание!$A$14:$A$378,"&lt;="&amp;$A216,Питание!$B$14:$B$378,"&gt;0"),""))</f>
        <v/>
      </c>
      <c r="P216" s="8" t="str">
        <f aca="false">IF(C216="","",IFERROR(AVERAGEIFS(Питание!$C$14:$C$378,Питание!$A$14:$A$378,"&gt;"&amp;$A216-7,Питание!$A$14:$A$378,"&lt;="&amp;$A216,Питание!$C$14:$C$378,"&gt;0"),""))</f>
        <v/>
      </c>
      <c r="Q216" s="8" t="str">
        <f aca="false">IF(D216="","",IFERROR(AVERAGEIFS(Питание!$D$14:$D$378,Питание!$A$14:$A$378,"&gt;"&amp;$A216-7,Питание!$A$14:$A$378,"&lt;="&amp;$A216,Питание!$D$14:$D$378,"&gt;0"),""))</f>
        <v/>
      </c>
      <c r="R216" s="14" t="str">
        <f aca="false">IF(O216="","",IFERROR(O216-AVERAGEIFS(Питание!$B$14:$B$378,Питание!$A$14:$A$378,"&gt;"&amp;$A216-14,Питание!$A$14:$A$378,"&lt;="&amp;$A216-7,Питание!$B$14:$B$378,"&gt;0"),""))</f>
        <v/>
      </c>
      <c r="S216" s="15" t="str">
        <f aca="false">IF(R216="","",R216/O216)</f>
        <v/>
      </c>
      <c r="T216" s="11" t="str">
        <f aca="false">IF(O216="","",O216-StartWeight)</f>
        <v/>
      </c>
    </row>
    <row r="217" customFormat="false" ht="15" hidden="false" customHeight="true" outlineLevel="0" collapsed="false">
      <c r="A217" s="16" t="n">
        <f aca="false">A216+1</f>
        <v>46497</v>
      </c>
      <c r="B217" s="17"/>
      <c r="C217" s="18"/>
      <c r="D217" s="18"/>
      <c r="E217" s="18"/>
      <c r="F217" s="18"/>
      <c r="G217" s="18"/>
      <c r="H217" s="17"/>
      <c r="I217" s="19"/>
      <c r="J217" s="10" t="str">
        <f aca="false">IF(C217="","",C217-TargetKcal)</f>
        <v/>
      </c>
      <c r="K217" s="10" t="str">
        <f aca="false">IF(D217="","",D217-TargetProtein)</f>
        <v/>
      </c>
      <c r="L217" s="10" t="str">
        <f aca="false">IF(E217="","",E217-TargetFat)</f>
        <v/>
      </c>
      <c r="M217" s="10" t="str">
        <f aca="false">IF(F217="","",F217-TargetCarb)</f>
        <v/>
      </c>
      <c r="N217" s="10" t="str">
        <f aca="false">IF(COUNT(C217:F217)&lt;4,"",ROUND(4*D217+9*E217+4*F217-C217,0))</f>
        <v/>
      </c>
      <c r="O217" s="13" t="str">
        <f aca="false">IF(B217="","",IFERROR(AVERAGEIFS(Питание!$B$14:$B$378,Питание!$A$14:$A$378,"&gt;"&amp;$A217-7,Питание!$A$14:$A$378,"&lt;="&amp;$A217,Питание!$B$14:$B$378,"&gt;0"),""))</f>
        <v/>
      </c>
      <c r="P217" s="8" t="str">
        <f aca="false">IF(C217="","",IFERROR(AVERAGEIFS(Питание!$C$14:$C$378,Питание!$A$14:$A$378,"&gt;"&amp;$A217-7,Питание!$A$14:$A$378,"&lt;="&amp;$A217,Питание!$C$14:$C$378,"&gt;0"),""))</f>
        <v/>
      </c>
      <c r="Q217" s="8" t="str">
        <f aca="false">IF(D217="","",IFERROR(AVERAGEIFS(Питание!$D$14:$D$378,Питание!$A$14:$A$378,"&gt;"&amp;$A217-7,Питание!$A$14:$A$378,"&lt;="&amp;$A217,Питание!$D$14:$D$378,"&gt;0"),""))</f>
        <v/>
      </c>
      <c r="R217" s="14" t="str">
        <f aca="false">IF(O217="","",IFERROR(O217-AVERAGEIFS(Питание!$B$14:$B$378,Питание!$A$14:$A$378,"&gt;"&amp;$A217-14,Питание!$A$14:$A$378,"&lt;="&amp;$A217-7,Питание!$B$14:$B$378,"&gt;0"),""))</f>
        <v/>
      </c>
      <c r="S217" s="15" t="str">
        <f aca="false">IF(R217="","",R217/O217)</f>
        <v/>
      </c>
      <c r="T217" s="11" t="str">
        <f aca="false">IF(O217="","",O217-StartWeight)</f>
        <v/>
      </c>
    </row>
    <row r="218" customFormat="false" ht="15" hidden="false" customHeight="true" outlineLevel="0" collapsed="false">
      <c r="A218" s="16" t="n">
        <f aca="false">A217+1</f>
        <v>46498</v>
      </c>
      <c r="B218" s="17"/>
      <c r="C218" s="18"/>
      <c r="D218" s="18"/>
      <c r="E218" s="18"/>
      <c r="F218" s="18"/>
      <c r="G218" s="18"/>
      <c r="H218" s="17"/>
      <c r="I218" s="19"/>
      <c r="J218" s="10" t="str">
        <f aca="false">IF(C218="","",C218-TargetKcal)</f>
        <v/>
      </c>
      <c r="K218" s="10" t="str">
        <f aca="false">IF(D218="","",D218-TargetProtein)</f>
        <v/>
      </c>
      <c r="L218" s="10" t="str">
        <f aca="false">IF(E218="","",E218-TargetFat)</f>
        <v/>
      </c>
      <c r="M218" s="10" t="str">
        <f aca="false">IF(F218="","",F218-TargetCarb)</f>
        <v/>
      </c>
      <c r="N218" s="10" t="str">
        <f aca="false">IF(COUNT(C218:F218)&lt;4,"",ROUND(4*D218+9*E218+4*F218-C218,0))</f>
        <v/>
      </c>
      <c r="O218" s="13" t="str">
        <f aca="false">IF(B218="","",IFERROR(AVERAGEIFS(Питание!$B$14:$B$378,Питание!$A$14:$A$378,"&gt;"&amp;$A218-7,Питание!$A$14:$A$378,"&lt;="&amp;$A218,Питание!$B$14:$B$378,"&gt;0"),""))</f>
        <v/>
      </c>
      <c r="P218" s="8" t="str">
        <f aca="false">IF(C218="","",IFERROR(AVERAGEIFS(Питание!$C$14:$C$378,Питание!$A$14:$A$378,"&gt;"&amp;$A218-7,Питание!$A$14:$A$378,"&lt;="&amp;$A218,Питание!$C$14:$C$378,"&gt;0"),""))</f>
        <v/>
      </c>
      <c r="Q218" s="8" t="str">
        <f aca="false">IF(D218="","",IFERROR(AVERAGEIFS(Питание!$D$14:$D$378,Питание!$A$14:$A$378,"&gt;"&amp;$A218-7,Питание!$A$14:$A$378,"&lt;="&amp;$A218,Питание!$D$14:$D$378,"&gt;0"),""))</f>
        <v/>
      </c>
      <c r="R218" s="14" t="str">
        <f aca="false">IF(O218="","",IFERROR(O218-AVERAGEIFS(Питание!$B$14:$B$378,Питание!$A$14:$A$378,"&gt;"&amp;$A218-14,Питание!$A$14:$A$378,"&lt;="&amp;$A218-7,Питание!$B$14:$B$378,"&gt;0"),""))</f>
        <v/>
      </c>
      <c r="S218" s="15" t="str">
        <f aca="false">IF(R218="","",R218/O218)</f>
        <v/>
      </c>
      <c r="T218" s="11" t="str">
        <f aca="false">IF(O218="","",O218-StartWeight)</f>
        <v/>
      </c>
    </row>
    <row r="219" customFormat="false" ht="15" hidden="false" customHeight="true" outlineLevel="0" collapsed="false">
      <c r="A219" s="16" t="n">
        <f aca="false">A218+1</f>
        <v>46499</v>
      </c>
      <c r="B219" s="17"/>
      <c r="C219" s="18"/>
      <c r="D219" s="18"/>
      <c r="E219" s="18"/>
      <c r="F219" s="18"/>
      <c r="G219" s="18"/>
      <c r="H219" s="17"/>
      <c r="I219" s="19"/>
      <c r="J219" s="10" t="str">
        <f aca="false">IF(C219="","",C219-TargetKcal)</f>
        <v/>
      </c>
      <c r="K219" s="10" t="str">
        <f aca="false">IF(D219="","",D219-TargetProtein)</f>
        <v/>
      </c>
      <c r="L219" s="10" t="str">
        <f aca="false">IF(E219="","",E219-TargetFat)</f>
        <v/>
      </c>
      <c r="M219" s="10" t="str">
        <f aca="false">IF(F219="","",F219-TargetCarb)</f>
        <v/>
      </c>
      <c r="N219" s="10" t="str">
        <f aca="false">IF(COUNT(C219:F219)&lt;4,"",ROUND(4*D219+9*E219+4*F219-C219,0))</f>
        <v/>
      </c>
      <c r="O219" s="13" t="str">
        <f aca="false">IF(B219="","",IFERROR(AVERAGEIFS(Питание!$B$14:$B$378,Питание!$A$14:$A$378,"&gt;"&amp;$A219-7,Питание!$A$14:$A$378,"&lt;="&amp;$A219,Питание!$B$14:$B$378,"&gt;0"),""))</f>
        <v/>
      </c>
      <c r="P219" s="8" t="str">
        <f aca="false">IF(C219="","",IFERROR(AVERAGEIFS(Питание!$C$14:$C$378,Питание!$A$14:$A$378,"&gt;"&amp;$A219-7,Питание!$A$14:$A$378,"&lt;="&amp;$A219,Питание!$C$14:$C$378,"&gt;0"),""))</f>
        <v/>
      </c>
      <c r="Q219" s="8" t="str">
        <f aca="false">IF(D219="","",IFERROR(AVERAGEIFS(Питание!$D$14:$D$378,Питание!$A$14:$A$378,"&gt;"&amp;$A219-7,Питание!$A$14:$A$378,"&lt;="&amp;$A219,Питание!$D$14:$D$378,"&gt;0"),""))</f>
        <v/>
      </c>
      <c r="R219" s="14" t="str">
        <f aca="false">IF(O219="","",IFERROR(O219-AVERAGEIFS(Питание!$B$14:$B$378,Питание!$A$14:$A$378,"&gt;"&amp;$A219-14,Питание!$A$14:$A$378,"&lt;="&amp;$A219-7,Питание!$B$14:$B$378,"&gt;0"),""))</f>
        <v/>
      </c>
      <c r="S219" s="15" t="str">
        <f aca="false">IF(R219="","",R219/O219)</f>
        <v/>
      </c>
      <c r="T219" s="11" t="str">
        <f aca="false">IF(O219="","",O219-StartWeight)</f>
        <v/>
      </c>
    </row>
    <row r="220" customFormat="false" ht="15" hidden="false" customHeight="true" outlineLevel="0" collapsed="false">
      <c r="A220" s="16" t="n">
        <f aca="false">A219+1</f>
        <v>46500</v>
      </c>
      <c r="B220" s="17"/>
      <c r="C220" s="18"/>
      <c r="D220" s="18"/>
      <c r="E220" s="18"/>
      <c r="F220" s="18"/>
      <c r="G220" s="18"/>
      <c r="H220" s="17"/>
      <c r="I220" s="19"/>
      <c r="J220" s="10" t="str">
        <f aca="false">IF(C220="","",C220-TargetKcal)</f>
        <v/>
      </c>
      <c r="K220" s="10" t="str">
        <f aca="false">IF(D220="","",D220-TargetProtein)</f>
        <v/>
      </c>
      <c r="L220" s="10" t="str">
        <f aca="false">IF(E220="","",E220-TargetFat)</f>
        <v/>
      </c>
      <c r="M220" s="10" t="str">
        <f aca="false">IF(F220="","",F220-TargetCarb)</f>
        <v/>
      </c>
      <c r="N220" s="10" t="str">
        <f aca="false">IF(COUNT(C220:F220)&lt;4,"",ROUND(4*D220+9*E220+4*F220-C220,0))</f>
        <v/>
      </c>
      <c r="O220" s="13" t="str">
        <f aca="false">IF(B220="","",IFERROR(AVERAGEIFS(Питание!$B$14:$B$378,Питание!$A$14:$A$378,"&gt;"&amp;$A220-7,Питание!$A$14:$A$378,"&lt;="&amp;$A220,Питание!$B$14:$B$378,"&gt;0"),""))</f>
        <v/>
      </c>
      <c r="P220" s="8" t="str">
        <f aca="false">IF(C220="","",IFERROR(AVERAGEIFS(Питание!$C$14:$C$378,Питание!$A$14:$A$378,"&gt;"&amp;$A220-7,Питание!$A$14:$A$378,"&lt;="&amp;$A220,Питание!$C$14:$C$378,"&gt;0"),""))</f>
        <v/>
      </c>
      <c r="Q220" s="8" t="str">
        <f aca="false">IF(D220="","",IFERROR(AVERAGEIFS(Питание!$D$14:$D$378,Питание!$A$14:$A$378,"&gt;"&amp;$A220-7,Питание!$A$14:$A$378,"&lt;="&amp;$A220,Питание!$D$14:$D$378,"&gt;0"),""))</f>
        <v/>
      </c>
      <c r="R220" s="14" t="str">
        <f aca="false">IF(O220="","",IFERROR(O220-AVERAGEIFS(Питание!$B$14:$B$378,Питание!$A$14:$A$378,"&gt;"&amp;$A220-14,Питание!$A$14:$A$378,"&lt;="&amp;$A220-7,Питание!$B$14:$B$378,"&gt;0"),""))</f>
        <v/>
      </c>
      <c r="S220" s="15" t="str">
        <f aca="false">IF(R220="","",R220/O220)</f>
        <v/>
      </c>
      <c r="T220" s="11" t="str">
        <f aca="false">IF(O220="","",O220-StartWeight)</f>
        <v/>
      </c>
    </row>
    <row r="221" customFormat="false" ht="15" hidden="false" customHeight="true" outlineLevel="0" collapsed="false">
      <c r="A221" s="16" t="n">
        <f aca="false">A220+1</f>
        <v>46501</v>
      </c>
      <c r="B221" s="17"/>
      <c r="C221" s="18"/>
      <c r="D221" s="18"/>
      <c r="E221" s="18"/>
      <c r="F221" s="18"/>
      <c r="G221" s="18"/>
      <c r="H221" s="17"/>
      <c r="I221" s="19"/>
      <c r="J221" s="10" t="str">
        <f aca="false">IF(C221="","",C221-TargetKcal)</f>
        <v/>
      </c>
      <c r="K221" s="10" t="str">
        <f aca="false">IF(D221="","",D221-TargetProtein)</f>
        <v/>
      </c>
      <c r="L221" s="10" t="str">
        <f aca="false">IF(E221="","",E221-TargetFat)</f>
        <v/>
      </c>
      <c r="M221" s="10" t="str">
        <f aca="false">IF(F221="","",F221-TargetCarb)</f>
        <v/>
      </c>
      <c r="N221" s="10" t="str">
        <f aca="false">IF(COUNT(C221:F221)&lt;4,"",ROUND(4*D221+9*E221+4*F221-C221,0))</f>
        <v/>
      </c>
      <c r="O221" s="13" t="str">
        <f aca="false">IF(B221="","",IFERROR(AVERAGEIFS(Питание!$B$14:$B$378,Питание!$A$14:$A$378,"&gt;"&amp;$A221-7,Питание!$A$14:$A$378,"&lt;="&amp;$A221,Питание!$B$14:$B$378,"&gt;0"),""))</f>
        <v/>
      </c>
      <c r="P221" s="8" t="str">
        <f aca="false">IF(C221="","",IFERROR(AVERAGEIFS(Питание!$C$14:$C$378,Питание!$A$14:$A$378,"&gt;"&amp;$A221-7,Питание!$A$14:$A$378,"&lt;="&amp;$A221,Питание!$C$14:$C$378,"&gt;0"),""))</f>
        <v/>
      </c>
      <c r="Q221" s="8" t="str">
        <f aca="false">IF(D221="","",IFERROR(AVERAGEIFS(Питание!$D$14:$D$378,Питание!$A$14:$A$378,"&gt;"&amp;$A221-7,Питание!$A$14:$A$378,"&lt;="&amp;$A221,Питание!$D$14:$D$378,"&gt;0"),""))</f>
        <v/>
      </c>
      <c r="R221" s="14" t="str">
        <f aca="false">IF(O221="","",IFERROR(O221-AVERAGEIFS(Питание!$B$14:$B$378,Питание!$A$14:$A$378,"&gt;"&amp;$A221-14,Питание!$A$14:$A$378,"&lt;="&amp;$A221-7,Питание!$B$14:$B$378,"&gt;0"),""))</f>
        <v/>
      </c>
      <c r="S221" s="15" t="str">
        <f aca="false">IF(R221="","",R221/O221)</f>
        <v/>
      </c>
      <c r="T221" s="11" t="str">
        <f aca="false">IF(O221="","",O221-StartWeight)</f>
        <v/>
      </c>
    </row>
    <row r="222" customFormat="false" ht="15" hidden="false" customHeight="true" outlineLevel="0" collapsed="false">
      <c r="A222" s="16" t="n">
        <f aca="false">A221+1</f>
        <v>46502</v>
      </c>
      <c r="B222" s="17"/>
      <c r="C222" s="18"/>
      <c r="D222" s="18"/>
      <c r="E222" s="18"/>
      <c r="F222" s="18"/>
      <c r="G222" s="18"/>
      <c r="H222" s="17"/>
      <c r="I222" s="19"/>
      <c r="J222" s="10" t="str">
        <f aca="false">IF(C222="","",C222-TargetKcal)</f>
        <v/>
      </c>
      <c r="K222" s="10" t="str">
        <f aca="false">IF(D222="","",D222-TargetProtein)</f>
        <v/>
      </c>
      <c r="L222" s="10" t="str">
        <f aca="false">IF(E222="","",E222-TargetFat)</f>
        <v/>
      </c>
      <c r="M222" s="10" t="str">
        <f aca="false">IF(F222="","",F222-TargetCarb)</f>
        <v/>
      </c>
      <c r="N222" s="10" t="str">
        <f aca="false">IF(COUNT(C222:F222)&lt;4,"",ROUND(4*D222+9*E222+4*F222-C222,0))</f>
        <v/>
      </c>
      <c r="O222" s="13" t="str">
        <f aca="false">IF(B222="","",IFERROR(AVERAGEIFS(Питание!$B$14:$B$378,Питание!$A$14:$A$378,"&gt;"&amp;$A222-7,Питание!$A$14:$A$378,"&lt;="&amp;$A222,Питание!$B$14:$B$378,"&gt;0"),""))</f>
        <v/>
      </c>
      <c r="P222" s="8" t="str">
        <f aca="false">IF(C222="","",IFERROR(AVERAGEIFS(Питание!$C$14:$C$378,Питание!$A$14:$A$378,"&gt;"&amp;$A222-7,Питание!$A$14:$A$378,"&lt;="&amp;$A222,Питание!$C$14:$C$378,"&gt;0"),""))</f>
        <v/>
      </c>
      <c r="Q222" s="8" t="str">
        <f aca="false">IF(D222="","",IFERROR(AVERAGEIFS(Питание!$D$14:$D$378,Питание!$A$14:$A$378,"&gt;"&amp;$A222-7,Питание!$A$14:$A$378,"&lt;="&amp;$A222,Питание!$D$14:$D$378,"&gt;0"),""))</f>
        <v/>
      </c>
      <c r="R222" s="14" t="str">
        <f aca="false">IF(O222="","",IFERROR(O222-AVERAGEIFS(Питание!$B$14:$B$378,Питание!$A$14:$A$378,"&gt;"&amp;$A222-14,Питание!$A$14:$A$378,"&lt;="&amp;$A222-7,Питание!$B$14:$B$378,"&gt;0"),""))</f>
        <v/>
      </c>
      <c r="S222" s="15" t="str">
        <f aca="false">IF(R222="","",R222/O222)</f>
        <v/>
      </c>
      <c r="T222" s="11" t="str">
        <f aca="false">IF(O222="","",O222-StartWeight)</f>
        <v/>
      </c>
    </row>
    <row r="223" customFormat="false" ht="15" hidden="false" customHeight="true" outlineLevel="0" collapsed="false">
      <c r="A223" s="16" t="n">
        <f aca="false">A222+1</f>
        <v>46503</v>
      </c>
      <c r="B223" s="17"/>
      <c r="C223" s="18"/>
      <c r="D223" s="18"/>
      <c r="E223" s="18"/>
      <c r="F223" s="18"/>
      <c r="G223" s="18"/>
      <c r="H223" s="17"/>
      <c r="I223" s="19"/>
      <c r="J223" s="10" t="str">
        <f aca="false">IF(C223="","",C223-TargetKcal)</f>
        <v/>
      </c>
      <c r="K223" s="10" t="str">
        <f aca="false">IF(D223="","",D223-TargetProtein)</f>
        <v/>
      </c>
      <c r="L223" s="10" t="str">
        <f aca="false">IF(E223="","",E223-TargetFat)</f>
        <v/>
      </c>
      <c r="M223" s="10" t="str">
        <f aca="false">IF(F223="","",F223-TargetCarb)</f>
        <v/>
      </c>
      <c r="N223" s="10" t="str">
        <f aca="false">IF(COUNT(C223:F223)&lt;4,"",ROUND(4*D223+9*E223+4*F223-C223,0))</f>
        <v/>
      </c>
      <c r="O223" s="13" t="str">
        <f aca="false">IF(B223="","",IFERROR(AVERAGEIFS(Питание!$B$14:$B$378,Питание!$A$14:$A$378,"&gt;"&amp;$A223-7,Питание!$A$14:$A$378,"&lt;="&amp;$A223,Питание!$B$14:$B$378,"&gt;0"),""))</f>
        <v/>
      </c>
      <c r="P223" s="8" t="str">
        <f aca="false">IF(C223="","",IFERROR(AVERAGEIFS(Питание!$C$14:$C$378,Питание!$A$14:$A$378,"&gt;"&amp;$A223-7,Питание!$A$14:$A$378,"&lt;="&amp;$A223,Питание!$C$14:$C$378,"&gt;0"),""))</f>
        <v/>
      </c>
      <c r="Q223" s="8" t="str">
        <f aca="false">IF(D223="","",IFERROR(AVERAGEIFS(Питание!$D$14:$D$378,Питание!$A$14:$A$378,"&gt;"&amp;$A223-7,Питание!$A$14:$A$378,"&lt;="&amp;$A223,Питание!$D$14:$D$378,"&gt;0"),""))</f>
        <v/>
      </c>
      <c r="R223" s="14" t="str">
        <f aca="false">IF(O223="","",IFERROR(O223-AVERAGEIFS(Питание!$B$14:$B$378,Питание!$A$14:$A$378,"&gt;"&amp;$A223-14,Питание!$A$14:$A$378,"&lt;="&amp;$A223-7,Питание!$B$14:$B$378,"&gt;0"),""))</f>
        <v/>
      </c>
      <c r="S223" s="15" t="str">
        <f aca="false">IF(R223="","",R223/O223)</f>
        <v/>
      </c>
      <c r="T223" s="11" t="str">
        <f aca="false">IF(O223="","",O223-StartWeight)</f>
        <v/>
      </c>
    </row>
    <row r="224" customFormat="false" ht="15" hidden="false" customHeight="true" outlineLevel="0" collapsed="false">
      <c r="A224" s="16" t="n">
        <f aca="false">A223+1</f>
        <v>46504</v>
      </c>
      <c r="B224" s="17"/>
      <c r="C224" s="18"/>
      <c r="D224" s="18"/>
      <c r="E224" s="18"/>
      <c r="F224" s="18"/>
      <c r="G224" s="18"/>
      <c r="H224" s="17"/>
      <c r="I224" s="19"/>
      <c r="J224" s="10" t="str">
        <f aca="false">IF(C224="","",C224-TargetKcal)</f>
        <v/>
      </c>
      <c r="K224" s="10" t="str">
        <f aca="false">IF(D224="","",D224-TargetProtein)</f>
        <v/>
      </c>
      <c r="L224" s="10" t="str">
        <f aca="false">IF(E224="","",E224-TargetFat)</f>
        <v/>
      </c>
      <c r="M224" s="10" t="str">
        <f aca="false">IF(F224="","",F224-TargetCarb)</f>
        <v/>
      </c>
      <c r="N224" s="10" t="str">
        <f aca="false">IF(COUNT(C224:F224)&lt;4,"",ROUND(4*D224+9*E224+4*F224-C224,0))</f>
        <v/>
      </c>
      <c r="O224" s="13" t="str">
        <f aca="false">IF(B224="","",IFERROR(AVERAGEIFS(Питание!$B$14:$B$378,Питание!$A$14:$A$378,"&gt;"&amp;$A224-7,Питание!$A$14:$A$378,"&lt;="&amp;$A224,Питание!$B$14:$B$378,"&gt;0"),""))</f>
        <v/>
      </c>
      <c r="P224" s="8" t="str">
        <f aca="false">IF(C224="","",IFERROR(AVERAGEIFS(Питание!$C$14:$C$378,Питание!$A$14:$A$378,"&gt;"&amp;$A224-7,Питание!$A$14:$A$378,"&lt;="&amp;$A224,Питание!$C$14:$C$378,"&gt;0"),""))</f>
        <v/>
      </c>
      <c r="Q224" s="8" t="str">
        <f aca="false">IF(D224="","",IFERROR(AVERAGEIFS(Питание!$D$14:$D$378,Питание!$A$14:$A$378,"&gt;"&amp;$A224-7,Питание!$A$14:$A$378,"&lt;="&amp;$A224,Питание!$D$14:$D$378,"&gt;0"),""))</f>
        <v/>
      </c>
      <c r="R224" s="14" t="str">
        <f aca="false">IF(O224="","",IFERROR(O224-AVERAGEIFS(Питание!$B$14:$B$378,Питание!$A$14:$A$378,"&gt;"&amp;$A224-14,Питание!$A$14:$A$378,"&lt;="&amp;$A224-7,Питание!$B$14:$B$378,"&gt;0"),""))</f>
        <v/>
      </c>
      <c r="S224" s="15" t="str">
        <f aca="false">IF(R224="","",R224/O224)</f>
        <v/>
      </c>
      <c r="T224" s="11" t="str">
        <f aca="false">IF(O224="","",O224-StartWeight)</f>
        <v/>
      </c>
    </row>
    <row r="225" customFormat="false" ht="15" hidden="false" customHeight="true" outlineLevel="0" collapsed="false">
      <c r="A225" s="16" t="n">
        <f aca="false">A224+1</f>
        <v>46505</v>
      </c>
      <c r="B225" s="17"/>
      <c r="C225" s="18"/>
      <c r="D225" s="18"/>
      <c r="E225" s="18"/>
      <c r="F225" s="18"/>
      <c r="G225" s="18"/>
      <c r="H225" s="17"/>
      <c r="I225" s="19"/>
      <c r="J225" s="10" t="str">
        <f aca="false">IF(C225="","",C225-TargetKcal)</f>
        <v/>
      </c>
      <c r="K225" s="10" t="str">
        <f aca="false">IF(D225="","",D225-TargetProtein)</f>
        <v/>
      </c>
      <c r="L225" s="10" t="str">
        <f aca="false">IF(E225="","",E225-TargetFat)</f>
        <v/>
      </c>
      <c r="M225" s="10" t="str">
        <f aca="false">IF(F225="","",F225-TargetCarb)</f>
        <v/>
      </c>
      <c r="N225" s="10" t="str">
        <f aca="false">IF(COUNT(C225:F225)&lt;4,"",ROUND(4*D225+9*E225+4*F225-C225,0))</f>
        <v/>
      </c>
      <c r="O225" s="13" t="str">
        <f aca="false">IF(B225="","",IFERROR(AVERAGEIFS(Питание!$B$14:$B$378,Питание!$A$14:$A$378,"&gt;"&amp;$A225-7,Питание!$A$14:$A$378,"&lt;="&amp;$A225,Питание!$B$14:$B$378,"&gt;0"),""))</f>
        <v/>
      </c>
      <c r="P225" s="8" t="str">
        <f aca="false">IF(C225="","",IFERROR(AVERAGEIFS(Питание!$C$14:$C$378,Питание!$A$14:$A$378,"&gt;"&amp;$A225-7,Питание!$A$14:$A$378,"&lt;="&amp;$A225,Питание!$C$14:$C$378,"&gt;0"),""))</f>
        <v/>
      </c>
      <c r="Q225" s="8" t="str">
        <f aca="false">IF(D225="","",IFERROR(AVERAGEIFS(Питание!$D$14:$D$378,Питание!$A$14:$A$378,"&gt;"&amp;$A225-7,Питание!$A$14:$A$378,"&lt;="&amp;$A225,Питание!$D$14:$D$378,"&gt;0"),""))</f>
        <v/>
      </c>
      <c r="R225" s="14" t="str">
        <f aca="false">IF(O225="","",IFERROR(O225-AVERAGEIFS(Питание!$B$14:$B$378,Питание!$A$14:$A$378,"&gt;"&amp;$A225-14,Питание!$A$14:$A$378,"&lt;="&amp;$A225-7,Питание!$B$14:$B$378,"&gt;0"),""))</f>
        <v/>
      </c>
      <c r="S225" s="15" t="str">
        <f aca="false">IF(R225="","",R225/O225)</f>
        <v/>
      </c>
      <c r="T225" s="11" t="str">
        <f aca="false">IF(O225="","",O225-StartWeight)</f>
        <v/>
      </c>
    </row>
    <row r="226" customFormat="false" ht="15" hidden="false" customHeight="true" outlineLevel="0" collapsed="false">
      <c r="A226" s="16" t="n">
        <f aca="false">A225+1</f>
        <v>46506</v>
      </c>
      <c r="B226" s="17"/>
      <c r="C226" s="18"/>
      <c r="D226" s="18"/>
      <c r="E226" s="18"/>
      <c r="F226" s="18"/>
      <c r="G226" s="18"/>
      <c r="H226" s="17"/>
      <c r="I226" s="19"/>
      <c r="J226" s="10" t="str">
        <f aca="false">IF(C226="","",C226-TargetKcal)</f>
        <v/>
      </c>
      <c r="K226" s="10" t="str">
        <f aca="false">IF(D226="","",D226-TargetProtein)</f>
        <v/>
      </c>
      <c r="L226" s="10" t="str">
        <f aca="false">IF(E226="","",E226-TargetFat)</f>
        <v/>
      </c>
      <c r="M226" s="10" t="str">
        <f aca="false">IF(F226="","",F226-TargetCarb)</f>
        <v/>
      </c>
      <c r="N226" s="10" t="str">
        <f aca="false">IF(COUNT(C226:F226)&lt;4,"",ROUND(4*D226+9*E226+4*F226-C226,0))</f>
        <v/>
      </c>
      <c r="O226" s="13" t="str">
        <f aca="false">IF(B226="","",IFERROR(AVERAGEIFS(Питание!$B$14:$B$378,Питание!$A$14:$A$378,"&gt;"&amp;$A226-7,Питание!$A$14:$A$378,"&lt;="&amp;$A226,Питание!$B$14:$B$378,"&gt;0"),""))</f>
        <v/>
      </c>
      <c r="P226" s="8" t="str">
        <f aca="false">IF(C226="","",IFERROR(AVERAGEIFS(Питание!$C$14:$C$378,Питание!$A$14:$A$378,"&gt;"&amp;$A226-7,Питание!$A$14:$A$378,"&lt;="&amp;$A226,Питание!$C$14:$C$378,"&gt;0"),""))</f>
        <v/>
      </c>
      <c r="Q226" s="8" t="str">
        <f aca="false">IF(D226="","",IFERROR(AVERAGEIFS(Питание!$D$14:$D$378,Питание!$A$14:$A$378,"&gt;"&amp;$A226-7,Питание!$A$14:$A$378,"&lt;="&amp;$A226,Питание!$D$14:$D$378,"&gt;0"),""))</f>
        <v/>
      </c>
      <c r="R226" s="14" t="str">
        <f aca="false">IF(O226="","",IFERROR(O226-AVERAGEIFS(Питание!$B$14:$B$378,Питание!$A$14:$A$378,"&gt;"&amp;$A226-14,Питание!$A$14:$A$378,"&lt;="&amp;$A226-7,Питание!$B$14:$B$378,"&gt;0"),""))</f>
        <v/>
      </c>
      <c r="S226" s="15" t="str">
        <f aca="false">IF(R226="","",R226/O226)</f>
        <v/>
      </c>
      <c r="T226" s="11" t="str">
        <f aca="false">IF(O226="","",O226-StartWeight)</f>
        <v/>
      </c>
    </row>
    <row r="227" customFormat="false" ht="15" hidden="false" customHeight="true" outlineLevel="0" collapsed="false">
      <c r="A227" s="16" t="n">
        <f aca="false">A226+1</f>
        <v>46507</v>
      </c>
      <c r="B227" s="17"/>
      <c r="C227" s="18"/>
      <c r="D227" s="18"/>
      <c r="E227" s="18"/>
      <c r="F227" s="18"/>
      <c r="G227" s="18"/>
      <c r="H227" s="17"/>
      <c r="I227" s="19"/>
      <c r="J227" s="10" t="str">
        <f aca="false">IF(C227="","",C227-TargetKcal)</f>
        <v/>
      </c>
      <c r="K227" s="10" t="str">
        <f aca="false">IF(D227="","",D227-TargetProtein)</f>
        <v/>
      </c>
      <c r="L227" s="10" t="str">
        <f aca="false">IF(E227="","",E227-TargetFat)</f>
        <v/>
      </c>
      <c r="M227" s="10" t="str">
        <f aca="false">IF(F227="","",F227-TargetCarb)</f>
        <v/>
      </c>
      <c r="N227" s="10" t="str">
        <f aca="false">IF(COUNT(C227:F227)&lt;4,"",ROUND(4*D227+9*E227+4*F227-C227,0))</f>
        <v/>
      </c>
      <c r="O227" s="13" t="str">
        <f aca="false">IF(B227="","",IFERROR(AVERAGEIFS(Питание!$B$14:$B$378,Питание!$A$14:$A$378,"&gt;"&amp;$A227-7,Питание!$A$14:$A$378,"&lt;="&amp;$A227,Питание!$B$14:$B$378,"&gt;0"),""))</f>
        <v/>
      </c>
      <c r="P227" s="8" t="str">
        <f aca="false">IF(C227="","",IFERROR(AVERAGEIFS(Питание!$C$14:$C$378,Питание!$A$14:$A$378,"&gt;"&amp;$A227-7,Питание!$A$14:$A$378,"&lt;="&amp;$A227,Питание!$C$14:$C$378,"&gt;0"),""))</f>
        <v/>
      </c>
      <c r="Q227" s="8" t="str">
        <f aca="false">IF(D227="","",IFERROR(AVERAGEIFS(Питание!$D$14:$D$378,Питание!$A$14:$A$378,"&gt;"&amp;$A227-7,Питание!$A$14:$A$378,"&lt;="&amp;$A227,Питание!$D$14:$D$378,"&gt;0"),""))</f>
        <v/>
      </c>
      <c r="R227" s="14" t="str">
        <f aca="false">IF(O227="","",IFERROR(O227-AVERAGEIFS(Питание!$B$14:$B$378,Питание!$A$14:$A$378,"&gt;"&amp;$A227-14,Питание!$A$14:$A$378,"&lt;="&amp;$A227-7,Питание!$B$14:$B$378,"&gt;0"),""))</f>
        <v/>
      </c>
      <c r="S227" s="15" t="str">
        <f aca="false">IF(R227="","",R227/O227)</f>
        <v/>
      </c>
      <c r="T227" s="11" t="str">
        <f aca="false">IF(O227="","",O227-StartWeight)</f>
        <v/>
      </c>
    </row>
    <row r="228" customFormat="false" ht="15" hidden="false" customHeight="true" outlineLevel="0" collapsed="false">
      <c r="A228" s="16" t="n">
        <f aca="false">A227+1</f>
        <v>46508</v>
      </c>
      <c r="B228" s="17"/>
      <c r="C228" s="18"/>
      <c r="D228" s="18"/>
      <c r="E228" s="18"/>
      <c r="F228" s="18"/>
      <c r="G228" s="18"/>
      <c r="H228" s="17"/>
      <c r="I228" s="19"/>
      <c r="J228" s="10" t="str">
        <f aca="false">IF(C228="","",C228-TargetKcal)</f>
        <v/>
      </c>
      <c r="K228" s="10" t="str">
        <f aca="false">IF(D228="","",D228-TargetProtein)</f>
        <v/>
      </c>
      <c r="L228" s="10" t="str">
        <f aca="false">IF(E228="","",E228-TargetFat)</f>
        <v/>
      </c>
      <c r="M228" s="10" t="str">
        <f aca="false">IF(F228="","",F228-TargetCarb)</f>
        <v/>
      </c>
      <c r="N228" s="10" t="str">
        <f aca="false">IF(COUNT(C228:F228)&lt;4,"",ROUND(4*D228+9*E228+4*F228-C228,0))</f>
        <v/>
      </c>
      <c r="O228" s="13" t="str">
        <f aca="false">IF(B228="","",IFERROR(AVERAGEIFS(Питание!$B$14:$B$378,Питание!$A$14:$A$378,"&gt;"&amp;$A228-7,Питание!$A$14:$A$378,"&lt;="&amp;$A228,Питание!$B$14:$B$378,"&gt;0"),""))</f>
        <v/>
      </c>
      <c r="P228" s="8" t="str">
        <f aca="false">IF(C228="","",IFERROR(AVERAGEIFS(Питание!$C$14:$C$378,Питание!$A$14:$A$378,"&gt;"&amp;$A228-7,Питание!$A$14:$A$378,"&lt;="&amp;$A228,Питание!$C$14:$C$378,"&gt;0"),""))</f>
        <v/>
      </c>
      <c r="Q228" s="8" t="str">
        <f aca="false">IF(D228="","",IFERROR(AVERAGEIFS(Питание!$D$14:$D$378,Питание!$A$14:$A$378,"&gt;"&amp;$A228-7,Питание!$A$14:$A$378,"&lt;="&amp;$A228,Питание!$D$14:$D$378,"&gt;0"),""))</f>
        <v/>
      </c>
      <c r="R228" s="14" t="str">
        <f aca="false">IF(O228="","",IFERROR(O228-AVERAGEIFS(Питание!$B$14:$B$378,Питание!$A$14:$A$378,"&gt;"&amp;$A228-14,Питание!$A$14:$A$378,"&lt;="&amp;$A228-7,Питание!$B$14:$B$378,"&gt;0"),""))</f>
        <v/>
      </c>
      <c r="S228" s="15" t="str">
        <f aca="false">IF(R228="","",R228/O228)</f>
        <v/>
      </c>
      <c r="T228" s="11" t="str">
        <f aca="false">IF(O228="","",O228-StartWeight)</f>
        <v/>
      </c>
    </row>
    <row r="229" customFormat="false" ht="15" hidden="false" customHeight="true" outlineLevel="0" collapsed="false">
      <c r="A229" s="16" t="n">
        <f aca="false">A228+1</f>
        <v>46509</v>
      </c>
      <c r="B229" s="17"/>
      <c r="C229" s="18"/>
      <c r="D229" s="18"/>
      <c r="E229" s="18"/>
      <c r="F229" s="18"/>
      <c r="G229" s="18"/>
      <c r="H229" s="17"/>
      <c r="I229" s="19"/>
      <c r="J229" s="10" t="str">
        <f aca="false">IF(C229="","",C229-TargetKcal)</f>
        <v/>
      </c>
      <c r="K229" s="10" t="str">
        <f aca="false">IF(D229="","",D229-TargetProtein)</f>
        <v/>
      </c>
      <c r="L229" s="10" t="str">
        <f aca="false">IF(E229="","",E229-TargetFat)</f>
        <v/>
      </c>
      <c r="M229" s="10" t="str">
        <f aca="false">IF(F229="","",F229-TargetCarb)</f>
        <v/>
      </c>
      <c r="N229" s="10" t="str">
        <f aca="false">IF(COUNT(C229:F229)&lt;4,"",ROUND(4*D229+9*E229+4*F229-C229,0))</f>
        <v/>
      </c>
      <c r="O229" s="13" t="str">
        <f aca="false">IF(B229="","",IFERROR(AVERAGEIFS(Питание!$B$14:$B$378,Питание!$A$14:$A$378,"&gt;"&amp;$A229-7,Питание!$A$14:$A$378,"&lt;="&amp;$A229,Питание!$B$14:$B$378,"&gt;0"),""))</f>
        <v/>
      </c>
      <c r="P229" s="8" t="str">
        <f aca="false">IF(C229="","",IFERROR(AVERAGEIFS(Питание!$C$14:$C$378,Питание!$A$14:$A$378,"&gt;"&amp;$A229-7,Питание!$A$14:$A$378,"&lt;="&amp;$A229,Питание!$C$14:$C$378,"&gt;0"),""))</f>
        <v/>
      </c>
      <c r="Q229" s="8" t="str">
        <f aca="false">IF(D229="","",IFERROR(AVERAGEIFS(Питание!$D$14:$D$378,Питание!$A$14:$A$378,"&gt;"&amp;$A229-7,Питание!$A$14:$A$378,"&lt;="&amp;$A229,Питание!$D$14:$D$378,"&gt;0"),""))</f>
        <v/>
      </c>
      <c r="R229" s="14" t="str">
        <f aca="false">IF(O229="","",IFERROR(O229-AVERAGEIFS(Питание!$B$14:$B$378,Питание!$A$14:$A$378,"&gt;"&amp;$A229-14,Питание!$A$14:$A$378,"&lt;="&amp;$A229-7,Питание!$B$14:$B$378,"&gt;0"),""))</f>
        <v/>
      </c>
      <c r="S229" s="15" t="str">
        <f aca="false">IF(R229="","",R229/O229)</f>
        <v/>
      </c>
      <c r="T229" s="11" t="str">
        <f aca="false">IF(O229="","",O229-StartWeight)</f>
        <v/>
      </c>
    </row>
    <row r="230" customFormat="false" ht="15" hidden="false" customHeight="true" outlineLevel="0" collapsed="false">
      <c r="A230" s="16" t="n">
        <f aca="false">A229+1</f>
        <v>46510</v>
      </c>
      <c r="B230" s="17"/>
      <c r="C230" s="18"/>
      <c r="D230" s="18"/>
      <c r="E230" s="18"/>
      <c r="F230" s="18"/>
      <c r="G230" s="18"/>
      <c r="H230" s="17"/>
      <c r="I230" s="19"/>
      <c r="J230" s="10" t="str">
        <f aca="false">IF(C230="","",C230-TargetKcal)</f>
        <v/>
      </c>
      <c r="K230" s="10" t="str">
        <f aca="false">IF(D230="","",D230-TargetProtein)</f>
        <v/>
      </c>
      <c r="L230" s="10" t="str">
        <f aca="false">IF(E230="","",E230-TargetFat)</f>
        <v/>
      </c>
      <c r="M230" s="10" t="str">
        <f aca="false">IF(F230="","",F230-TargetCarb)</f>
        <v/>
      </c>
      <c r="N230" s="10" t="str">
        <f aca="false">IF(COUNT(C230:F230)&lt;4,"",ROUND(4*D230+9*E230+4*F230-C230,0))</f>
        <v/>
      </c>
      <c r="O230" s="13" t="str">
        <f aca="false">IF(B230="","",IFERROR(AVERAGEIFS(Питание!$B$14:$B$378,Питание!$A$14:$A$378,"&gt;"&amp;$A230-7,Питание!$A$14:$A$378,"&lt;="&amp;$A230,Питание!$B$14:$B$378,"&gt;0"),""))</f>
        <v/>
      </c>
      <c r="P230" s="8" t="str">
        <f aca="false">IF(C230="","",IFERROR(AVERAGEIFS(Питание!$C$14:$C$378,Питание!$A$14:$A$378,"&gt;"&amp;$A230-7,Питание!$A$14:$A$378,"&lt;="&amp;$A230,Питание!$C$14:$C$378,"&gt;0"),""))</f>
        <v/>
      </c>
      <c r="Q230" s="8" t="str">
        <f aca="false">IF(D230="","",IFERROR(AVERAGEIFS(Питание!$D$14:$D$378,Питание!$A$14:$A$378,"&gt;"&amp;$A230-7,Питание!$A$14:$A$378,"&lt;="&amp;$A230,Питание!$D$14:$D$378,"&gt;0"),""))</f>
        <v/>
      </c>
      <c r="R230" s="14" t="str">
        <f aca="false">IF(O230="","",IFERROR(O230-AVERAGEIFS(Питание!$B$14:$B$378,Питание!$A$14:$A$378,"&gt;"&amp;$A230-14,Питание!$A$14:$A$378,"&lt;="&amp;$A230-7,Питание!$B$14:$B$378,"&gt;0"),""))</f>
        <v/>
      </c>
      <c r="S230" s="15" t="str">
        <f aca="false">IF(R230="","",R230/O230)</f>
        <v/>
      </c>
      <c r="T230" s="11" t="str">
        <f aca="false">IF(O230="","",O230-StartWeight)</f>
        <v/>
      </c>
    </row>
    <row r="231" customFormat="false" ht="15" hidden="false" customHeight="true" outlineLevel="0" collapsed="false">
      <c r="A231" s="16" t="n">
        <f aca="false">A230+1</f>
        <v>46511</v>
      </c>
      <c r="B231" s="17"/>
      <c r="C231" s="18"/>
      <c r="D231" s="18"/>
      <c r="E231" s="18"/>
      <c r="F231" s="18"/>
      <c r="G231" s="18"/>
      <c r="H231" s="17"/>
      <c r="I231" s="19"/>
      <c r="J231" s="10" t="str">
        <f aca="false">IF(C231="","",C231-TargetKcal)</f>
        <v/>
      </c>
      <c r="K231" s="10" t="str">
        <f aca="false">IF(D231="","",D231-TargetProtein)</f>
        <v/>
      </c>
      <c r="L231" s="10" t="str">
        <f aca="false">IF(E231="","",E231-TargetFat)</f>
        <v/>
      </c>
      <c r="M231" s="10" t="str">
        <f aca="false">IF(F231="","",F231-TargetCarb)</f>
        <v/>
      </c>
      <c r="N231" s="10" t="str">
        <f aca="false">IF(COUNT(C231:F231)&lt;4,"",ROUND(4*D231+9*E231+4*F231-C231,0))</f>
        <v/>
      </c>
      <c r="O231" s="13" t="str">
        <f aca="false">IF(B231="","",IFERROR(AVERAGEIFS(Питание!$B$14:$B$378,Питание!$A$14:$A$378,"&gt;"&amp;$A231-7,Питание!$A$14:$A$378,"&lt;="&amp;$A231,Питание!$B$14:$B$378,"&gt;0"),""))</f>
        <v/>
      </c>
      <c r="P231" s="8" t="str">
        <f aca="false">IF(C231="","",IFERROR(AVERAGEIFS(Питание!$C$14:$C$378,Питание!$A$14:$A$378,"&gt;"&amp;$A231-7,Питание!$A$14:$A$378,"&lt;="&amp;$A231,Питание!$C$14:$C$378,"&gt;0"),""))</f>
        <v/>
      </c>
      <c r="Q231" s="8" t="str">
        <f aca="false">IF(D231="","",IFERROR(AVERAGEIFS(Питание!$D$14:$D$378,Питание!$A$14:$A$378,"&gt;"&amp;$A231-7,Питание!$A$14:$A$378,"&lt;="&amp;$A231,Питание!$D$14:$D$378,"&gt;0"),""))</f>
        <v/>
      </c>
      <c r="R231" s="14" t="str">
        <f aca="false">IF(O231="","",IFERROR(O231-AVERAGEIFS(Питание!$B$14:$B$378,Питание!$A$14:$A$378,"&gt;"&amp;$A231-14,Питание!$A$14:$A$378,"&lt;="&amp;$A231-7,Питание!$B$14:$B$378,"&gt;0"),""))</f>
        <v/>
      </c>
      <c r="S231" s="15" t="str">
        <f aca="false">IF(R231="","",R231/O231)</f>
        <v/>
      </c>
      <c r="T231" s="11" t="str">
        <f aca="false">IF(O231="","",O231-StartWeight)</f>
        <v/>
      </c>
    </row>
    <row r="232" customFormat="false" ht="15" hidden="false" customHeight="true" outlineLevel="0" collapsed="false">
      <c r="A232" s="16" t="n">
        <f aca="false">A231+1</f>
        <v>46512</v>
      </c>
      <c r="B232" s="17"/>
      <c r="C232" s="18"/>
      <c r="D232" s="18"/>
      <c r="E232" s="18"/>
      <c r="F232" s="18"/>
      <c r="G232" s="18"/>
      <c r="H232" s="17"/>
      <c r="I232" s="19"/>
      <c r="J232" s="10" t="str">
        <f aca="false">IF(C232="","",C232-TargetKcal)</f>
        <v/>
      </c>
      <c r="K232" s="10" t="str">
        <f aca="false">IF(D232="","",D232-TargetProtein)</f>
        <v/>
      </c>
      <c r="L232" s="10" t="str">
        <f aca="false">IF(E232="","",E232-TargetFat)</f>
        <v/>
      </c>
      <c r="M232" s="10" t="str">
        <f aca="false">IF(F232="","",F232-TargetCarb)</f>
        <v/>
      </c>
      <c r="N232" s="10" t="str">
        <f aca="false">IF(COUNT(C232:F232)&lt;4,"",ROUND(4*D232+9*E232+4*F232-C232,0))</f>
        <v/>
      </c>
      <c r="O232" s="13" t="str">
        <f aca="false">IF(B232="","",IFERROR(AVERAGEIFS(Питание!$B$14:$B$378,Питание!$A$14:$A$378,"&gt;"&amp;$A232-7,Питание!$A$14:$A$378,"&lt;="&amp;$A232,Питание!$B$14:$B$378,"&gt;0"),""))</f>
        <v/>
      </c>
      <c r="P232" s="8" t="str">
        <f aca="false">IF(C232="","",IFERROR(AVERAGEIFS(Питание!$C$14:$C$378,Питание!$A$14:$A$378,"&gt;"&amp;$A232-7,Питание!$A$14:$A$378,"&lt;="&amp;$A232,Питание!$C$14:$C$378,"&gt;0"),""))</f>
        <v/>
      </c>
      <c r="Q232" s="8" t="str">
        <f aca="false">IF(D232="","",IFERROR(AVERAGEIFS(Питание!$D$14:$D$378,Питание!$A$14:$A$378,"&gt;"&amp;$A232-7,Питание!$A$14:$A$378,"&lt;="&amp;$A232,Питание!$D$14:$D$378,"&gt;0"),""))</f>
        <v/>
      </c>
      <c r="R232" s="14" t="str">
        <f aca="false">IF(O232="","",IFERROR(O232-AVERAGEIFS(Питание!$B$14:$B$378,Питание!$A$14:$A$378,"&gt;"&amp;$A232-14,Питание!$A$14:$A$378,"&lt;="&amp;$A232-7,Питание!$B$14:$B$378,"&gt;0"),""))</f>
        <v/>
      </c>
      <c r="S232" s="15" t="str">
        <f aca="false">IF(R232="","",R232/O232)</f>
        <v/>
      </c>
      <c r="T232" s="11" t="str">
        <f aca="false">IF(O232="","",O232-StartWeight)</f>
        <v/>
      </c>
    </row>
    <row r="233" customFormat="false" ht="15" hidden="false" customHeight="true" outlineLevel="0" collapsed="false">
      <c r="A233" s="16" t="n">
        <f aca="false">A232+1</f>
        <v>46513</v>
      </c>
      <c r="B233" s="17"/>
      <c r="C233" s="18"/>
      <c r="D233" s="18"/>
      <c r="E233" s="18"/>
      <c r="F233" s="18"/>
      <c r="G233" s="18"/>
      <c r="H233" s="17"/>
      <c r="I233" s="19"/>
      <c r="J233" s="10" t="str">
        <f aca="false">IF(C233="","",C233-TargetKcal)</f>
        <v/>
      </c>
      <c r="K233" s="10" t="str">
        <f aca="false">IF(D233="","",D233-TargetProtein)</f>
        <v/>
      </c>
      <c r="L233" s="10" t="str">
        <f aca="false">IF(E233="","",E233-TargetFat)</f>
        <v/>
      </c>
      <c r="M233" s="10" t="str">
        <f aca="false">IF(F233="","",F233-TargetCarb)</f>
        <v/>
      </c>
      <c r="N233" s="10" t="str">
        <f aca="false">IF(COUNT(C233:F233)&lt;4,"",ROUND(4*D233+9*E233+4*F233-C233,0))</f>
        <v/>
      </c>
      <c r="O233" s="13" t="str">
        <f aca="false">IF(B233="","",IFERROR(AVERAGEIFS(Питание!$B$14:$B$378,Питание!$A$14:$A$378,"&gt;"&amp;$A233-7,Питание!$A$14:$A$378,"&lt;="&amp;$A233,Питание!$B$14:$B$378,"&gt;0"),""))</f>
        <v/>
      </c>
      <c r="P233" s="8" t="str">
        <f aca="false">IF(C233="","",IFERROR(AVERAGEIFS(Питание!$C$14:$C$378,Питание!$A$14:$A$378,"&gt;"&amp;$A233-7,Питание!$A$14:$A$378,"&lt;="&amp;$A233,Питание!$C$14:$C$378,"&gt;0"),""))</f>
        <v/>
      </c>
      <c r="Q233" s="8" t="str">
        <f aca="false">IF(D233="","",IFERROR(AVERAGEIFS(Питание!$D$14:$D$378,Питание!$A$14:$A$378,"&gt;"&amp;$A233-7,Питание!$A$14:$A$378,"&lt;="&amp;$A233,Питание!$D$14:$D$378,"&gt;0"),""))</f>
        <v/>
      </c>
      <c r="R233" s="14" t="str">
        <f aca="false">IF(O233="","",IFERROR(O233-AVERAGEIFS(Питание!$B$14:$B$378,Питание!$A$14:$A$378,"&gt;"&amp;$A233-14,Питание!$A$14:$A$378,"&lt;="&amp;$A233-7,Питание!$B$14:$B$378,"&gt;0"),""))</f>
        <v/>
      </c>
      <c r="S233" s="15" t="str">
        <f aca="false">IF(R233="","",R233/O233)</f>
        <v/>
      </c>
      <c r="T233" s="11" t="str">
        <f aca="false">IF(O233="","",O233-StartWeight)</f>
        <v/>
      </c>
    </row>
    <row r="234" customFormat="false" ht="15" hidden="false" customHeight="true" outlineLevel="0" collapsed="false">
      <c r="A234" s="16" t="n">
        <f aca="false">A233+1</f>
        <v>46514</v>
      </c>
      <c r="B234" s="17"/>
      <c r="C234" s="18"/>
      <c r="D234" s="18"/>
      <c r="E234" s="18"/>
      <c r="F234" s="18"/>
      <c r="G234" s="18"/>
      <c r="H234" s="17"/>
      <c r="I234" s="19"/>
      <c r="J234" s="10" t="str">
        <f aca="false">IF(C234="","",C234-TargetKcal)</f>
        <v/>
      </c>
      <c r="K234" s="10" t="str">
        <f aca="false">IF(D234="","",D234-TargetProtein)</f>
        <v/>
      </c>
      <c r="L234" s="10" t="str">
        <f aca="false">IF(E234="","",E234-TargetFat)</f>
        <v/>
      </c>
      <c r="M234" s="10" t="str">
        <f aca="false">IF(F234="","",F234-TargetCarb)</f>
        <v/>
      </c>
      <c r="N234" s="10" t="str">
        <f aca="false">IF(COUNT(C234:F234)&lt;4,"",ROUND(4*D234+9*E234+4*F234-C234,0))</f>
        <v/>
      </c>
      <c r="O234" s="13" t="str">
        <f aca="false">IF(B234="","",IFERROR(AVERAGEIFS(Питание!$B$14:$B$378,Питание!$A$14:$A$378,"&gt;"&amp;$A234-7,Питание!$A$14:$A$378,"&lt;="&amp;$A234,Питание!$B$14:$B$378,"&gt;0"),""))</f>
        <v/>
      </c>
      <c r="P234" s="8" t="str">
        <f aca="false">IF(C234="","",IFERROR(AVERAGEIFS(Питание!$C$14:$C$378,Питание!$A$14:$A$378,"&gt;"&amp;$A234-7,Питание!$A$14:$A$378,"&lt;="&amp;$A234,Питание!$C$14:$C$378,"&gt;0"),""))</f>
        <v/>
      </c>
      <c r="Q234" s="8" t="str">
        <f aca="false">IF(D234="","",IFERROR(AVERAGEIFS(Питание!$D$14:$D$378,Питание!$A$14:$A$378,"&gt;"&amp;$A234-7,Питание!$A$14:$A$378,"&lt;="&amp;$A234,Питание!$D$14:$D$378,"&gt;0"),""))</f>
        <v/>
      </c>
      <c r="R234" s="14" t="str">
        <f aca="false">IF(O234="","",IFERROR(O234-AVERAGEIFS(Питание!$B$14:$B$378,Питание!$A$14:$A$378,"&gt;"&amp;$A234-14,Питание!$A$14:$A$378,"&lt;="&amp;$A234-7,Питание!$B$14:$B$378,"&gt;0"),""))</f>
        <v/>
      </c>
      <c r="S234" s="15" t="str">
        <f aca="false">IF(R234="","",R234/O234)</f>
        <v/>
      </c>
      <c r="T234" s="11" t="str">
        <f aca="false">IF(O234="","",O234-StartWeight)</f>
        <v/>
      </c>
    </row>
    <row r="235" customFormat="false" ht="15" hidden="false" customHeight="true" outlineLevel="0" collapsed="false">
      <c r="A235" s="16" t="n">
        <f aca="false">A234+1</f>
        <v>46515</v>
      </c>
      <c r="B235" s="17"/>
      <c r="C235" s="18"/>
      <c r="D235" s="18"/>
      <c r="E235" s="18"/>
      <c r="F235" s="18"/>
      <c r="G235" s="18"/>
      <c r="H235" s="17"/>
      <c r="I235" s="19"/>
      <c r="J235" s="10" t="str">
        <f aca="false">IF(C235="","",C235-TargetKcal)</f>
        <v/>
      </c>
      <c r="K235" s="10" t="str">
        <f aca="false">IF(D235="","",D235-TargetProtein)</f>
        <v/>
      </c>
      <c r="L235" s="10" t="str">
        <f aca="false">IF(E235="","",E235-TargetFat)</f>
        <v/>
      </c>
      <c r="M235" s="10" t="str">
        <f aca="false">IF(F235="","",F235-TargetCarb)</f>
        <v/>
      </c>
      <c r="N235" s="10" t="str">
        <f aca="false">IF(COUNT(C235:F235)&lt;4,"",ROUND(4*D235+9*E235+4*F235-C235,0))</f>
        <v/>
      </c>
      <c r="O235" s="13" t="str">
        <f aca="false">IF(B235="","",IFERROR(AVERAGEIFS(Питание!$B$14:$B$378,Питание!$A$14:$A$378,"&gt;"&amp;$A235-7,Питание!$A$14:$A$378,"&lt;="&amp;$A235,Питание!$B$14:$B$378,"&gt;0"),""))</f>
        <v/>
      </c>
      <c r="P235" s="8" t="str">
        <f aca="false">IF(C235="","",IFERROR(AVERAGEIFS(Питание!$C$14:$C$378,Питание!$A$14:$A$378,"&gt;"&amp;$A235-7,Питание!$A$14:$A$378,"&lt;="&amp;$A235,Питание!$C$14:$C$378,"&gt;0"),""))</f>
        <v/>
      </c>
      <c r="Q235" s="8" t="str">
        <f aca="false">IF(D235="","",IFERROR(AVERAGEIFS(Питание!$D$14:$D$378,Питание!$A$14:$A$378,"&gt;"&amp;$A235-7,Питание!$A$14:$A$378,"&lt;="&amp;$A235,Питание!$D$14:$D$378,"&gt;0"),""))</f>
        <v/>
      </c>
      <c r="R235" s="14" t="str">
        <f aca="false">IF(O235="","",IFERROR(O235-AVERAGEIFS(Питание!$B$14:$B$378,Питание!$A$14:$A$378,"&gt;"&amp;$A235-14,Питание!$A$14:$A$378,"&lt;="&amp;$A235-7,Питание!$B$14:$B$378,"&gt;0"),""))</f>
        <v/>
      </c>
      <c r="S235" s="15" t="str">
        <f aca="false">IF(R235="","",R235/O235)</f>
        <v/>
      </c>
      <c r="T235" s="11" t="str">
        <f aca="false">IF(O235="","",O235-StartWeight)</f>
        <v/>
      </c>
    </row>
    <row r="236" customFormat="false" ht="15" hidden="false" customHeight="true" outlineLevel="0" collapsed="false">
      <c r="A236" s="16" t="n">
        <f aca="false">A235+1</f>
        <v>46516</v>
      </c>
      <c r="B236" s="17"/>
      <c r="C236" s="18"/>
      <c r="D236" s="18"/>
      <c r="E236" s="18"/>
      <c r="F236" s="18"/>
      <c r="G236" s="18"/>
      <c r="H236" s="17"/>
      <c r="I236" s="19"/>
      <c r="J236" s="10" t="str">
        <f aca="false">IF(C236="","",C236-TargetKcal)</f>
        <v/>
      </c>
      <c r="K236" s="10" t="str">
        <f aca="false">IF(D236="","",D236-TargetProtein)</f>
        <v/>
      </c>
      <c r="L236" s="10" t="str">
        <f aca="false">IF(E236="","",E236-TargetFat)</f>
        <v/>
      </c>
      <c r="M236" s="10" t="str">
        <f aca="false">IF(F236="","",F236-TargetCarb)</f>
        <v/>
      </c>
      <c r="N236" s="10" t="str">
        <f aca="false">IF(COUNT(C236:F236)&lt;4,"",ROUND(4*D236+9*E236+4*F236-C236,0))</f>
        <v/>
      </c>
      <c r="O236" s="13" t="str">
        <f aca="false">IF(B236="","",IFERROR(AVERAGEIFS(Питание!$B$14:$B$378,Питание!$A$14:$A$378,"&gt;"&amp;$A236-7,Питание!$A$14:$A$378,"&lt;="&amp;$A236,Питание!$B$14:$B$378,"&gt;0"),""))</f>
        <v/>
      </c>
      <c r="P236" s="8" t="str">
        <f aca="false">IF(C236="","",IFERROR(AVERAGEIFS(Питание!$C$14:$C$378,Питание!$A$14:$A$378,"&gt;"&amp;$A236-7,Питание!$A$14:$A$378,"&lt;="&amp;$A236,Питание!$C$14:$C$378,"&gt;0"),""))</f>
        <v/>
      </c>
      <c r="Q236" s="8" t="str">
        <f aca="false">IF(D236="","",IFERROR(AVERAGEIFS(Питание!$D$14:$D$378,Питание!$A$14:$A$378,"&gt;"&amp;$A236-7,Питание!$A$14:$A$378,"&lt;="&amp;$A236,Питание!$D$14:$D$378,"&gt;0"),""))</f>
        <v/>
      </c>
      <c r="R236" s="14" t="str">
        <f aca="false">IF(O236="","",IFERROR(O236-AVERAGEIFS(Питание!$B$14:$B$378,Питание!$A$14:$A$378,"&gt;"&amp;$A236-14,Питание!$A$14:$A$378,"&lt;="&amp;$A236-7,Питание!$B$14:$B$378,"&gt;0"),""))</f>
        <v/>
      </c>
      <c r="S236" s="15" t="str">
        <f aca="false">IF(R236="","",R236/O236)</f>
        <v/>
      </c>
      <c r="T236" s="11" t="str">
        <f aca="false">IF(O236="","",O236-StartWeight)</f>
        <v/>
      </c>
    </row>
    <row r="237" customFormat="false" ht="15" hidden="false" customHeight="true" outlineLevel="0" collapsed="false">
      <c r="A237" s="16" t="n">
        <f aca="false">A236+1</f>
        <v>46517</v>
      </c>
      <c r="B237" s="17"/>
      <c r="C237" s="18"/>
      <c r="D237" s="18"/>
      <c r="E237" s="18"/>
      <c r="F237" s="18"/>
      <c r="G237" s="18"/>
      <c r="H237" s="17"/>
      <c r="I237" s="19"/>
      <c r="J237" s="10" t="str">
        <f aca="false">IF(C237="","",C237-TargetKcal)</f>
        <v/>
      </c>
      <c r="K237" s="10" t="str">
        <f aca="false">IF(D237="","",D237-TargetProtein)</f>
        <v/>
      </c>
      <c r="L237" s="10" t="str">
        <f aca="false">IF(E237="","",E237-TargetFat)</f>
        <v/>
      </c>
      <c r="M237" s="10" t="str">
        <f aca="false">IF(F237="","",F237-TargetCarb)</f>
        <v/>
      </c>
      <c r="N237" s="10" t="str">
        <f aca="false">IF(COUNT(C237:F237)&lt;4,"",ROUND(4*D237+9*E237+4*F237-C237,0))</f>
        <v/>
      </c>
      <c r="O237" s="13" t="str">
        <f aca="false">IF(B237="","",IFERROR(AVERAGEIFS(Питание!$B$14:$B$378,Питание!$A$14:$A$378,"&gt;"&amp;$A237-7,Питание!$A$14:$A$378,"&lt;="&amp;$A237,Питание!$B$14:$B$378,"&gt;0"),""))</f>
        <v/>
      </c>
      <c r="P237" s="8" t="str">
        <f aca="false">IF(C237="","",IFERROR(AVERAGEIFS(Питание!$C$14:$C$378,Питание!$A$14:$A$378,"&gt;"&amp;$A237-7,Питание!$A$14:$A$378,"&lt;="&amp;$A237,Питание!$C$14:$C$378,"&gt;0"),""))</f>
        <v/>
      </c>
      <c r="Q237" s="8" t="str">
        <f aca="false">IF(D237="","",IFERROR(AVERAGEIFS(Питание!$D$14:$D$378,Питание!$A$14:$A$378,"&gt;"&amp;$A237-7,Питание!$A$14:$A$378,"&lt;="&amp;$A237,Питание!$D$14:$D$378,"&gt;0"),""))</f>
        <v/>
      </c>
      <c r="R237" s="14" t="str">
        <f aca="false">IF(O237="","",IFERROR(O237-AVERAGEIFS(Питание!$B$14:$B$378,Питание!$A$14:$A$378,"&gt;"&amp;$A237-14,Питание!$A$14:$A$378,"&lt;="&amp;$A237-7,Питание!$B$14:$B$378,"&gt;0"),""))</f>
        <v/>
      </c>
      <c r="S237" s="15" t="str">
        <f aca="false">IF(R237="","",R237/O237)</f>
        <v/>
      </c>
      <c r="T237" s="11" t="str">
        <f aca="false">IF(O237="","",O237-StartWeight)</f>
        <v/>
      </c>
    </row>
    <row r="238" customFormat="false" ht="15" hidden="false" customHeight="true" outlineLevel="0" collapsed="false">
      <c r="A238" s="16" t="n">
        <f aca="false">A237+1</f>
        <v>46518</v>
      </c>
      <c r="B238" s="17"/>
      <c r="C238" s="18"/>
      <c r="D238" s="18"/>
      <c r="E238" s="18"/>
      <c r="F238" s="18"/>
      <c r="G238" s="18"/>
      <c r="H238" s="17"/>
      <c r="I238" s="19"/>
      <c r="J238" s="10" t="str">
        <f aca="false">IF(C238="","",C238-TargetKcal)</f>
        <v/>
      </c>
      <c r="K238" s="10" t="str">
        <f aca="false">IF(D238="","",D238-TargetProtein)</f>
        <v/>
      </c>
      <c r="L238" s="10" t="str">
        <f aca="false">IF(E238="","",E238-TargetFat)</f>
        <v/>
      </c>
      <c r="M238" s="10" t="str">
        <f aca="false">IF(F238="","",F238-TargetCarb)</f>
        <v/>
      </c>
      <c r="N238" s="10" t="str">
        <f aca="false">IF(COUNT(C238:F238)&lt;4,"",ROUND(4*D238+9*E238+4*F238-C238,0))</f>
        <v/>
      </c>
      <c r="O238" s="13" t="str">
        <f aca="false">IF(B238="","",IFERROR(AVERAGEIFS(Питание!$B$14:$B$378,Питание!$A$14:$A$378,"&gt;"&amp;$A238-7,Питание!$A$14:$A$378,"&lt;="&amp;$A238,Питание!$B$14:$B$378,"&gt;0"),""))</f>
        <v/>
      </c>
      <c r="P238" s="8" t="str">
        <f aca="false">IF(C238="","",IFERROR(AVERAGEIFS(Питание!$C$14:$C$378,Питание!$A$14:$A$378,"&gt;"&amp;$A238-7,Питание!$A$14:$A$378,"&lt;="&amp;$A238,Питание!$C$14:$C$378,"&gt;0"),""))</f>
        <v/>
      </c>
      <c r="Q238" s="8" t="str">
        <f aca="false">IF(D238="","",IFERROR(AVERAGEIFS(Питание!$D$14:$D$378,Питание!$A$14:$A$378,"&gt;"&amp;$A238-7,Питание!$A$14:$A$378,"&lt;="&amp;$A238,Питание!$D$14:$D$378,"&gt;0"),""))</f>
        <v/>
      </c>
      <c r="R238" s="14" t="str">
        <f aca="false">IF(O238="","",IFERROR(O238-AVERAGEIFS(Питание!$B$14:$B$378,Питание!$A$14:$A$378,"&gt;"&amp;$A238-14,Питание!$A$14:$A$378,"&lt;="&amp;$A238-7,Питание!$B$14:$B$378,"&gt;0"),""))</f>
        <v/>
      </c>
      <c r="S238" s="15" t="str">
        <f aca="false">IF(R238="","",R238/O238)</f>
        <v/>
      </c>
      <c r="T238" s="11" t="str">
        <f aca="false">IF(O238="","",O238-StartWeight)</f>
        <v/>
      </c>
    </row>
    <row r="239" customFormat="false" ht="15" hidden="false" customHeight="true" outlineLevel="0" collapsed="false">
      <c r="A239" s="16" t="n">
        <f aca="false">A238+1</f>
        <v>46519</v>
      </c>
      <c r="B239" s="17"/>
      <c r="C239" s="18"/>
      <c r="D239" s="18"/>
      <c r="E239" s="18"/>
      <c r="F239" s="18"/>
      <c r="G239" s="18"/>
      <c r="H239" s="17"/>
      <c r="I239" s="19"/>
      <c r="J239" s="10" t="str">
        <f aca="false">IF(C239="","",C239-TargetKcal)</f>
        <v/>
      </c>
      <c r="K239" s="10" t="str">
        <f aca="false">IF(D239="","",D239-TargetProtein)</f>
        <v/>
      </c>
      <c r="L239" s="10" t="str">
        <f aca="false">IF(E239="","",E239-TargetFat)</f>
        <v/>
      </c>
      <c r="M239" s="10" t="str">
        <f aca="false">IF(F239="","",F239-TargetCarb)</f>
        <v/>
      </c>
      <c r="N239" s="10" t="str">
        <f aca="false">IF(COUNT(C239:F239)&lt;4,"",ROUND(4*D239+9*E239+4*F239-C239,0))</f>
        <v/>
      </c>
      <c r="O239" s="13" t="str">
        <f aca="false">IF(B239="","",IFERROR(AVERAGEIFS(Питание!$B$14:$B$378,Питание!$A$14:$A$378,"&gt;"&amp;$A239-7,Питание!$A$14:$A$378,"&lt;="&amp;$A239,Питание!$B$14:$B$378,"&gt;0"),""))</f>
        <v/>
      </c>
      <c r="P239" s="8" t="str">
        <f aca="false">IF(C239="","",IFERROR(AVERAGEIFS(Питание!$C$14:$C$378,Питание!$A$14:$A$378,"&gt;"&amp;$A239-7,Питание!$A$14:$A$378,"&lt;="&amp;$A239,Питание!$C$14:$C$378,"&gt;0"),""))</f>
        <v/>
      </c>
      <c r="Q239" s="8" t="str">
        <f aca="false">IF(D239="","",IFERROR(AVERAGEIFS(Питание!$D$14:$D$378,Питание!$A$14:$A$378,"&gt;"&amp;$A239-7,Питание!$A$14:$A$378,"&lt;="&amp;$A239,Питание!$D$14:$D$378,"&gt;0"),""))</f>
        <v/>
      </c>
      <c r="R239" s="14" t="str">
        <f aca="false">IF(O239="","",IFERROR(O239-AVERAGEIFS(Питание!$B$14:$B$378,Питание!$A$14:$A$378,"&gt;"&amp;$A239-14,Питание!$A$14:$A$378,"&lt;="&amp;$A239-7,Питание!$B$14:$B$378,"&gt;0"),""))</f>
        <v/>
      </c>
      <c r="S239" s="15" t="str">
        <f aca="false">IF(R239="","",R239/O239)</f>
        <v/>
      </c>
      <c r="T239" s="11" t="str">
        <f aca="false">IF(O239="","",O239-StartWeight)</f>
        <v/>
      </c>
    </row>
    <row r="240" customFormat="false" ht="15" hidden="false" customHeight="true" outlineLevel="0" collapsed="false">
      <c r="A240" s="16" t="n">
        <f aca="false">A239+1</f>
        <v>46520</v>
      </c>
      <c r="B240" s="17"/>
      <c r="C240" s="18"/>
      <c r="D240" s="18"/>
      <c r="E240" s="18"/>
      <c r="F240" s="18"/>
      <c r="G240" s="18"/>
      <c r="H240" s="17"/>
      <c r="I240" s="19"/>
      <c r="J240" s="10" t="str">
        <f aca="false">IF(C240="","",C240-TargetKcal)</f>
        <v/>
      </c>
      <c r="K240" s="10" t="str">
        <f aca="false">IF(D240="","",D240-TargetProtein)</f>
        <v/>
      </c>
      <c r="L240" s="10" t="str">
        <f aca="false">IF(E240="","",E240-TargetFat)</f>
        <v/>
      </c>
      <c r="M240" s="10" t="str">
        <f aca="false">IF(F240="","",F240-TargetCarb)</f>
        <v/>
      </c>
      <c r="N240" s="10" t="str">
        <f aca="false">IF(COUNT(C240:F240)&lt;4,"",ROUND(4*D240+9*E240+4*F240-C240,0))</f>
        <v/>
      </c>
      <c r="O240" s="13" t="str">
        <f aca="false">IF(B240="","",IFERROR(AVERAGEIFS(Питание!$B$14:$B$378,Питание!$A$14:$A$378,"&gt;"&amp;$A240-7,Питание!$A$14:$A$378,"&lt;="&amp;$A240,Питание!$B$14:$B$378,"&gt;0"),""))</f>
        <v/>
      </c>
      <c r="P240" s="8" t="str">
        <f aca="false">IF(C240="","",IFERROR(AVERAGEIFS(Питание!$C$14:$C$378,Питание!$A$14:$A$378,"&gt;"&amp;$A240-7,Питание!$A$14:$A$378,"&lt;="&amp;$A240,Питание!$C$14:$C$378,"&gt;0"),""))</f>
        <v/>
      </c>
      <c r="Q240" s="8" t="str">
        <f aca="false">IF(D240="","",IFERROR(AVERAGEIFS(Питание!$D$14:$D$378,Питание!$A$14:$A$378,"&gt;"&amp;$A240-7,Питание!$A$14:$A$378,"&lt;="&amp;$A240,Питание!$D$14:$D$378,"&gt;0"),""))</f>
        <v/>
      </c>
      <c r="R240" s="14" t="str">
        <f aca="false">IF(O240="","",IFERROR(O240-AVERAGEIFS(Питание!$B$14:$B$378,Питание!$A$14:$A$378,"&gt;"&amp;$A240-14,Питание!$A$14:$A$378,"&lt;="&amp;$A240-7,Питание!$B$14:$B$378,"&gt;0"),""))</f>
        <v/>
      </c>
      <c r="S240" s="15" t="str">
        <f aca="false">IF(R240="","",R240/O240)</f>
        <v/>
      </c>
      <c r="T240" s="11" t="str">
        <f aca="false">IF(O240="","",O240-StartWeight)</f>
        <v/>
      </c>
    </row>
    <row r="241" customFormat="false" ht="15" hidden="false" customHeight="true" outlineLevel="0" collapsed="false">
      <c r="A241" s="16" t="n">
        <f aca="false">A240+1</f>
        <v>46521</v>
      </c>
      <c r="B241" s="17"/>
      <c r="C241" s="18"/>
      <c r="D241" s="18"/>
      <c r="E241" s="18"/>
      <c r="F241" s="18"/>
      <c r="G241" s="18"/>
      <c r="H241" s="17"/>
      <c r="I241" s="19"/>
      <c r="J241" s="10" t="str">
        <f aca="false">IF(C241="","",C241-TargetKcal)</f>
        <v/>
      </c>
      <c r="K241" s="10" t="str">
        <f aca="false">IF(D241="","",D241-TargetProtein)</f>
        <v/>
      </c>
      <c r="L241" s="10" t="str">
        <f aca="false">IF(E241="","",E241-TargetFat)</f>
        <v/>
      </c>
      <c r="M241" s="10" t="str">
        <f aca="false">IF(F241="","",F241-TargetCarb)</f>
        <v/>
      </c>
      <c r="N241" s="10" t="str">
        <f aca="false">IF(COUNT(C241:F241)&lt;4,"",ROUND(4*D241+9*E241+4*F241-C241,0))</f>
        <v/>
      </c>
      <c r="O241" s="13" t="str">
        <f aca="false">IF(B241="","",IFERROR(AVERAGEIFS(Питание!$B$14:$B$378,Питание!$A$14:$A$378,"&gt;"&amp;$A241-7,Питание!$A$14:$A$378,"&lt;="&amp;$A241,Питание!$B$14:$B$378,"&gt;0"),""))</f>
        <v/>
      </c>
      <c r="P241" s="8" t="str">
        <f aca="false">IF(C241="","",IFERROR(AVERAGEIFS(Питание!$C$14:$C$378,Питание!$A$14:$A$378,"&gt;"&amp;$A241-7,Питание!$A$14:$A$378,"&lt;="&amp;$A241,Питание!$C$14:$C$378,"&gt;0"),""))</f>
        <v/>
      </c>
      <c r="Q241" s="8" t="str">
        <f aca="false">IF(D241="","",IFERROR(AVERAGEIFS(Питание!$D$14:$D$378,Питание!$A$14:$A$378,"&gt;"&amp;$A241-7,Питание!$A$14:$A$378,"&lt;="&amp;$A241,Питание!$D$14:$D$378,"&gt;0"),""))</f>
        <v/>
      </c>
      <c r="R241" s="14" t="str">
        <f aca="false">IF(O241="","",IFERROR(O241-AVERAGEIFS(Питание!$B$14:$B$378,Питание!$A$14:$A$378,"&gt;"&amp;$A241-14,Питание!$A$14:$A$378,"&lt;="&amp;$A241-7,Питание!$B$14:$B$378,"&gt;0"),""))</f>
        <v/>
      </c>
      <c r="S241" s="15" t="str">
        <f aca="false">IF(R241="","",R241/O241)</f>
        <v/>
      </c>
      <c r="T241" s="11" t="str">
        <f aca="false">IF(O241="","",O241-StartWeight)</f>
        <v/>
      </c>
    </row>
    <row r="242" customFormat="false" ht="15" hidden="false" customHeight="true" outlineLevel="0" collapsed="false">
      <c r="A242" s="16" t="n">
        <f aca="false">A241+1</f>
        <v>46522</v>
      </c>
      <c r="B242" s="17"/>
      <c r="C242" s="18"/>
      <c r="D242" s="18"/>
      <c r="E242" s="18"/>
      <c r="F242" s="18"/>
      <c r="G242" s="18"/>
      <c r="H242" s="17"/>
      <c r="I242" s="19"/>
      <c r="J242" s="10" t="str">
        <f aca="false">IF(C242="","",C242-TargetKcal)</f>
        <v/>
      </c>
      <c r="K242" s="10" t="str">
        <f aca="false">IF(D242="","",D242-TargetProtein)</f>
        <v/>
      </c>
      <c r="L242" s="10" t="str">
        <f aca="false">IF(E242="","",E242-TargetFat)</f>
        <v/>
      </c>
      <c r="M242" s="10" t="str">
        <f aca="false">IF(F242="","",F242-TargetCarb)</f>
        <v/>
      </c>
      <c r="N242" s="10" t="str">
        <f aca="false">IF(COUNT(C242:F242)&lt;4,"",ROUND(4*D242+9*E242+4*F242-C242,0))</f>
        <v/>
      </c>
      <c r="O242" s="13" t="str">
        <f aca="false">IF(B242="","",IFERROR(AVERAGEIFS(Питание!$B$14:$B$378,Питание!$A$14:$A$378,"&gt;"&amp;$A242-7,Питание!$A$14:$A$378,"&lt;="&amp;$A242,Питание!$B$14:$B$378,"&gt;0"),""))</f>
        <v/>
      </c>
      <c r="P242" s="8" t="str">
        <f aca="false">IF(C242="","",IFERROR(AVERAGEIFS(Питание!$C$14:$C$378,Питание!$A$14:$A$378,"&gt;"&amp;$A242-7,Питание!$A$14:$A$378,"&lt;="&amp;$A242,Питание!$C$14:$C$378,"&gt;0"),""))</f>
        <v/>
      </c>
      <c r="Q242" s="8" t="str">
        <f aca="false">IF(D242="","",IFERROR(AVERAGEIFS(Питание!$D$14:$D$378,Питание!$A$14:$A$378,"&gt;"&amp;$A242-7,Питание!$A$14:$A$378,"&lt;="&amp;$A242,Питание!$D$14:$D$378,"&gt;0"),""))</f>
        <v/>
      </c>
      <c r="R242" s="14" t="str">
        <f aca="false">IF(O242="","",IFERROR(O242-AVERAGEIFS(Питание!$B$14:$B$378,Питание!$A$14:$A$378,"&gt;"&amp;$A242-14,Питание!$A$14:$A$378,"&lt;="&amp;$A242-7,Питание!$B$14:$B$378,"&gt;0"),""))</f>
        <v/>
      </c>
      <c r="S242" s="15" t="str">
        <f aca="false">IF(R242="","",R242/O242)</f>
        <v/>
      </c>
      <c r="T242" s="11" t="str">
        <f aca="false">IF(O242="","",O242-StartWeight)</f>
        <v/>
      </c>
    </row>
    <row r="243" customFormat="false" ht="15" hidden="false" customHeight="true" outlineLevel="0" collapsed="false">
      <c r="A243" s="16" t="n">
        <f aca="false">A242+1</f>
        <v>46523</v>
      </c>
      <c r="B243" s="17"/>
      <c r="C243" s="18"/>
      <c r="D243" s="18"/>
      <c r="E243" s="18"/>
      <c r="F243" s="18"/>
      <c r="G243" s="18"/>
      <c r="H243" s="17"/>
      <c r="I243" s="19"/>
      <c r="J243" s="10" t="str">
        <f aca="false">IF(C243="","",C243-TargetKcal)</f>
        <v/>
      </c>
      <c r="K243" s="10" t="str">
        <f aca="false">IF(D243="","",D243-TargetProtein)</f>
        <v/>
      </c>
      <c r="L243" s="10" t="str">
        <f aca="false">IF(E243="","",E243-TargetFat)</f>
        <v/>
      </c>
      <c r="M243" s="10" t="str">
        <f aca="false">IF(F243="","",F243-TargetCarb)</f>
        <v/>
      </c>
      <c r="N243" s="10" t="str">
        <f aca="false">IF(COUNT(C243:F243)&lt;4,"",ROUND(4*D243+9*E243+4*F243-C243,0))</f>
        <v/>
      </c>
      <c r="O243" s="13" t="str">
        <f aca="false">IF(B243="","",IFERROR(AVERAGEIFS(Питание!$B$14:$B$378,Питание!$A$14:$A$378,"&gt;"&amp;$A243-7,Питание!$A$14:$A$378,"&lt;="&amp;$A243,Питание!$B$14:$B$378,"&gt;0"),""))</f>
        <v/>
      </c>
      <c r="P243" s="8" t="str">
        <f aca="false">IF(C243="","",IFERROR(AVERAGEIFS(Питание!$C$14:$C$378,Питание!$A$14:$A$378,"&gt;"&amp;$A243-7,Питание!$A$14:$A$378,"&lt;="&amp;$A243,Питание!$C$14:$C$378,"&gt;0"),""))</f>
        <v/>
      </c>
      <c r="Q243" s="8" t="str">
        <f aca="false">IF(D243="","",IFERROR(AVERAGEIFS(Питание!$D$14:$D$378,Питание!$A$14:$A$378,"&gt;"&amp;$A243-7,Питание!$A$14:$A$378,"&lt;="&amp;$A243,Питание!$D$14:$D$378,"&gt;0"),""))</f>
        <v/>
      </c>
      <c r="R243" s="14" t="str">
        <f aca="false">IF(O243="","",IFERROR(O243-AVERAGEIFS(Питание!$B$14:$B$378,Питание!$A$14:$A$378,"&gt;"&amp;$A243-14,Питание!$A$14:$A$378,"&lt;="&amp;$A243-7,Питание!$B$14:$B$378,"&gt;0"),""))</f>
        <v/>
      </c>
      <c r="S243" s="15" t="str">
        <f aca="false">IF(R243="","",R243/O243)</f>
        <v/>
      </c>
      <c r="T243" s="11" t="str">
        <f aca="false">IF(O243="","",O243-StartWeight)</f>
        <v/>
      </c>
    </row>
    <row r="244" customFormat="false" ht="15" hidden="false" customHeight="true" outlineLevel="0" collapsed="false">
      <c r="A244" s="16" t="n">
        <f aca="false">A243+1</f>
        <v>46524</v>
      </c>
      <c r="B244" s="17"/>
      <c r="C244" s="18"/>
      <c r="D244" s="18"/>
      <c r="E244" s="18"/>
      <c r="F244" s="18"/>
      <c r="G244" s="18"/>
      <c r="H244" s="17"/>
      <c r="I244" s="19"/>
      <c r="J244" s="10" t="str">
        <f aca="false">IF(C244="","",C244-TargetKcal)</f>
        <v/>
      </c>
      <c r="K244" s="10" t="str">
        <f aca="false">IF(D244="","",D244-TargetProtein)</f>
        <v/>
      </c>
      <c r="L244" s="10" t="str">
        <f aca="false">IF(E244="","",E244-TargetFat)</f>
        <v/>
      </c>
      <c r="M244" s="10" t="str">
        <f aca="false">IF(F244="","",F244-TargetCarb)</f>
        <v/>
      </c>
      <c r="N244" s="10" t="str">
        <f aca="false">IF(COUNT(C244:F244)&lt;4,"",ROUND(4*D244+9*E244+4*F244-C244,0))</f>
        <v/>
      </c>
      <c r="O244" s="13" t="str">
        <f aca="false">IF(B244="","",IFERROR(AVERAGEIFS(Питание!$B$14:$B$378,Питание!$A$14:$A$378,"&gt;"&amp;$A244-7,Питание!$A$14:$A$378,"&lt;="&amp;$A244,Питание!$B$14:$B$378,"&gt;0"),""))</f>
        <v/>
      </c>
      <c r="P244" s="8" t="str">
        <f aca="false">IF(C244="","",IFERROR(AVERAGEIFS(Питание!$C$14:$C$378,Питание!$A$14:$A$378,"&gt;"&amp;$A244-7,Питание!$A$14:$A$378,"&lt;="&amp;$A244,Питание!$C$14:$C$378,"&gt;0"),""))</f>
        <v/>
      </c>
      <c r="Q244" s="8" t="str">
        <f aca="false">IF(D244="","",IFERROR(AVERAGEIFS(Питание!$D$14:$D$378,Питание!$A$14:$A$378,"&gt;"&amp;$A244-7,Питание!$A$14:$A$378,"&lt;="&amp;$A244,Питание!$D$14:$D$378,"&gt;0"),""))</f>
        <v/>
      </c>
      <c r="R244" s="14" t="str">
        <f aca="false">IF(O244="","",IFERROR(O244-AVERAGEIFS(Питание!$B$14:$B$378,Питание!$A$14:$A$378,"&gt;"&amp;$A244-14,Питание!$A$14:$A$378,"&lt;="&amp;$A244-7,Питание!$B$14:$B$378,"&gt;0"),""))</f>
        <v/>
      </c>
      <c r="S244" s="15" t="str">
        <f aca="false">IF(R244="","",R244/O244)</f>
        <v/>
      </c>
      <c r="T244" s="11" t="str">
        <f aca="false">IF(O244="","",O244-StartWeight)</f>
        <v/>
      </c>
    </row>
    <row r="245" customFormat="false" ht="15" hidden="false" customHeight="true" outlineLevel="0" collapsed="false">
      <c r="A245" s="16" t="n">
        <f aca="false">A244+1</f>
        <v>46525</v>
      </c>
      <c r="B245" s="17"/>
      <c r="C245" s="18"/>
      <c r="D245" s="18"/>
      <c r="E245" s="18"/>
      <c r="F245" s="18"/>
      <c r="G245" s="18"/>
      <c r="H245" s="17"/>
      <c r="I245" s="19"/>
      <c r="J245" s="10" t="str">
        <f aca="false">IF(C245="","",C245-TargetKcal)</f>
        <v/>
      </c>
      <c r="K245" s="10" t="str">
        <f aca="false">IF(D245="","",D245-TargetProtein)</f>
        <v/>
      </c>
      <c r="L245" s="10" t="str">
        <f aca="false">IF(E245="","",E245-TargetFat)</f>
        <v/>
      </c>
      <c r="M245" s="10" t="str">
        <f aca="false">IF(F245="","",F245-TargetCarb)</f>
        <v/>
      </c>
      <c r="N245" s="10" t="str">
        <f aca="false">IF(COUNT(C245:F245)&lt;4,"",ROUND(4*D245+9*E245+4*F245-C245,0))</f>
        <v/>
      </c>
      <c r="O245" s="13" t="str">
        <f aca="false">IF(B245="","",IFERROR(AVERAGEIFS(Питание!$B$14:$B$378,Питание!$A$14:$A$378,"&gt;"&amp;$A245-7,Питание!$A$14:$A$378,"&lt;="&amp;$A245,Питание!$B$14:$B$378,"&gt;0"),""))</f>
        <v/>
      </c>
      <c r="P245" s="8" t="str">
        <f aca="false">IF(C245="","",IFERROR(AVERAGEIFS(Питание!$C$14:$C$378,Питание!$A$14:$A$378,"&gt;"&amp;$A245-7,Питание!$A$14:$A$378,"&lt;="&amp;$A245,Питание!$C$14:$C$378,"&gt;0"),""))</f>
        <v/>
      </c>
      <c r="Q245" s="8" t="str">
        <f aca="false">IF(D245="","",IFERROR(AVERAGEIFS(Питание!$D$14:$D$378,Питание!$A$14:$A$378,"&gt;"&amp;$A245-7,Питание!$A$14:$A$378,"&lt;="&amp;$A245,Питание!$D$14:$D$378,"&gt;0"),""))</f>
        <v/>
      </c>
      <c r="R245" s="14" t="str">
        <f aca="false">IF(O245="","",IFERROR(O245-AVERAGEIFS(Питание!$B$14:$B$378,Питание!$A$14:$A$378,"&gt;"&amp;$A245-14,Питание!$A$14:$A$378,"&lt;="&amp;$A245-7,Питание!$B$14:$B$378,"&gt;0"),""))</f>
        <v/>
      </c>
      <c r="S245" s="15" t="str">
        <f aca="false">IF(R245="","",R245/O245)</f>
        <v/>
      </c>
      <c r="T245" s="11" t="str">
        <f aca="false">IF(O245="","",O245-StartWeight)</f>
        <v/>
      </c>
    </row>
    <row r="246" customFormat="false" ht="15" hidden="false" customHeight="true" outlineLevel="0" collapsed="false">
      <c r="A246" s="16" t="n">
        <f aca="false">A245+1</f>
        <v>46526</v>
      </c>
      <c r="B246" s="17"/>
      <c r="C246" s="18"/>
      <c r="D246" s="18"/>
      <c r="E246" s="18"/>
      <c r="F246" s="18"/>
      <c r="G246" s="18"/>
      <c r="H246" s="17"/>
      <c r="I246" s="19"/>
      <c r="J246" s="10" t="str">
        <f aca="false">IF(C246="","",C246-TargetKcal)</f>
        <v/>
      </c>
      <c r="K246" s="10" t="str">
        <f aca="false">IF(D246="","",D246-TargetProtein)</f>
        <v/>
      </c>
      <c r="L246" s="10" t="str">
        <f aca="false">IF(E246="","",E246-TargetFat)</f>
        <v/>
      </c>
      <c r="M246" s="10" t="str">
        <f aca="false">IF(F246="","",F246-TargetCarb)</f>
        <v/>
      </c>
      <c r="N246" s="10" t="str">
        <f aca="false">IF(COUNT(C246:F246)&lt;4,"",ROUND(4*D246+9*E246+4*F246-C246,0))</f>
        <v/>
      </c>
      <c r="O246" s="13" t="str">
        <f aca="false">IF(B246="","",IFERROR(AVERAGEIFS(Питание!$B$14:$B$378,Питание!$A$14:$A$378,"&gt;"&amp;$A246-7,Питание!$A$14:$A$378,"&lt;="&amp;$A246,Питание!$B$14:$B$378,"&gt;0"),""))</f>
        <v/>
      </c>
      <c r="P246" s="8" t="str">
        <f aca="false">IF(C246="","",IFERROR(AVERAGEIFS(Питание!$C$14:$C$378,Питание!$A$14:$A$378,"&gt;"&amp;$A246-7,Питание!$A$14:$A$378,"&lt;="&amp;$A246,Питание!$C$14:$C$378,"&gt;0"),""))</f>
        <v/>
      </c>
      <c r="Q246" s="8" t="str">
        <f aca="false">IF(D246="","",IFERROR(AVERAGEIFS(Питание!$D$14:$D$378,Питание!$A$14:$A$378,"&gt;"&amp;$A246-7,Питание!$A$14:$A$378,"&lt;="&amp;$A246,Питание!$D$14:$D$378,"&gt;0"),""))</f>
        <v/>
      </c>
      <c r="R246" s="14" t="str">
        <f aca="false">IF(O246="","",IFERROR(O246-AVERAGEIFS(Питание!$B$14:$B$378,Питание!$A$14:$A$378,"&gt;"&amp;$A246-14,Питание!$A$14:$A$378,"&lt;="&amp;$A246-7,Питание!$B$14:$B$378,"&gt;0"),""))</f>
        <v/>
      </c>
      <c r="S246" s="15" t="str">
        <f aca="false">IF(R246="","",R246/O246)</f>
        <v/>
      </c>
      <c r="T246" s="11" t="str">
        <f aca="false">IF(O246="","",O246-StartWeight)</f>
        <v/>
      </c>
    </row>
    <row r="247" customFormat="false" ht="15" hidden="false" customHeight="true" outlineLevel="0" collapsed="false">
      <c r="A247" s="16" t="n">
        <f aca="false">A246+1</f>
        <v>46527</v>
      </c>
      <c r="B247" s="17"/>
      <c r="C247" s="18"/>
      <c r="D247" s="18"/>
      <c r="E247" s="18"/>
      <c r="F247" s="18"/>
      <c r="G247" s="18"/>
      <c r="H247" s="17"/>
      <c r="I247" s="19"/>
      <c r="J247" s="10" t="str">
        <f aca="false">IF(C247="","",C247-TargetKcal)</f>
        <v/>
      </c>
      <c r="K247" s="10" t="str">
        <f aca="false">IF(D247="","",D247-TargetProtein)</f>
        <v/>
      </c>
      <c r="L247" s="10" t="str">
        <f aca="false">IF(E247="","",E247-TargetFat)</f>
        <v/>
      </c>
      <c r="M247" s="10" t="str">
        <f aca="false">IF(F247="","",F247-TargetCarb)</f>
        <v/>
      </c>
      <c r="N247" s="10" t="str">
        <f aca="false">IF(COUNT(C247:F247)&lt;4,"",ROUND(4*D247+9*E247+4*F247-C247,0))</f>
        <v/>
      </c>
      <c r="O247" s="13" t="str">
        <f aca="false">IF(B247="","",IFERROR(AVERAGEIFS(Питание!$B$14:$B$378,Питание!$A$14:$A$378,"&gt;"&amp;$A247-7,Питание!$A$14:$A$378,"&lt;="&amp;$A247,Питание!$B$14:$B$378,"&gt;0"),""))</f>
        <v/>
      </c>
      <c r="P247" s="8" t="str">
        <f aca="false">IF(C247="","",IFERROR(AVERAGEIFS(Питание!$C$14:$C$378,Питание!$A$14:$A$378,"&gt;"&amp;$A247-7,Питание!$A$14:$A$378,"&lt;="&amp;$A247,Питание!$C$14:$C$378,"&gt;0"),""))</f>
        <v/>
      </c>
      <c r="Q247" s="8" t="str">
        <f aca="false">IF(D247="","",IFERROR(AVERAGEIFS(Питание!$D$14:$D$378,Питание!$A$14:$A$378,"&gt;"&amp;$A247-7,Питание!$A$14:$A$378,"&lt;="&amp;$A247,Питание!$D$14:$D$378,"&gt;0"),""))</f>
        <v/>
      </c>
      <c r="R247" s="14" t="str">
        <f aca="false">IF(O247="","",IFERROR(O247-AVERAGEIFS(Питание!$B$14:$B$378,Питание!$A$14:$A$378,"&gt;"&amp;$A247-14,Питание!$A$14:$A$378,"&lt;="&amp;$A247-7,Питание!$B$14:$B$378,"&gt;0"),""))</f>
        <v/>
      </c>
      <c r="S247" s="15" t="str">
        <f aca="false">IF(R247="","",R247/O247)</f>
        <v/>
      </c>
      <c r="T247" s="11" t="str">
        <f aca="false">IF(O247="","",O247-StartWeight)</f>
        <v/>
      </c>
    </row>
    <row r="248" customFormat="false" ht="15" hidden="false" customHeight="true" outlineLevel="0" collapsed="false">
      <c r="A248" s="16" t="n">
        <f aca="false">A247+1</f>
        <v>46528</v>
      </c>
      <c r="B248" s="17"/>
      <c r="C248" s="18"/>
      <c r="D248" s="18"/>
      <c r="E248" s="18"/>
      <c r="F248" s="18"/>
      <c r="G248" s="18"/>
      <c r="H248" s="17"/>
      <c r="I248" s="19"/>
      <c r="J248" s="10" t="str">
        <f aca="false">IF(C248="","",C248-TargetKcal)</f>
        <v/>
      </c>
      <c r="K248" s="10" t="str">
        <f aca="false">IF(D248="","",D248-TargetProtein)</f>
        <v/>
      </c>
      <c r="L248" s="10" t="str">
        <f aca="false">IF(E248="","",E248-TargetFat)</f>
        <v/>
      </c>
      <c r="M248" s="10" t="str">
        <f aca="false">IF(F248="","",F248-TargetCarb)</f>
        <v/>
      </c>
      <c r="N248" s="10" t="str">
        <f aca="false">IF(COUNT(C248:F248)&lt;4,"",ROUND(4*D248+9*E248+4*F248-C248,0))</f>
        <v/>
      </c>
      <c r="O248" s="13" t="str">
        <f aca="false">IF(B248="","",IFERROR(AVERAGEIFS(Питание!$B$14:$B$378,Питание!$A$14:$A$378,"&gt;"&amp;$A248-7,Питание!$A$14:$A$378,"&lt;="&amp;$A248,Питание!$B$14:$B$378,"&gt;0"),""))</f>
        <v/>
      </c>
      <c r="P248" s="8" t="str">
        <f aca="false">IF(C248="","",IFERROR(AVERAGEIFS(Питание!$C$14:$C$378,Питание!$A$14:$A$378,"&gt;"&amp;$A248-7,Питание!$A$14:$A$378,"&lt;="&amp;$A248,Питание!$C$14:$C$378,"&gt;0"),""))</f>
        <v/>
      </c>
      <c r="Q248" s="8" t="str">
        <f aca="false">IF(D248="","",IFERROR(AVERAGEIFS(Питание!$D$14:$D$378,Питание!$A$14:$A$378,"&gt;"&amp;$A248-7,Питание!$A$14:$A$378,"&lt;="&amp;$A248,Питание!$D$14:$D$378,"&gt;0"),""))</f>
        <v/>
      </c>
      <c r="R248" s="14" t="str">
        <f aca="false">IF(O248="","",IFERROR(O248-AVERAGEIFS(Питание!$B$14:$B$378,Питание!$A$14:$A$378,"&gt;"&amp;$A248-14,Питание!$A$14:$A$378,"&lt;="&amp;$A248-7,Питание!$B$14:$B$378,"&gt;0"),""))</f>
        <v/>
      </c>
      <c r="S248" s="15" t="str">
        <f aca="false">IF(R248="","",R248/O248)</f>
        <v/>
      </c>
      <c r="T248" s="11" t="str">
        <f aca="false">IF(O248="","",O248-StartWeight)</f>
        <v/>
      </c>
    </row>
    <row r="249" customFormat="false" ht="15" hidden="false" customHeight="true" outlineLevel="0" collapsed="false">
      <c r="A249" s="16" t="n">
        <f aca="false">A248+1</f>
        <v>46529</v>
      </c>
      <c r="B249" s="17"/>
      <c r="C249" s="18"/>
      <c r="D249" s="18"/>
      <c r="E249" s="18"/>
      <c r="F249" s="18"/>
      <c r="G249" s="18"/>
      <c r="H249" s="17"/>
      <c r="I249" s="19"/>
      <c r="J249" s="10" t="str">
        <f aca="false">IF(C249="","",C249-TargetKcal)</f>
        <v/>
      </c>
      <c r="K249" s="10" t="str">
        <f aca="false">IF(D249="","",D249-TargetProtein)</f>
        <v/>
      </c>
      <c r="L249" s="10" t="str">
        <f aca="false">IF(E249="","",E249-TargetFat)</f>
        <v/>
      </c>
      <c r="M249" s="10" t="str">
        <f aca="false">IF(F249="","",F249-TargetCarb)</f>
        <v/>
      </c>
      <c r="N249" s="10" t="str">
        <f aca="false">IF(COUNT(C249:F249)&lt;4,"",ROUND(4*D249+9*E249+4*F249-C249,0))</f>
        <v/>
      </c>
      <c r="O249" s="13" t="str">
        <f aca="false">IF(B249="","",IFERROR(AVERAGEIFS(Питание!$B$14:$B$378,Питание!$A$14:$A$378,"&gt;"&amp;$A249-7,Питание!$A$14:$A$378,"&lt;="&amp;$A249,Питание!$B$14:$B$378,"&gt;0"),""))</f>
        <v/>
      </c>
      <c r="P249" s="8" t="str">
        <f aca="false">IF(C249="","",IFERROR(AVERAGEIFS(Питание!$C$14:$C$378,Питание!$A$14:$A$378,"&gt;"&amp;$A249-7,Питание!$A$14:$A$378,"&lt;="&amp;$A249,Питание!$C$14:$C$378,"&gt;0"),""))</f>
        <v/>
      </c>
      <c r="Q249" s="8" t="str">
        <f aca="false">IF(D249="","",IFERROR(AVERAGEIFS(Питание!$D$14:$D$378,Питание!$A$14:$A$378,"&gt;"&amp;$A249-7,Питание!$A$14:$A$378,"&lt;="&amp;$A249,Питание!$D$14:$D$378,"&gt;0"),""))</f>
        <v/>
      </c>
      <c r="R249" s="14" t="str">
        <f aca="false">IF(O249="","",IFERROR(O249-AVERAGEIFS(Питание!$B$14:$B$378,Питание!$A$14:$A$378,"&gt;"&amp;$A249-14,Питание!$A$14:$A$378,"&lt;="&amp;$A249-7,Питание!$B$14:$B$378,"&gt;0"),""))</f>
        <v/>
      </c>
      <c r="S249" s="15" t="str">
        <f aca="false">IF(R249="","",R249/O249)</f>
        <v/>
      </c>
      <c r="T249" s="11" t="str">
        <f aca="false">IF(O249="","",O249-StartWeight)</f>
        <v/>
      </c>
    </row>
    <row r="250" customFormat="false" ht="15" hidden="false" customHeight="true" outlineLevel="0" collapsed="false">
      <c r="A250" s="16" t="n">
        <f aca="false">A249+1</f>
        <v>46530</v>
      </c>
      <c r="B250" s="17"/>
      <c r="C250" s="18"/>
      <c r="D250" s="18"/>
      <c r="E250" s="18"/>
      <c r="F250" s="18"/>
      <c r="G250" s="18"/>
      <c r="H250" s="17"/>
      <c r="I250" s="19"/>
      <c r="J250" s="10" t="str">
        <f aca="false">IF(C250="","",C250-TargetKcal)</f>
        <v/>
      </c>
      <c r="K250" s="10" t="str">
        <f aca="false">IF(D250="","",D250-TargetProtein)</f>
        <v/>
      </c>
      <c r="L250" s="10" t="str">
        <f aca="false">IF(E250="","",E250-TargetFat)</f>
        <v/>
      </c>
      <c r="M250" s="10" t="str">
        <f aca="false">IF(F250="","",F250-TargetCarb)</f>
        <v/>
      </c>
      <c r="N250" s="10" t="str">
        <f aca="false">IF(COUNT(C250:F250)&lt;4,"",ROUND(4*D250+9*E250+4*F250-C250,0))</f>
        <v/>
      </c>
      <c r="O250" s="13" t="str">
        <f aca="false">IF(B250="","",IFERROR(AVERAGEIFS(Питание!$B$14:$B$378,Питание!$A$14:$A$378,"&gt;"&amp;$A250-7,Питание!$A$14:$A$378,"&lt;="&amp;$A250,Питание!$B$14:$B$378,"&gt;0"),""))</f>
        <v/>
      </c>
      <c r="P250" s="8" t="str">
        <f aca="false">IF(C250="","",IFERROR(AVERAGEIFS(Питание!$C$14:$C$378,Питание!$A$14:$A$378,"&gt;"&amp;$A250-7,Питание!$A$14:$A$378,"&lt;="&amp;$A250,Питание!$C$14:$C$378,"&gt;0"),""))</f>
        <v/>
      </c>
      <c r="Q250" s="8" t="str">
        <f aca="false">IF(D250="","",IFERROR(AVERAGEIFS(Питание!$D$14:$D$378,Питание!$A$14:$A$378,"&gt;"&amp;$A250-7,Питание!$A$14:$A$378,"&lt;="&amp;$A250,Питание!$D$14:$D$378,"&gt;0"),""))</f>
        <v/>
      </c>
      <c r="R250" s="14" t="str">
        <f aca="false">IF(O250="","",IFERROR(O250-AVERAGEIFS(Питание!$B$14:$B$378,Питание!$A$14:$A$378,"&gt;"&amp;$A250-14,Питание!$A$14:$A$378,"&lt;="&amp;$A250-7,Питание!$B$14:$B$378,"&gt;0"),""))</f>
        <v/>
      </c>
      <c r="S250" s="15" t="str">
        <f aca="false">IF(R250="","",R250/O250)</f>
        <v/>
      </c>
      <c r="T250" s="11" t="str">
        <f aca="false">IF(O250="","",O250-StartWeight)</f>
        <v/>
      </c>
    </row>
    <row r="251" customFormat="false" ht="15" hidden="false" customHeight="true" outlineLevel="0" collapsed="false">
      <c r="A251" s="16" t="n">
        <f aca="false">A250+1</f>
        <v>46531</v>
      </c>
      <c r="B251" s="17"/>
      <c r="C251" s="18"/>
      <c r="D251" s="18"/>
      <c r="E251" s="18"/>
      <c r="F251" s="18"/>
      <c r="G251" s="18"/>
      <c r="H251" s="17"/>
      <c r="I251" s="19"/>
      <c r="J251" s="10" t="str">
        <f aca="false">IF(C251="","",C251-TargetKcal)</f>
        <v/>
      </c>
      <c r="K251" s="10" t="str">
        <f aca="false">IF(D251="","",D251-TargetProtein)</f>
        <v/>
      </c>
      <c r="L251" s="10" t="str">
        <f aca="false">IF(E251="","",E251-TargetFat)</f>
        <v/>
      </c>
      <c r="M251" s="10" t="str">
        <f aca="false">IF(F251="","",F251-TargetCarb)</f>
        <v/>
      </c>
      <c r="N251" s="10" t="str">
        <f aca="false">IF(COUNT(C251:F251)&lt;4,"",ROUND(4*D251+9*E251+4*F251-C251,0))</f>
        <v/>
      </c>
      <c r="O251" s="13" t="str">
        <f aca="false">IF(B251="","",IFERROR(AVERAGEIFS(Питание!$B$14:$B$378,Питание!$A$14:$A$378,"&gt;"&amp;$A251-7,Питание!$A$14:$A$378,"&lt;="&amp;$A251,Питание!$B$14:$B$378,"&gt;0"),""))</f>
        <v/>
      </c>
      <c r="P251" s="8" t="str">
        <f aca="false">IF(C251="","",IFERROR(AVERAGEIFS(Питание!$C$14:$C$378,Питание!$A$14:$A$378,"&gt;"&amp;$A251-7,Питание!$A$14:$A$378,"&lt;="&amp;$A251,Питание!$C$14:$C$378,"&gt;0"),""))</f>
        <v/>
      </c>
      <c r="Q251" s="8" t="str">
        <f aca="false">IF(D251="","",IFERROR(AVERAGEIFS(Питание!$D$14:$D$378,Питание!$A$14:$A$378,"&gt;"&amp;$A251-7,Питание!$A$14:$A$378,"&lt;="&amp;$A251,Питание!$D$14:$D$378,"&gt;0"),""))</f>
        <v/>
      </c>
      <c r="R251" s="14" t="str">
        <f aca="false">IF(O251="","",IFERROR(O251-AVERAGEIFS(Питание!$B$14:$B$378,Питание!$A$14:$A$378,"&gt;"&amp;$A251-14,Питание!$A$14:$A$378,"&lt;="&amp;$A251-7,Питание!$B$14:$B$378,"&gt;0"),""))</f>
        <v/>
      </c>
      <c r="S251" s="15" t="str">
        <f aca="false">IF(R251="","",R251/O251)</f>
        <v/>
      </c>
      <c r="T251" s="11" t="str">
        <f aca="false">IF(O251="","",O251-StartWeight)</f>
        <v/>
      </c>
    </row>
    <row r="252" customFormat="false" ht="15" hidden="false" customHeight="true" outlineLevel="0" collapsed="false">
      <c r="A252" s="16" t="n">
        <f aca="false">A251+1</f>
        <v>46532</v>
      </c>
      <c r="B252" s="17"/>
      <c r="C252" s="18"/>
      <c r="D252" s="18"/>
      <c r="E252" s="18"/>
      <c r="F252" s="18"/>
      <c r="G252" s="18"/>
      <c r="H252" s="17"/>
      <c r="I252" s="19"/>
      <c r="J252" s="10" t="str">
        <f aca="false">IF(C252="","",C252-TargetKcal)</f>
        <v/>
      </c>
      <c r="K252" s="10" t="str">
        <f aca="false">IF(D252="","",D252-TargetProtein)</f>
        <v/>
      </c>
      <c r="L252" s="10" t="str">
        <f aca="false">IF(E252="","",E252-TargetFat)</f>
        <v/>
      </c>
      <c r="M252" s="10" t="str">
        <f aca="false">IF(F252="","",F252-TargetCarb)</f>
        <v/>
      </c>
      <c r="N252" s="10" t="str">
        <f aca="false">IF(COUNT(C252:F252)&lt;4,"",ROUND(4*D252+9*E252+4*F252-C252,0))</f>
        <v/>
      </c>
      <c r="O252" s="13" t="str">
        <f aca="false">IF(B252="","",IFERROR(AVERAGEIFS(Питание!$B$14:$B$378,Питание!$A$14:$A$378,"&gt;"&amp;$A252-7,Питание!$A$14:$A$378,"&lt;="&amp;$A252,Питание!$B$14:$B$378,"&gt;0"),""))</f>
        <v/>
      </c>
      <c r="P252" s="8" t="str">
        <f aca="false">IF(C252="","",IFERROR(AVERAGEIFS(Питание!$C$14:$C$378,Питание!$A$14:$A$378,"&gt;"&amp;$A252-7,Питание!$A$14:$A$378,"&lt;="&amp;$A252,Питание!$C$14:$C$378,"&gt;0"),""))</f>
        <v/>
      </c>
      <c r="Q252" s="8" t="str">
        <f aca="false">IF(D252="","",IFERROR(AVERAGEIFS(Питание!$D$14:$D$378,Питание!$A$14:$A$378,"&gt;"&amp;$A252-7,Питание!$A$14:$A$378,"&lt;="&amp;$A252,Питание!$D$14:$D$378,"&gt;0"),""))</f>
        <v/>
      </c>
      <c r="R252" s="14" t="str">
        <f aca="false">IF(O252="","",IFERROR(O252-AVERAGEIFS(Питание!$B$14:$B$378,Питание!$A$14:$A$378,"&gt;"&amp;$A252-14,Питание!$A$14:$A$378,"&lt;="&amp;$A252-7,Питание!$B$14:$B$378,"&gt;0"),""))</f>
        <v/>
      </c>
      <c r="S252" s="15" t="str">
        <f aca="false">IF(R252="","",R252/O252)</f>
        <v/>
      </c>
      <c r="T252" s="11" t="str">
        <f aca="false">IF(O252="","",O252-StartWeight)</f>
        <v/>
      </c>
    </row>
    <row r="253" customFormat="false" ht="15" hidden="false" customHeight="true" outlineLevel="0" collapsed="false">
      <c r="A253" s="16" t="n">
        <f aca="false">A252+1</f>
        <v>46533</v>
      </c>
      <c r="B253" s="17"/>
      <c r="C253" s="18"/>
      <c r="D253" s="18"/>
      <c r="E253" s="18"/>
      <c r="F253" s="18"/>
      <c r="G253" s="18"/>
      <c r="H253" s="17"/>
      <c r="I253" s="19"/>
      <c r="J253" s="10" t="str">
        <f aca="false">IF(C253="","",C253-TargetKcal)</f>
        <v/>
      </c>
      <c r="K253" s="10" t="str">
        <f aca="false">IF(D253="","",D253-TargetProtein)</f>
        <v/>
      </c>
      <c r="L253" s="10" t="str">
        <f aca="false">IF(E253="","",E253-TargetFat)</f>
        <v/>
      </c>
      <c r="M253" s="10" t="str">
        <f aca="false">IF(F253="","",F253-TargetCarb)</f>
        <v/>
      </c>
      <c r="N253" s="10" t="str">
        <f aca="false">IF(COUNT(C253:F253)&lt;4,"",ROUND(4*D253+9*E253+4*F253-C253,0))</f>
        <v/>
      </c>
      <c r="O253" s="13" t="str">
        <f aca="false">IF(B253="","",IFERROR(AVERAGEIFS(Питание!$B$14:$B$378,Питание!$A$14:$A$378,"&gt;"&amp;$A253-7,Питание!$A$14:$A$378,"&lt;="&amp;$A253,Питание!$B$14:$B$378,"&gt;0"),""))</f>
        <v/>
      </c>
      <c r="P253" s="8" t="str">
        <f aca="false">IF(C253="","",IFERROR(AVERAGEIFS(Питание!$C$14:$C$378,Питание!$A$14:$A$378,"&gt;"&amp;$A253-7,Питание!$A$14:$A$378,"&lt;="&amp;$A253,Питание!$C$14:$C$378,"&gt;0"),""))</f>
        <v/>
      </c>
      <c r="Q253" s="8" t="str">
        <f aca="false">IF(D253="","",IFERROR(AVERAGEIFS(Питание!$D$14:$D$378,Питание!$A$14:$A$378,"&gt;"&amp;$A253-7,Питание!$A$14:$A$378,"&lt;="&amp;$A253,Питание!$D$14:$D$378,"&gt;0"),""))</f>
        <v/>
      </c>
      <c r="R253" s="14" t="str">
        <f aca="false">IF(O253="","",IFERROR(O253-AVERAGEIFS(Питание!$B$14:$B$378,Питание!$A$14:$A$378,"&gt;"&amp;$A253-14,Питание!$A$14:$A$378,"&lt;="&amp;$A253-7,Питание!$B$14:$B$378,"&gt;0"),""))</f>
        <v/>
      </c>
      <c r="S253" s="15" t="str">
        <f aca="false">IF(R253="","",R253/O253)</f>
        <v/>
      </c>
      <c r="T253" s="11" t="str">
        <f aca="false">IF(O253="","",O253-StartWeight)</f>
        <v/>
      </c>
    </row>
    <row r="254" customFormat="false" ht="15" hidden="false" customHeight="true" outlineLevel="0" collapsed="false">
      <c r="A254" s="16" t="n">
        <f aca="false">A253+1</f>
        <v>46534</v>
      </c>
      <c r="B254" s="17"/>
      <c r="C254" s="18"/>
      <c r="D254" s="18"/>
      <c r="E254" s="18"/>
      <c r="F254" s="18"/>
      <c r="G254" s="18"/>
      <c r="H254" s="17"/>
      <c r="I254" s="19"/>
      <c r="J254" s="10" t="str">
        <f aca="false">IF(C254="","",C254-TargetKcal)</f>
        <v/>
      </c>
      <c r="K254" s="10" t="str">
        <f aca="false">IF(D254="","",D254-TargetProtein)</f>
        <v/>
      </c>
      <c r="L254" s="10" t="str">
        <f aca="false">IF(E254="","",E254-TargetFat)</f>
        <v/>
      </c>
      <c r="M254" s="10" t="str">
        <f aca="false">IF(F254="","",F254-TargetCarb)</f>
        <v/>
      </c>
      <c r="N254" s="10" t="str">
        <f aca="false">IF(COUNT(C254:F254)&lt;4,"",ROUND(4*D254+9*E254+4*F254-C254,0))</f>
        <v/>
      </c>
      <c r="O254" s="13" t="str">
        <f aca="false">IF(B254="","",IFERROR(AVERAGEIFS(Питание!$B$14:$B$378,Питание!$A$14:$A$378,"&gt;"&amp;$A254-7,Питание!$A$14:$A$378,"&lt;="&amp;$A254,Питание!$B$14:$B$378,"&gt;0"),""))</f>
        <v/>
      </c>
      <c r="P254" s="8" t="str">
        <f aca="false">IF(C254="","",IFERROR(AVERAGEIFS(Питание!$C$14:$C$378,Питание!$A$14:$A$378,"&gt;"&amp;$A254-7,Питание!$A$14:$A$378,"&lt;="&amp;$A254,Питание!$C$14:$C$378,"&gt;0"),""))</f>
        <v/>
      </c>
      <c r="Q254" s="8" t="str">
        <f aca="false">IF(D254="","",IFERROR(AVERAGEIFS(Питание!$D$14:$D$378,Питание!$A$14:$A$378,"&gt;"&amp;$A254-7,Питание!$A$14:$A$378,"&lt;="&amp;$A254,Питание!$D$14:$D$378,"&gt;0"),""))</f>
        <v/>
      </c>
      <c r="R254" s="14" t="str">
        <f aca="false">IF(O254="","",IFERROR(O254-AVERAGEIFS(Питание!$B$14:$B$378,Питание!$A$14:$A$378,"&gt;"&amp;$A254-14,Питание!$A$14:$A$378,"&lt;="&amp;$A254-7,Питание!$B$14:$B$378,"&gt;0"),""))</f>
        <v/>
      </c>
      <c r="S254" s="15" t="str">
        <f aca="false">IF(R254="","",R254/O254)</f>
        <v/>
      </c>
      <c r="T254" s="11" t="str">
        <f aca="false">IF(O254="","",O254-StartWeight)</f>
        <v/>
      </c>
    </row>
    <row r="255" customFormat="false" ht="15" hidden="false" customHeight="true" outlineLevel="0" collapsed="false">
      <c r="A255" s="16" t="n">
        <f aca="false">A254+1</f>
        <v>46535</v>
      </c>
      <c r="B255" s="17"/>
      <c r="C255" s="18"/>
      <c r="D255" s="18"/>
      <c r="E255" s="18"/>
      <c r="F255" s="18"/>
      <c r="G255" s="18"/>
      <c r="H255" s="17"/>
      <c r="I255" s="19"/>
      <c r="J255" s="10" t="str">
        <f aca="false">IF(C255="","",C255-TargetKcal)</f>
        <v/>
      </c>
      <c r="K255" s="10" t="str">
        <f aca="false">IF(D255="","",D255-TargetProtein)</f>
        <v/>
      </c>
      <c r="L255" s="10" t="str">
        <f aca="false">IF(E255="","",E255-TargetFat)</f>
        <v/>
      </c>
      <c r="M255" s="10" t="str">
        <f aca="false">IF(F255="","",F255-TargetCarb)</f>
        <v/>
      </c>
      <c r="N255" s="10" t="str">
        <f aca="false">IF(COUNT(C255:F255)&lt;4,"",ROUND(4*D255+9*E255+4*F255-C255,0))</f>
        <v/>
      </c>
      <c r="O255" s="13" t="str">
        <f aca="false">IF(B255="","",IFERROR(AVERAGEIFS(Питание!$B$14:$B$378,Питание!$A$14:$A$378,"&gt;"&amp;$A255-7,Питание!$A$14:$A$378,"&lt;="&amp;$A255,Питание!$B$14:$B$378,"&gt;0"),""))</f>
        <v/>
      </c>
      <c r="P255" s="8" t="str">
        <f aca="false">IF(C255="","",IFERROR(AVERAGEIFS(Питание!$C$14:$C$378,Питание!$A$14:$A$378,"&gt;"&amp;$A255-7,Питание!$A$14:$A$378,"&lt;="&amp;$A255,Питание!$C$14:$C$378,"&gt;0"),""))</f>
        <v/>
      </c>
      <c r="Q255" s="8" t="str">
        <f aca="false">IF(D255="","",IFERROR(AVERAGEIFS(Питание!$D$14:$D$378,Питание!$A$14:$A$378,"&gt;"&amp;$A255-7,Питание!$A$14:$A$378,"&lt;="&amp;$A255,Питание!$D$14:$D$378,"&gt;0"),""))</f>
        <v/>
      </c>
      <c r="R255" s="14" t="str">
        <f aca="false">IF(O255="","",IFERROR(O255-AVERAGEIFS(Питание!$B$14:$B$378,Питание!$A$14:$A$378,"&gt;"&amp;$A255-14,Питание!$A$14:$A$378,"&lt;="&amp;$A255-7,Питание!$B$14:$B$378,"&gt;0"),""))</f>
        <v/>
      </c>
      <c r="S255" s="15" t="str">
        <f aca="false">IF(R255="","",R255/O255)</f>
        <v/>
      </c>
      <c r="T255" s="11" t="str">
        <f aca="false">IF(O255="","",O255-StartWeight)</f>
        <v/>
      </c>
    </row>
    <row r="256" customFormat="false" ht="15" hidden="false" customHeight="true" outlineLevel="0" collapsed="false">
      <c r="A256" s="16" t="n">
        <f aca="false">A255+1</f>
        <v>46536</v>
      </c>
      <c r="B256" s="17"/>
      <c r="C256" s="18"/>
      <c r="D256" s="18"/>
      <c r="E256" s="18"/>
      <c r="F256" s="18"/>
      <c r="G256" s="18"/>
      <c r="H256" s="17"/>
      <c r="I256" s="19"/>
      <c r="J256" s="10" t="str">
        <f aca="false">IF(C256="","",C256-TargetKcal)</f>
        <v/>
      </c>
      <c r="K256" s="10" t="str">
        <f aca="false">IF(D256="","",D256-TargetProtein)</f>
        <v/>
      </c>
      <c r="L256" s="10" t="str">
        <f aca="false">IF(E256="","",E256-TargetFat)</f>
        <v/>
      </c>
      <c r="M256" s="10" t="str">
        <f aca="false">IF(F256="","",F256-TargetCarb)</f>
        <v/>
      </c>
      <c r="N256" s="10" t="str">
        <f aca="false">IF(COUNT(C256:F256)&lt;4,"",ROUND(4*D256+9*E256+4*F256-C256,0))</f>
        <v/>
      </c>
      <c r="O256" s="13" t="str">
        <f aca="false">IF(B256="","",IFERROR(AVERAGEIFS(Питание!$B$14:$B$378,Питание!$A$14:$A$378,"&gt;"&amp;$A256-7,Питание!$A$14:$A$378,"&lt;="&amp;$A256,Питание!$B$14:$B$378,"&gt;0"),""))</f>
        <v/>
      </c>
      <c r="P256" s="8" t="str">
        <f aca="false">IF(C256="","",IFERROR(AVERAGEIFS(Питание!$C$14:$C$378,Питание!$A$14:$A$378,"&gt;"&amp;$A256-7,Питание!$A$14:$A$378,"&lt;="&amp;$A256,Питание!$C$14:$C$378,"&gt;0"),""))</f>
        <v/>
      </c>
      <c r="Q256" s="8" t="str">
        <f aca="false">IF(D256="","",IFERROR(AVERAGEIFS(Питание!$D$14:$D$378,Питание!$A$14:$A$378,"&gt;"&amp;$A256-7,Питание!$A$14:$A$378,"&lt;="&amp;$A256,Питание!$D$14:$D$378,"&gt;0"),""))</f>
        <v/>
      </c>
      <c r="R256" s="14" t="str">
        <f aca="false">IF(O256="","",IFERROR(O256-AVERAGEIFS(Питание!$B$14:$B$378,Питание!$A$14:$A$378,"&gt;"&amp;$A256-14,Питание!$A$14:$A$378,"&lt;="&amp;$A256-7,Питание!$B$14:$B$378,"&gt;0"),""))</f>
        <v/>
      </c>
      <c r="S256" s="15" t="str">
        <f aca="false">IF(R256="","",R256/O256)</f>
        <v/>
      </c>
      <c r="T256" s="11" t="str">
        <f aca="false">IF(O256="","",O256-StartWeight)</f>
        <v/>
      </c>
    </row>
    <row r="257" customFormat="false" ht="15" hidden="false" customHeight="true" outlineLevel="0" collapsed="false">
      <c r="A257" s="16" t="n">
        <f aca="false">A256+1</f>
        <v>46537</v>
      </c>
      <c r="B257" s="17"/>
      <c r="C257" s="18"/>
      <c r="D257" s="18"/>
      <c r="E257" s="18"/>
      <c r="F257" s="18"/>
      <c r="G257" s="18"/>
      <c r="H257" s="17"/>
      <c r="I257" s="19"/>
      <c r="J257" s="10" t="str">
        <f aca="false">IF(C257="","",C257-TargetKcal)</f>
        <v/>
      </c>
      <c r="K257" s="10" t="str">
        <f aca="false">IF(D257="","",D257-TargetProtein)</f>
        <v/>
      </c>
      <c r="L257" s="10" t="str">
        <f aca="false">IF(E257="","",E257-TargetFat)</f>
        <v/>
      </c>
      <c r="M257" s="10" t="str">
        <f aca="false">IF(F257="","",F257-TargetCarb)</f>
        <v/>
      </c>
      <c r="N257" s="10" t="str">
        <f aca="false">IF(COUNT(C257:F257)&lt;4,"",ROUND(4*D257+9*E257+4*F257-C257,0))</f>
        <v/>
      </c>
      <c r="O257" s="13" t="str">
        <f aca="false">IF(B257="","",IFERROR(AVERAGEIFS(Питание!$B$14:$B$378,Питание!$A$14:$A$378,"&gt;"&amp;$A257-7,Питание!$A$14:$A$378,"&lt;="&amp;$A257,Питание!$B$14:$B$378,"&gt;0"),""))</f>
        <v/>
      </c>
      <c r="P257" s="8" t="str">
        <f aca="false">IF(C257="","",IFERROR(AVERAGEIFS(Питание!$C$14:$C$378,Питание!$A$14:$A$378,"&gt;"&amp;$A257-7,Питание!$A$14:$A$378,"&lt;="&amp;$A257,Питание!$C$14:$C$378,"&gt;0"),""))</f>
        <v/>
      </c>
      <c r="Q257" s="8" t="str">
        <f aca="false">IF(D257="","",IFERROR(AVERAGEIFS(Питание!$D$14:$D$378,Питание!$A$14:$A$378,"&gt;"&amp;$A257-7,Питание!$A$14:$A$378,"&lt;="&amp;$A257,Питание!$D$14:$D$378,"&gt;0"),""))</f>
        <v/>
      </c>
      <c r="R257" s="14" t="str">
        <f aca="false">IF(O257="","",IFERROR(O257-AVERAGEIFS(Питание!$B$14:$B$378,Питание!$A$14:$A$378,"&gt;"&amp;$A257-14,Питание!$A$14:$A$378,"&lt;="&amp;$A257-7,Питание!$B$14:$B$378,"&gt;0"),""))</f>
        <v/>
      </c>
      <c r="S257" s="15" t="str">
        <f aca="false">IF(R257="","",R257/O257)</f>
        <v/>
      </c>
      <c r="T257" s="11" t="str">
        <f aca="false">IF(O257="","",O257-StartWeight)</f>
        <v/>
      </c>
    </row>
    <row r="258" customFormat="false" ht="15" hidden="false" customHeight="true" outlineLevel="0" collapsed="false">
      <c r="A258" s="16" t="n">
        <f aca="false">A257+1</f>
        <v>46538</v>
      </c>
      <c r="B258" s="17"/>
      <c r="C258" s="18"/>
      <c r="D258" s="18"/>
      <c r="E258" s="18"/>
      <c r="F258" s="18"/>
      <c r="G258" s="18"/>
      <c r="H258" s="17"/>
      <c r="I258" s="19"/>
      <c r="J258" s="10" t="str">
        <f aca="false">IF(C258="","",C258-TargetKcal)</f>
        <v/>
      </c>
      <c r="K258" s="10" t="str">
        <f aca="false">IF(D258="","",D258-TargetProtein)</f>
        <v/>
      </c>
      <c r="L258" s="10" t="str">
        <f aca="false">IF(E258="","",E258-TargetFat)</f>
        <v/>
      </c>
      <c r="M258" s="10" t="str">
        <f aca="false">IF(F258="","",F258-TargetCarb)</f>
        <v/>
      </c>
      <c r="N258" s="10" t="str">
        <f aca="false">IF(COUNT(C258:F258)&lt;4,"",ROUND(4*D258+9*E258+4*F258-C258,0))</f>
        <v/>
      </c>
      <c r="O258" s="13" t="str">
        <f aca="false">IF(B258="","",IFERROR(AVERAGEIFS(Питание!$B$14:$B$378,Питание!$A$14:$A$378,"&gt;"&amp;$A258-7,Питание!$A$14:$A$378,"&lt;="&amp;$A258,Питание!$B$14:$B$378,"&gt;0"),""))</f>
        <v/>
      </c>
      <c r="P258" s="8" t="str">
        <f aca="false">IF(C258="","",IFERROR(AVERAGEIFS(Питание!$C$14:$C$378,Питание!$A$14:$A$378,"&gt;"&amp;$A258-7,Питание!$A$14:$A$378,"&lt;="&amp;$A258,Питание!$C$14:$C$378,"&gt;0"),""))</f>
        <v/>
      </c>
      <c r="Q258" s="8" t="str">
        <f aca="false">IF(D258="","",IFERROR(AVERAGEIFS(Питание!$D$14:$D$378,Питание!$A$14:$A$378,"&gt;"&amp;$A258-7,Питание!$A$14:$A$378,"&lt;="&amp;$A258,Питание!$D$14:$D$378,"&gt;0"),""))</f>
        <v/>
      </c>
      <c r="R258" s="14" t="str">
        <f aca="false">IF(O258="","",IFERROR(O258-AVERAGEIFS(Питание!$B$14:$B$378,Питание!$A$14:$A$378,"&gt;"&amp;$A258-14,Питание!$A$14:$A$378,"&lt;="&amp;$A258-7,Питание!$B$14:$B$378,"&gt;0"),""))</f>
        <v/>
      </c>
      <c r="S258" s="15" t="str">
        <f aca="false">IF(R258="","",R258/O258)</f>
        <v/>
      </c>
      <c r="T258" s="11" t="str">
        <f aca="false">IF(O258="","",O258-StartWeight)</f>
        <v/>
      </c>
    </row>
    <row r="259" customFormat="false" ht="15" hidden="false" customHeight="true" outlineLevel="0" collapsed="false">
      <c r="A259" s="16" t="n">
        <f aca="false">A258+1</f>
        <v>46539</v>
      </c>
      <c r="B259" s="17"/>
      <c r="C259" s="18"/>
      <c r="D259" s="18"/>
      <c r="E259" s="18"/>
      <c r="F259" s="18"/>
      <c r="G259" s="18"/>
      <c r="H259" s="17"/>
      <c r="I259" s="19"/>
      <c r="J259" s="10" t="str">
        <f aca="false">IF(C259="","",C259-TargetKcal)</f>
        <v/>
      </c>
      <c r="K259" s="10" t="str">
        <f aca="false">IF(D259="","",D259-TargetProtein)</f>
        <v/>
      </c>
      <c r="L259" s="10" t="str">
        <f aca="false">IF(E259="","",E259-TargetFat)</f>
        <v/>
      </c>
      <c r="M259" s="10" t="str">
        <f aca="false">IF(F259="","",F259-TargetCarb)</f>
        <v/>
      </c>
      <c r="N259" s="10" t="str">
        <f aca="false">IF(COUNT(C259:F259)&lt;4,"",ROUND(4*D259+9*E259+4*F259-C259,0))</f>
        <v/>
      </c>
      <c r="O259" s="13" t="str">
        <f aca="false">IF(B259="","",IFERROR(AVERAGEIFS(Питание!$B$14:$B$378,Питание!$A$14:$A$378,"&gt;"&amp;$A259-7,Питание!$A$14:$A$378,"&lt;="&amp;$A259,Питание!$B$14:$B$378,"&gt;0"),""))</f>
        <v/>
      </c>
      <c r="P259" s="8" t="str">
        <f aca="false">IF(C259="","",IFERROR(AVERAGEIFS(Питание!$C$14:$C$378,Питание!$A$14:$A$378,"&gt;"&amp;$A259-7,Питание!$A$14:$A$378,"&lt;="&amp;$A259,Питание!$C$14:$C$378,"&gt;0"),""))</f>
        <v/>
      </c>
      <c r="Q259" s="8" t="str">
        <f aca="false">IF(D259="","",IFERROR(AVERAGEIFS(Питание!$D$14:$D$378,Питание!$A$14:$A$378,"&gt;"&amp;$A259-7,Питание!$A$14:$A$378,"&lt;="&amp;$A259,Питание!$D$14:$D$378,"&gt;0"),""))</f>
        <v/>
      </c>
      <c r="R259" s="14" t="str">
        <f aca="false">IF(O259="","",IFERROR(O259-AVERAGEIFS(Питание!$B$14:$B$378,Питание!$A$14:$A$378,"&gt;"&amp;$A259-14,Питание!$A$14:$A$378,"&lt;="&amp;$A259-7,Питание!$B$14:$B$378,"&gt;0"),""))</f>
        <v/>
      </c>
      <c r="S259" s="15" t="str">
        <f aca="false">IF(R259="","",R259/O259)</f>
        <v/>
      </c>
      <c r="T259" s="11" t="str">
        <f aca="false">IF(O259="","",O259-StartWeight)</f>
        <v/>
      </c>
    </row>
    <row r="260" customFormat="false" ht="15" hidden="false" customHeight="true" outlineLevel="0" collapsed="false">
      <c r="A260" s="16" t="n">
        <f aca="false">A259+1</f>
        <v>46540</v>
      </c>
      <c r="B260" s="17"/>
      <c r="C260" s="18"/>
      <c r="D260" s="18"/>
      <c r="E260" s="18"/>
      <c r="F260" s="18"/>
      <c r="G260" s="18"/>
      <c r="H260" s="17"/>
      <c r="I260" s="19"/>
      <c r="J260" s="10" t="str">
        <f aca="false">IF(C260="","",C260-TargetKcal)</f>
        <v/>
      </c>
      <c r="K260" s="10" t="str">
        <f aca="false">IF(D260="","",D260-TargetProtein)</f>
        <v/>
      </c>
      <c r="L260" s="10" t="str">
        <f aca="false">IF(E260="","",E260-TargetFat)</f>
        <v/>
      </c>
      <c r="M260" s="10" t="str">
        <f aca="false">IF(F260="","",F260-TargetCarb)</f>
        <v/>
      </c>
      <c r="N260" s="10" t="str">
        <f aca="false">IF(COUNT(C260:F260)&lt;4,"",ROUND(4*D260+9*E260+4*F260-C260,0))</f>
        <v/>
      </c>
      <c r="O260" s="13" t="str">
        <f aca="false">IF(B260="","",IFERROR(AVERAGEIFS(Питание!$B$14:$B$378,Питание!$A$14:$A$378,"&gt;"&amp;$A260-7,Питание!$A$14:$A$378,"&lt;="&amp;$A260,Питание!$B$14:$B$378,"&gt;0"),""))</f>
        <v/>
      </c>
      <c r="P260" s="8" t="str">
        <f aca="false">IF(C260="","",IFERROR(AVERAGEIFS(Питание!$C$14:$C$378,Питание!$A$14:$A$378,"&gt;"&amp;$A260-7,Питание!$A$14:$A$378,"&lt;="&amp;$A260,Питание!$C$14:$C$378,"&gt;0"),""))</f>
        <v/>
      </c>
      <c r="Q260" s="8" t="str">
        <f aca="false">IF(D260="","",IFERROR(AVERAGEIFS(Питание!$D$14:$D$378,Питание!$A$14:$A$378,"&gt;"&amp;$A260-7,Питание!$A$14:$A$378,"&lt;="&amp;$A260,Питание!$D$14:$D$378,"&gt;0"),""))</f>
        <v/>
      </c>
      <c r="R260" s="14" t="str">
        <f aca="false">IF(O260="","",IFERROR(O260-AVERAGEIFS(Питание!$B$14:$B$378,Питание!$A$14:$A$378,"&gt;"&amp;$A260-14,Питание!$A$14:$A$378,"&lt;="&amp;$A260-7,Питание!$B$14:$B$378,"&gt;0"),""))</f>
        <v/>
      </c>
      <c r="S260" s="15" t="str">
        <f aca="false">IF(R260="","",R260/O260)</f>
        <v/>
      </c>
      <c r="T260" s="11" t="str">
        <f aca="false">IF(O260="","",O260-StartWeight)</f>
        <v/>
      </c>
    </row>
    <row r="261" customFormat="false" ht="15" hidden="false" customHeight="true" outlineLevel="0" collapsed="false">
      <c r="A261" s="16" t="n">
        <f aca="false">A260+1</f>
        <v>46541</v>
      </c>
      <c r="B261" s="17"/>
      <c r="C261" s="18"/>
      <c r="D261" s="18"/>
      <c r="E261" s="18"/>
      <c r="F261" s="18"/>
      <c r="G261" s="18"/>
      <c r="H261" s="17"/>
      <c r="I261" s="19"/>
      <c r="J261" s="10" t="str">
        <f aca="false">IF(C261="","",C261-TargetKcal)</f>
        <v/>
      </c>
      <c r="K261" s="10" t="str">
        <f aca="false">IF(D261="","",D261-TargetProtein)</f>
        <v/>
      </c>
      <c r="L261" s="10" t="str">
        <f aca="false">IF(E261="","",E261-TargetFat)</f>
        <v/>
      </c>
      <c r="M261" s="10" t="str">
        <f aca="false">IF(F261="","",F261-TargetCarb)</f>
        <v/>
      </c>
      <c r="N261" s="10" t="str">
        <f aca="false">IF(COUNT(C261:F261)&lt;4,"",ROUND(4*D261+9*E261+4*F261-C261,0))</f>
        <v/>
      </c>
      <c r="O261" s="13" t="str">
        <f aca="false">IF(B261="","",IFERROR(AVERAGEIFS(Питание!$B$14:$B$378,Питание!$A$14:$A$378,"&gt;"&amp;$A261-7,Питание!$A$14:$A$378,"&lt;="&amp;$A261,Питание!$B$14:$B$378,"&gt;0"),""))</f>
        <v/>
      </c>
      <c r="P261" s="8" t="str">
        <f aca="false">IF(C261="","",IFERROR(AVERAGEIFS(Питание!$C$14:$C$378,Питание!$A$14:$A$378,"&gt;"&amp;$A261-7,Питание!$A$14:$A$378,"&lt;="&amp;$A261,Питание!$C$14:$C$378,"&gt;0"),""))</f>
        <v/>
      </c>
      <c r="Q261" s="8" t="str">
        <f aca="false">IF(D261="","",IFERROR(AVERAGEIFS(Питание!$D$14:$D$378,Питание!$A$14:$A$378,"&gt;"&amp;$A261-7,Питание!$A$14:$A$378,"&lt;="&amp;$A261,Питание!$D$14:$D$378,"&gt;0"),""))</f>
        <v/>
      </c>
      <c r="R261" s="14" t="str">
        <f aca="false">IF(O261="","",IFERROR(O261-AVERAGEIFS(Питание!$B$14:$B$378,Питание!$A$14:$A$378,"&gt;"&amp;$A261-14,Питание!$A$14:$A$378,"&lt;="&amp;$A261-7,Питание!$B$14:$B$378,"&gt;0"),""))</f>
        <v/>
      </c>
      <c r="S261" s="15" t="str">
        <f aca="false">IF(R261="","",R261/O261)</f>
        <v/>
      </c>
      <c r="T261" s="11" t="str">
        <f aca="false">IF(O261="","",O261-StartWeight)</f>
        <v/>
      </c>
    </row>
    <row r="262" customFormat="false" ht="15" hidden="false" customHeight="true" outlineLevel="0" collapsed="false">
      <c r="A262" s="16" t="n">
        <f aca="false">A261+1</f>
        <v>46542</v>
      </c>
      <c r="B262" s="17"/>
      <c r="C262" s="18"/>
      <c r="D262" s="18"/>
      <c r="E262" s="18"/>
      <c r="F262" s="18"/>
      <c r="G262" s="18"/>
      <c r="H262" s="17"/>
      <c r="I262" s="19"/>
      <c r="J262" s="10" t="str">
        <f aca="false">IF(C262="","",C262-TargetKcal)</f>
        <v/>
      </c>
      <c r="K262" s="10" t="str">
        <f aca="false">IF(D262="","",D262-TargetProtein)</f>
        <v/>
      </c>
      <c r="L262" s="10" t="str">
        <f aca="false">IF(E262="","",E262-TargetFat)</f>
        <v/>
      </c>
      <c r="M262" s="10" t="str">
        <f aca="false">IF(F262="","",F262-TargetCarb)</f>
        <v/>
      </c>
      <c r="N262" s="10" t="str">
        <f aca="false">IF(COUNT(C262:F262)&lt;4,"",ROUND(4*D262+9*E262+4*F262-C262,0))</f>
        <v/>
      </c>
      <c r="O262" s="13" t="str">
        <f aca="false">IF(B262="","",IFERROR(AVERAGEIFS(Питание!$B$14:$B$378,Питание!$A$14:$A$378,"&gt;"&amp;$A262-7,Питание!$A$14:$A$378,"&lt;="&amp;$A262,Питание!$B$14:$B$378,"&gt;0"),""))</f>
        <v/>
      </c>
      <c r="P262" s="8" t="str">
        <f aca="false">IF(C262="","",IFERROR(AVERAGEIFS(Питание!$C$14:$C$378,Питание!$A$14:$A$378,"&gt;"&amp;$A262-7,Питание!$A$14:$A$378,"&lt;="&amp;$A262,Питание!$C$14:$C$378,"&gt;0"),""))</f>
        <v/>
      </c>
      <c r="Q262" s="8" t="str">
        <f aca="false">IF(D262="","",IFERROR(AVERAGEIFS(Питание!$D$14:$D$378,Питание!$A$14:$A$378,"&gt;"&amp;$A262-7,Питание!$A$14:$A$378,"&lt;="&amp;$A262,Питание!$D$14:$D$378,"&gt;0"),""))</f>
        <v/>
      </c>
      <c r="R262" s="14" t="str">
        <f aca="false">IF(O262="","",IFERROR(O262-AVERAGEIFS(Питание!$B$14:$B$378,Питание!$A$14:$A$378,"&gt;"&amp;$A262-14,Питание!$A$14:$A$378,"&lt;="&amp;$A262-7,Питание!$B$14:$B$378,"&gt;0"),""))</f>
        <v/>
      </c>
      <c r="S262" s="15" t="str">
        <f aca="false">IF(R262="","",R262/O262)</f>
        <v/>
      </c>
      <c r="T262" s="11" t="str">
        <f aca="false">IF(O262="","",O262-StartWeight)</f>
        <v/>
      </c>
    </row>
    <row r="263" customFormat="false" ht="15" hidden="false" customHeight="true" outlineLevel="0" collapsed="false">
      <c r="A263" s="16" t="n">
        <f aca="false">A262+1</f>
        <v>46543</v>
      </c>
      <c r="B263" s="17"/>
      <c r="C263" s="18"/>
      <c r="D263" s="18"/>
      <c r="E263" s="18"/>
      <c r="F263" s="18"/>
      <c r="G263" s="18"/>
      <c r="H263" s="17"/>
      <c r="I263" s="19"/>
      <c r="J263" s="10" t="str">
        <f aca="false">IF(C263="","",C263-TargetKcal)</f>
        <v/>
      </c>
      <c r="K263" s="10" t="str">
        <f aca="false">IF(D263="","",D263-TargetProtein)</f>
        <v/>
      </c>
      <c r="L263" s="10" t="str">
        <f aca="false">IF(E263="","",E263-TargetFat)</f>
        <v/>
      </c>
      <c r="M263" s="10" t="str">
        <f aca="false">IF(F263="","",F263-TargetCarb)</f>
        <v/>
      </c>
      <c r="N263" s="10" t="str">
        <f aca="false">IF(COUNT(C263:F263)&lt;4,"",ROUND(4*D263+9*E263+4*F263-C263,0))</f>
        <v/>
      </c>
      <c r="O263" s="13" t="str">
        <f aca="false">IF(B263="","",IFERROR(AVERAGEIFS(Питание!$B$14:$B$378,Питание!$A$14:$A$378,"&gt;"&amp;$A263-7,Питание!$A$14:$A$378,"&lt;="&amp;$A263,Питание!$B$14:$B$378,"&gt;0"),""))</f>
        <v/>
      </c>
      <c r="P263" s="8" t="str">
        <f aca="false">IF(C263="","",IFERROR(AVERAGEIFS(Питание!$C$14:$C$378,Питание!$A$14:$A$378,"&gt;"&amp;$A263-7,Питание!$A$14:$A$378,"&lt;="&amp;$A263,Питание!$C$14:$C$378,"&gt;0"),""))</f>
        <v/>
      </c>
      <c r="Q263" s="8" t="str">
        <f aca="false">IF(D263="","",IFERROR(AVERAGEIFS(Питание!$D$14:$D$378,Питание!$A$14:$A$378,"&gt;"&amp;$A263-7,Питание!$A$14:$A$378,"&lt;="&amp;$A263,Питание!$D$14:$D$378,"&gt;0"),""))</f>
        <v/>
      </c>
      <c r="R263" s="14" t="str">
        <f aca="false">IF(O263="","",IFERROR(O263-AVERAGEIFS(Питание!$B$14:$B$378,Питание!$A$14:$A$378,"&gt;"&amp;$A263-14,Питание!$A$14:$A$378,"&lt;="&amp;$A263-7,Питание!$B$14:$B$378,"&gt;0"),""))</f>
        <v/>
      </c>
      <c r="S263" s="15" t="str">
        <f aca="false">IF(R263="","",R263/O263)</f>
        <v/>
      </c>
      <c r="T263" s="11" t="str">
        <f aca="false">IF(O263="","",O263-StartWeight)</f>
        <v/>
      </c>
    </row>
    <row r="264" customFormat="false" ht="15" hidden="false" customHeight="true" outlineLevel="0" collapsed="false">
      <c r="A264" s="16" t="n">
        <f aca="false">A263+1</f>
        <v>46544</v>
      </c>
      <c r="B264" s="17"/>
      <c r="C264" s="18"/>
      <c r="D264" s="18"/>
      <c r="E264" s="18"/>
      <c r="F264" s="18"/>
      <c r="G264" s="18"/>
      <c r="H264" s="17"/>
      <c r="I264" s="19"/>
      <c r="J264" s="10" t="str">
        <f aca="false">IF(C264="","",C264-TargetKcal)</f>
        <v/>
      </c>
      <c r="K264" s="10" t="str">
        <f aca="false">IF(D264="","",D264-TargetProtein)</f>
        <v/>
      </c>
      <c r="L264" s="10" t="str">
        <f aca="false">IF(E264="","",E264-TargetFat)</f>
        <v/>
      </c>
      <c r="M264" s="10" t="str">
        <f aca="false">IF(F264="","",F264-TargetCarb)</f>
        <v/>
      </c>
      <c r="N264" s="10" t="str">
        <f aca="false">IF(COUNT(C264:F264)&lt;4,"",ROUND(4*D264+9*E264+4*F264-C264,0))</f>
        <v/>
      </c>
      <c r="O264" s="13" t="str">
        <f aca="false">IF(B264="","",IFERROR(AVERAGEIFS(Питание!$B$14:$B$378,Питание!$A$14:$A$378,"&gt;"&amp;$A264-7,Питание!$A$14:$A$378,"&lt;="&amp;$A264,Питание!$B$14:$B$378,"&gt;0"),""))</f>
        <v/>
      </c>
      <c r="P264" s="8" t="str">
        <f aca="false">IF(C264="","",IFERROR(AVERAGEIFS(Питание!$C$14:$C$378,Питание!$A$14:$A$378,"&gt;"&amp;$A264-7,Питание!$A$14:$A$378,"&lt;="&amp;$A264,Питание!$C$14:$C$378,"&gt;0"),""))</f>
        <v/>
      </c>
      <c r="Q264" s="8" t="str">
        <f aca="false">IF(D264="","",IFERROR(AVERAGEIFS(Питание!$D$14:$D$378,Питание!$A$14:$A$378,"&gt;"&amp;$A264-7,Питание!$A$14:$A$378,"&lt;="&amp;$A264,Питание!$D$14:$D$378,"&gt;0"),""))</f>
        <v/>
      </c>
      <c r="R264" s="14" t="str">
        <f aca="false">IF(O264="","",IFERROR(O264-AVERAGEIFS(Питание!$B$14:$B$378,Питание!$A$14:$A$378,"&gt;"&amp;$A264-14,Питание!$A$14:$A$378,"&lt;="&amp;$A264-7,Питание!$B$14:$B$378,"&gt;0"),""))</f>
        <v/>
      </c>
      <c r="S264" s="15" t="str">
        <f aca="false">IF(R264="","",R264/O264)</f>
        <v/>
      </c>
      <c r="T264" s="11" t="str">
        <f aca="false">IF(O264="","",O264-StartWeight)</f>
        <v/>
      </c>
    </row>
    <row r="265" customFormat="false" ht="15" hidden="false" customHeight="true" outlineLevel="0" collapsed="false">
      <c r="A265" s="16" t="n">
        <f aca="false">A264+1</f>
        <v>46545</v>
      </c>
      <c r="B265" s="17"/>
      <c r="C265" s="18"/>
      <c r="D265" s="18"/>
      <c r="E265" s="18"/>
      <c r="F265" s="18"/>
      <c r="G265" s="18"/>
      <c r="H265" s="17"/>
      <c r="I265" s="19"/>
      <c r="J265" s="10" t="str">
        <f aca="false">IF(C265="","",C265-TargetKcal)</f>
        <v/>
      </c>
      <c r="K265" s="10" t="str">
        <f aca="false">IF(D265="","",D265-TargetProtein)</f>
        <v/>
      </c>
      <c r="L265" s="10" t="str">
        <f aca="false">IF(E265="","",E265-TargetFat)</f>
        <v/>
      </c>
      <c r="M265" s="10" t="str">
        <f aca="false">IF(F265="","",F265-TargetCarb)</f>
        <v/>
      </c>
      <c r="N265" s="10" t="str">
        <f aca="false">IF(COUNT(C265:F265)&lt;4,"",ROUND(4*D265+9*E265+4*F265-C265,0))</f>
        <v/>
      </c>
      <c r="O265" s="13" t="str">
        <f aca="false">IF(B265="","",IFERROR(AVERAGEIFS(Питание!$B$14:$B$378,Питание!$A$14:$A$378,"&gt;"&amp;$A265-7,Питание!$A$14:$A$378,"&lt;="&amp;$A265,Питание!$B$14:$B$378,"&gt;0"),""))</f>
        <v/>
      </c>
      <c r="P265" s="8" t="str">
        <f aca="false">IF(C265="","",IFERROR(AVERAGEIFS(Питание!$C$14:$C$378,Питание!$A$14:$A$378,"&gt;"&amp;$A265-7,Питание!$A$14:$A$378,"&lt;="&amp;$A265,Питание!$C$14:$C$378,"&gt;0"),""))</f>
        <v/>
      </c>
      <c r="Q265" s="8" t="str">
        <f aca="false">IF(D265="","",IFERROR(AVERAGEIFS(Питание!$D$14:$D$378,Питание!$A$14:$A$378,"&gt;"&amp;$A265-7,Питание!$A$14:$A$378,"&lt;="&amp;$A265,Питание!$D$14:$D$378,"&gt;0"),""))</f>
        <v/>
      </c>
      <c r="R265" s="14" t="str">
        <f aca="false">IF(O265="","",IFERROR(O265-AVERAGEIFS(Питание!$B$14:$B$378,Питание!$A$14:$A$378,"&gt;"&amp;$A265-14,Питание!$A$14:$A$378,"&lt;="&amp;$A265-7,Питание!$B$14:$B$378,"&gt;0"),""))</f>
        <v/>
      </c>
      <c r="S265" s="15" t="str">
        <f aca="false">IF(R265="","",R265/O265)</f>
        <v/>
      </c>
      <c r="T265" s="11" t="str">
        <f aca="false">IF(O265="","",O265-StartWeight)</f>
        <v/>
      </c>
    </row>
    <row r="266" customFormat="false" ht="15" hidden="false" customHeight="true" outlineLevel="0" collapsed="false">
      <c r="A266" s="16" t="n">
        <f aca="false">A265+1</f>
        <v>46546</v>
      </c>
      <c r="B266" s="17"/>
      <c r="C266" s="18"/>
      <c r="D266" s="18"/>
      <c r="E266" s="18"/>
      <c r="F266" s="18"/>
      <c r="G266" s="18"/>
      <c r="H266" s="17"/>
      <c r="I266" s="19"/>
      <c r="J266" s="10" t="str">
        <f aca="false">IF(C266="","",C266-TargetKcal)</f>
        <v/>
      </c>
      <c r="K266" s="10" t="str">
        <f aca="false">IF(D266="","",D266-TargetProtein)</f>
        <v/>
      </c>
      <c r="L266" s="10" t="str">
        <f aca="false">IF(E266="","",E266-TargetFat)</f>
        <v/>
      </c>
      <c r="M266" s="10" t="str">
        <f aca="false">IF(F266="","",F266-TargetCarb)</f>
        <v/>
      </c>
      <c r="N266" s="10" t="str">
        <f aca="false">IF(COUNT(C266:F266)&lt;4,"",ROUND(4*D266+9*E266+4*F266-C266,0))</f>
        <v/>
      </c>
      <c r="O266" s="13" t="str">
        <f aca="false">IF(B266="","",IFERROR(AVERAGEIFS(Питание!$B$14:$B$378,Питание!$A$14:$A$378,"&gt;"&amp;$A266-7,Питание!$A$14:$A$378,"&lt;="&amp;$A266,Питание!$B$14:$B$378,"&gt;0"),""))</f>
        <v/>
      </c>
      <c r="P266" s="8" t="str">
        <f aca="false">IF(C266="","",IFERROR(AVERAGEIFS(Питание!$C$14:$C$378,Питание!$A$14:$A$378,"&gt;"&amp;$A266-7,Питание!$A$14:$A$378,"&lt;="&amp;$A266,Питание!$C$14:$C$378,"&gt;0"),""))</f>
        <v/>
      </c>
      <c r="Q266" s="8" t="str">
        <f aca="false">IF(D266="","",IFERROR(AVERAGEIFS(Питание!$D$14:$D$378,Питание!$A$14:$A$378,"&gt;"&amp;$A266-7,Питание!$A$14:$A$378,"&lt;="&amp;$A266,Питание!$D$14:$D$378,"&gt;0"),""))</f>
        <v/>
      </c>
      <c r="R266" s="14" t="str">
        <f aca="false">IF(O266="","",IFERROR(O266-AVERAGEIFS(Питание!$B$14:$B$378,Питание!$A$14:$A$378,"&gt;"&amp;$A266-14,Питание!$A$14:$A$378,"&lt;="&amp;$A266-7,Питание!$B$14:$B$378,"&gt;0"),""))</f>
        <v/>
      </c>
      <c r="S266" s="15" t="str">
        <f aca="false">IF(R266="","",R266/O266)</f>
        <v/>
      </c>
      <c r="T266" s="11" t="str">
        <f aca="false">IF(O266="","",O266-StartWeight)</f>
        <v/>
      </c>
    </row>
    <row r="267" customFormat="false" ht="15" hidden="false" customHeight="true" outlineLevel="0" collapsed="false">
      <c r="A267" s="16" t="n">
        <f aca="false">A266+1</f>
        <v>46547</v>
      </c>
      <c r="B267" s="17"/>
      <c r="C267" s="18"/>
      <c r="D267" s="18"/>
      <c r="E267" s="18"/>
      <c r="F267" s="18"/>
      <c r="G267" s="18"/>
      <c r="H267" s="17"/>
      <c r="I267" s="19"/>
      <c r="J267" s="10" t="str">
        <f aca="false">IF(C267="","",C267-TargetKcal)</f>
        <v/>
      </c>
      <c r="K267" s="10" t="str">
        <f aca="false">IF(D267="","",D267-TargetProtein)</f>
        <v/>
      </c>
      <c r="L267" s="10" t="str">
        <f aca="false">IF(E267="","",E267-TargetFat)</f>
        <v/>
      </c>
      <c r="M267" s="10" t="str">
        <f aca="false">IF(F267="","",F267-TargetCarb)</f>
        <v/>
      </c>
      <c r="N267" s="10" t="str">
        <f aca="false">IF(COUNT(C267:F267)&lt;4,"",ROUND(4*D267+9*E267+4*F267-C267,0))</f>
        <v/>
      </c>
      <c r="O267" s="13" t="str">
        <f aca="false">IF(B267="","",IFERROR(AVERAGEIFS(Питание!$B$14:$B$378,Питание!$A$14:$A$378,"&gt;"&amp;$A267-7,Питание!$A$14:$A$378,"&lt;="&amp;$A267,Питание!$B$14:$B$378,"&gt;0"),""))</f>
        <v/>
      </c>
      <c r="P267" s="8" t="str">
        <f aca="false">IF(C267="","",IFERROR(AVERAGEIFS(Питание!$C$14:$C$378,Питание!$A$14:$A$378,"&gt;"&amp;$A267-7,Питание!$A$14:$A$378,"&lt;="&amp;$A267,Питание!$C$14:$C$378,"&gt;0"),""))</f>
        <v/>
      </c>
      <c r="Q267" s="8" t="str">
        <f aca="false">IF(D267="","",IFERROR(AVERAGEIFS(Питание!$D$14:$D$378,Питание!$A$14:$A$378,"&gt;"&amp;$A267-7,Питание!$A$14:$A$378,"&lt;="&amp;$A267,Питание!$D$14:$D$378,"&gt;0"),""))</f>
        <v/>
      </c>
      <c r="R267" s="14" t="str">
        <f aca="false">IF(O267="","",IFERROR(O267-AVERAGEIFS(Питание!$B$14:$B$378,Питание!$A$14:$A$378,"&gt;"&amp;$A267-14,Питание!$A$14:$A$378,"&lt;="&amp;$A267-7,Питание!$B$14:$B$378,"&gt;0"),""))</f>
        <v/>
      </c>
      <c r="S267" s="15" t="str">
        <f aca="false">IF(R267="","",R267/O267)</f>
        <v/>
      </c>
      <c r="T267" s="11" t="str">
        <f aca="false">IF(O267="","",O267-StartWeight)</f>
        <v/>
      </c>
    </row>
    <row r="268" customFormat="false" ht="15" hidden="false" customHeight="true" outlineLevel="0" collapsed="false">
      <c r="A268" s="16" t="n">
        <f aca="false">A267+1</f>
        <v>46548</v>
      </c>
      <c r="B268" s="17"/>
      <c r="C268" s="18"/>
      <c r="D268" s="18"/>
      <c r="E268" s="18"/>
      <c r="F268" s="18"/>
      <c r="G268" s="18"/>
      <c r="H268" s="17"/>
      <c r="I268" s="19"/>
      <c r="J268" s="10" t="str">
        <f aca="false">IF(C268="","",C268-TargetKcal)</f>
        <v/>
      </c>
      <c r="K268" s="10" t="str">
        <f aca="false">IF(D268="","",D268-TargetProtein)</f>
        <v/>
      </c>
      <c r="L268" s="10" t="str">
        <f aca="false">IF(E268="","",E268-TargetFat)</f>
        <v/>
      </c>
      <c r="M268" s="10" t="str">
        <f aca="false">IF(F268="","",F268-TargetCarb)</f>
        <v/>
      </c>
      <c r="N268" s="10" t="str">
        <f aca="false">IF(COUNT(C268:F268)&lt;4,"",ROUND(4*D268+9*E268+4*F268-C268,0))</f>
        <v/>
      </c>
      <c r="O268" s="13" t="str">
        <f aca="false">IF(B268="","",IFERROR(AVERAGEIFS(Питание!$B$14:$B$378,Питание!$A$14:$A$378,"&gt;"&amp;$A268-7,Питание!$A$14:$A$378,"&lt;="&amp;$A268,Питание!$B$14:$B$378,"&gt;0"),""))</f>
        <v/>
      </c>
      <c r="P268" s="8" t="str">
        <f aca="false">IF(C268="","",IFERROR(AVERAGEIFS(Питание!$C$14:$C$378,Питание!$A$14:$A$378,"&gt;"&amp;$A268-7,Питание!$A$14:$A$378,"&lt;="&amp;$A268,Питание!$C$14:$C$378,"&gt;0"),""))</f>
        <v/>
      </c>
      <c r="Q268" s="8" t="str">
        <f aca="false">IF(D268="","",IFERROR(AVERAGEIFS(Питание!$D$14:$D$378,Питание!$A$14:$A$378,"&gt;"&amp;$A268-7,Питание!$A$14:$A$378,"&lt;="&amp;$A268,Питание!$D$14:$D$378,"&gt;0"),""))</f>
        <v/>
      </c>
      <c r="R268" s="14" t="str">
        <f aca="false">IF(O268="","",IFERROR(O268-AVERAGEIFS(Питание!$B$14:$B$378,Питание!$A$14:$A$378,"&gt;"&amp;$A268-14,Питание!$A$14:$A$378,"&lt;="&amp;$A268-7,Питание!$B$14:$B$378,"&gt;0"),""))</f>
        <v/>
      </c>
      <c r="S268" s="15" t="str">
        <f aca="false">IF(R268="","",R268/O268)</f>
        <v/>
      </c>
      <c r="T268" s="11" t="str">
        <f aca="false">IF(O268="","",O268-StartWeight)</f>
        <v/>
      </c>
    </row>
    <row r="269" customFormat="false" ht="15" hidden="false" customHeight="true" outlineLevel="0" collapsed="false">
      <c r="A269" s="16" t="n">
        <f aca="false">A268+1</f>
        <v>46549</v>
      </c>
      <c r="B269" s="17"/>
      <c r="C269" s="18"/>
      <c r="D269" s="18"/>
      <c r="E269" s="18"/>
      <c r="F269" s="18"/>
      <c r="G269" s="18"/>
      <c r="H269" s="17"/>
      <c r="I269" s="19"/>
      <c r="J269" s="10" t="str">
        <f aca="false">IF(C269="","",C269-TargetKcal)</f>
        <v/>
      </c>
      <c r="K269" s="10" t="str">
        <f aca="false">IF(D269="","",D269-TargetProtein)</f>
        <v/>
      </c>
      <c r="L269" s="10" t="str">
        <f aca="false">IF(E269="","",E269-TargetFat)</f>
        <v/>
      </c>
      <c r="M269" s="10" t="str">
        <f aca="false">IF(F269="","",F269-TargetCarb)</f>
        <v/>
      </c>
      <c r="N269" s="10" t="str">
        <f aca="false">IF(COUNT(C269:F269)&lt;4,"",ROUND(4*D269+9*E269+4*F269-C269,0))</f>
        <v/>
      </c>
      <c r="O269" s="13" t="str">
        <f aca="false">IF(B269="","",IFERROR(AVERAGEIFS(Питание!$B$14:$B$378,Питание!$A$14:$A$378,"&gt;"&amp;$A269-7,Питание!$A$14:$A$378,"&lt;="&amp;$A269,Питание!$B$14:$B$378,"&gt;0"),""))</f>
        <v/>
      </c>
      <c r="P269" s="8" t="str">
        <f aca="false">IF(C269="","",IFERROR(AVERAGEIFS(Питание!$C$14:$C$378,Питание!$A$14:$A$378,"&gt;"&amp;$A269-7,Питание!$A$14:$A$378,"&lt;="&amp;$A269,Питание!$C$14:$C$378,"&gt;0"),""))</f>
        <v/>
      </c>
      <c r="Q269" s="8" t="str">
        <f aca="false">IF(D269="","",IFERROR(AVERAGEIFS(Питание!$D$14:$D$378,Питание!$A$14:$A$378,"&gt;"&amp;$A269-7,Питание!$A$14:$A$378,"&lt;="&amp;$A269,Питание!$D$14:$D$378,"&gt;0"),""))</f>
        <v/>
      </c>
      <c r="R269" s="14" t="str">
        <f aca="false">IF(O269="","",IFERROR(O269-AVERAGEIFS(Питание!$B$14:$B$378,Питание!$A$14:$A$378,"&gt;"&amp;$A269-14,Питание!$A$14:$A$378,"&lt;="&amp;$A269-7,Питание!$B$14:$B$378,"&gt;0"),""))</f>
        <v/>
      </c>
      <c r="S269" s="15" t="str">
        <f aca="false">IF(R269="","",R269/O269)</f>
        <v/>
      </c>
      <c r="T269" s="11" t="str">
        <f aca="false">IF(O269="","",O269-StartWeight)</f>
        <v/>
      </c>
    </row>
    <row r="270" customFormat="false" ht="15" hidden="false" customHeight="true" outlineLevel="0" collapsed="false">
      <c r="A270" s="16" t="n">
        <f aca="false">A269+1</f>
        <v>46550</v>
      </c>
      <c r="B270" s="17"/>
      <c r="C270" s="18"/>
      <c r="D270" s="18"/>
      <c r="E270" s="18"/>
      <c r="F270" s="18"/>
      <c r="G270" s="18"/>
      <c r="H270" s="17"/>
      <c r="I270" s="19"/>
      <c r="J270" s="10" t="str">
        <f aca="false">IF(C270="","",C270-TargetKcal)</f>
        <v/>
      </c>
      <c r="K270" s="10" t="str">
        <f aca="false">IF(D270="","",D270-TargetProtein)</f>
        <v/>
      </c>
      <c r="L270" s="10" t="str">
        <f aca="false">IF(E270="","",E270-TargetFat)</f>
        <v/>
      </c>
      <c r="M270" s="10" t="str">
        <f aca="false">IF(F270="","",F270-TargetCarb)</f>
        <v/>
      </c>
      <c r="N270" s="10" t="str">
        <f aca="false">IF(COUNT(C270:F270)&lt;4,"",ROUND(4*D270+9*E270+4*F270-C270,0))</f>
        <v/>
      </c>
      <c r="O270" s="13" t="str">
        <f aca="false">IF(B270="","",IFERROR(AVERAGEIFS(Питание!$B$14:$B$378,Питание!$A$14:$A$378,"&gt;"&amp;$A270-7,Питание!$A$14:$A$378,"&lt;="&amp;$A270,Питание!$B$14:$B$378,"&gt;0"),""))</f>
        <v/>
      </c>
      <c r="P270" s="8" t="str">
        <f aca="false">IF(C270="","",IFERROR(AVERAGEIFS(Питание!$C$14:$C$378,Питание!$A$14:$A$378,"&gt;"&amp;$A270-7,Питание!$A$14:$A$378,"&lt;="&amp;$A270,Питание!$C$14:$C$378,"&gt;0"),""))</f>
        <v/>
      </c>
      <c r="Q270" s="8" t="str">
        <f aca="false">IF(D270="","",IFERROR(AVERAGEIFS(Питание!$D$14:$D$378,Питание!$A$14:$A$378,"&gt;"&amp;$A270-7,Питание!$A$14:$A$378,"&lt;="&amp;$A270,Питание!$D$14:$D$378,"&gt;0"),""))</f>
        <v/>
      </c>
      <c r="R270" s="14" t="str">
        <f aca="false">IF(O270="","",IFERROR(O270-AVERAGEIFS(Питание!$B$14:$B$378,Питание!$A$14:$A$378,"&gt;"&amp;$A270-14,Питание!$A$14:$A$378,"&lt;="&amp;$A270-7,Питание!$B$14:$B$378,"&gt;0"),""))</f>
        <v/>
      </c>
      <c r="S270" s="15" t="str">
        <f aca="false">IF(R270="","",R270/O270)</f>
        <v/>
      </c>
      <c r="T270" s="11" t="str">
        <f aca="false">IF(O270="","",O270-StartWeight)</f>
        <v/>
      </c>
    </row>
    <row r="271" customFormat="false" ht="15" hidden="false" customHeight="true" outlineLevel="0" collapsed="false">
      <c r="A271" s="16" t="n">
        <f aca="false">A270+1</f>
        <v>46551</v>
      </c>
      <c r="B271" s="17"/>
      <c r="C271" s="18"/>
      <c r="D271" s="18"/>
      <c r="E271" s="18"/>
      <c r="F271" s="18"/>
      <c r="G271" s="18"/>
      <c r="H271" s="17"/>
      <c r="I271" s="19"/>
      <c r="J271" s="10" t="str">
        <f aca="false">IF(C271="","",C271-TargetKcal)</f>
        <v/>
      </c>
      <c r="K271" s="10" t="str">
        <f aca="false">IF(D271="","",D271-TargetProtein)</f>
        <v/>
      </c>
      <c r="L271" s="10" t="str">
        <f aca="false">IF(E271="","",E271-TargetFat)</f>
        <v/>
      </c>
      <c r="M271" s="10" t="str">
        <f aca="false">IF(F271="","",F271-TargetCarb)</f>
        <v/>
      </c>
      <c r="N271" s="10" t="str">
        <f aca="false">IF(COUNT(C271:F271)&lt;4,"",ROUND(4*D271+9*E271+4*F271-C271,0))</f>
        <v/>
      </c>
      <c r="O271" s="13" t="str">
        <f aca="false">IF(B271="","",IFERROR(AVERAGEIFS(Питание!$B$14:$B$378,Питание!$A$14:$A$378,"&gt;"&amp;$A271-7,Питание!$A$14:$A$378,"&lt;="&amp;$A271,Питание!$B$14:$B$378,"&gt;0"),""))</f>
        <v/>
      </c>
      <c r="P271" s="8" t="str">
        <f aca="false">IF(C271="","",IFERROR(AVERAGEIFS(Питание!$C$14:$C$378,Питание!$A$14:$A$378,"&gt;"&amp;$A271-7,Питание!$A$14:$A$378,"&lt;="&amp;$A271,Питание!$C$14:$C$378,"&gt;0"),""))</f>
        <v/>
      </c>
      <c r="Q271" s="8" t="str">
        <f aca="false">IF(D271="","",IFERROR(AVERAGEIFS(Питание!$D$14:$D$378,Питание!$A$14:$A$378,"&gt;"&amp;$A271-7,Питание!$A$14:$A$378,"&lt;="&amp;$A271,Питание!$D$14:$D$378,"&gt;0"),""))</f>
        <v/>
      </c>
      <c r="R271" s="14" t="str">
        <f aca="false">IF(O271="","",IFERROR(O271-AVERAGEIFS(Питание!$B$14:$B$378,Питание!$A$14:$A$378,"&gt;"&amp;$A271-14,Питание!$A$14:$A$378,"&lt;="&amp;$A271-7,Питание!$B$14:$B$378,"&gt;0"),""))</f>
        <v/>
      </c>
      <c r="S271" s="15" t="str">
        <f aca="false">IF(R271="","",R271/O271)</f>
        <v/>
      </c>
      <c r="T271" s="11" t="str">
        <f aca="false">IF(O271="","",O271-StartWeight)</f>
        <v/>
      </c>
    </row>
    <row r="272" customFormat="false" ht="15" hidden="false" customHeight="true" outlineLevel="0" collapsed="false">
      <c r="A272" s="16" t="n">
        <f aca="false">A271+1</f>
        <v>46552</v>
      </c>
      <c r="B272" s="17"/>
      <c r="C272" s="18"/>
      <c r="D272" s="18"/>
      <c r="E272" s="18"/>
      <c r="F272" s="18"/>
      <c r="G272" s="18"/>
      <c r="H272" s="17"/>
      <c r="I272" s="19"/>
      <c r="J272" s="10" t="str">
        <f aca="false">IF(C272="","",C272-TargetKcal)</f>
        <v/>
      </c>
      <c r="K272" s="10" t="str">
        <f aca="false">IF(D272="","",D272-TargetProtein)</f>
        <v/>
      </c>
      <c r="L272" s="10" t="str">
        <f aca="false">IF(E272="","",E272-TargetFat)</f>
        <v/>
      </c>
      <c r="M272" s="10" t="str">
        <f aca="false">IF(F272="","",F272-TargetCarb)</f>
        <v/>
      </c>
      <c r="N272" s="10" t="str">
        <f aca="false">IF(COUNT(C272:F272)&lt;4,"",ROUND(4*D272+9*E272+4*F272-C272,0))</f>
        <v/>
      </c>
      <c r="O272" s="13" t="str">
        <f aca="false">IF(B272="","",IFERROR(AVERAGEIFS(Питание!$B$14:$B$378,Питание!$A$14:$A$378,"&gt;"&amp;$A272-7,Питание!$A$14:$A$378,"&lt;="&amp;$A272,Питание!$B$14:$B$378,"&gt;0"),""))</f>
        <v/>
      </c>
      <c r="P272" s="8" t="str">
        <f aca="false">IF(C272="","",IFERROR(AVERAGEIFS(Питание!$C$14:$C$378,Питание!$A$14:$A$378,"&gt;"&amp;$A272-7,Питание!$A$14:$A$378,"&lt;="&amp;$A272,Питание!$C$14:$C$378,"&gt;0"),""))</f>
        <v/>
      </c>
      <c r="Q272" s="8" t="str">
        <f aca="false">IF(D272="","",IFERROR(AVERAGEIFS(Питание!$D$14:$D$378,Питание!$A$14:$A$378,"&gt;"&amp;$A272-7,Питание!$A$14:$A$378,"&lt;="&amp;$A272,Питание!$D$14:$D$378,"&gt;0"),""))</f>
        <v/>
      </c>
      <c r="R272" s="14" t="str">
        <f aca="false">IF(O272="","",IFERROR(O272-AVERAGEIFS(Питание!$B$14:$B$378,Питание!$A$14:$A$378,"&gt;"&amp;$A272-14,Питание!$A$14:$A$378,"&lt;="&amp;$A272-7,Питание!$B$14:$B$378,"&gt;0"),""))</f>
        <v/>
      </c>
      <c r="S272" s="15" t="str">
        <f aca="false">IF(R272="","",R272/O272)</f>
        <v/>
      </c>
      <c r="T272" s="11" t="str">
        <f aca="false">IF(O272="","",O272-StartWeight)</f>
        <v/>
      </c>
    </row>
    <row r="273" customFormat="false" ht="15" hidden="false" customHeight="true" outlineLevel="0" collapsed="false">
      <c r="A273" s="16" t="n">
        <f aca="false">A272+1</f>
        <v>46553</v>
      </c>
      <c r="B273" s="17"/>
      <c r="C273" s="18"/>
      <c r="D273" s="18"/>
      <c r="E273" s="18"/>
      <c r="F273" s="18"/>
      <c r="G273" s="18"/>
      <c r="H273" s="17"/>
      <c r="I273" s="19"/>
      <c r="J273" s="10" t="str">
        <f aca="false">IF(C273="","",C273-TargetKcal)</f>
        <v/>
      </c>
      <c r="K273" s="10" t="str">
        <f aca="false">IF(D273="","",D273-TargetProtein)</f>
        <v/>
      </c>
      <c r="L273" s="10" t="str">
        <f aca="false">IF(E273="","",E273-TargetFat)</f>
        <v/>
      </c>
      <c r="M273" s="10" t="str">
        <f aca="false">IF(F273="","",F273-TargetCarb)</f>
        <v/>
      </c>
      <c r="N273" s="10" t="str">
        <f aca="false">IF(COUNT(C273:F273)&lt;4,"",ROUND(4*D273+9*E273+4*F273-C273,0))</f>
        <v/>
      </c>
      <c r="O273" s="13" t="str">
        <f aca="false">IF(B273="","",IFERROR(AVERAGEIFS(Питание!$B$14:$B$378,Питание!$A$14:$A$378,"&gt;"&amp;$A273-7,Питание!$A$14:$A$378,"&lt;="&amp;$A273,Питание!$B$14:$B$378,"&gt;0"),""))</f>
        <v/>
      </c>
      <c r="P273" s="8" t="str">
        <f aca="false">IF(C273="","",IFERROR(AVERAGEIFS(Питание!$C$14:$C$378,Питание!$A$14:$A$378,"&gt;"&amp;$A273-7,Питание!$A$14:$A$378,"&lt;="&amp;$A273,Питание!$C$14:$C$378,"&gt;0"),""))</f>
        <v/>
      </c>
      <c r="Q273" s="8" t="str">
        <f aca="false">IF(D273="","",IFERROR(AVERAGEIFS(Питание!$D$14:$D$378,Питание!$A$14:$A$378,"&gt;"&amp;$A273-7,Питание!$A$14:$A$378,"&lt;="&amp;$A273,Питание!$D$14:$D$378,"&gt;0"),""))</f>
        <v/>
      </c>
      <c r="R273" s="14" t="str">
        <f aca="false">IF(O273="","",IFERROR(O273-AVERAGEIFS(Питание!$B$14:$B$378,Питание!$A$14:$A$378,"&gt;"&amp;$A273-14,Питание!$A$14:$A$378,"&lt;="&amp;$A273-7,Питание!$B$14:$B$378,"&gt;0"),""))</f>
        <v/>
      </c>
      <c r="S273" s="15" t="str">
        <f aca="false">IF(R273="","",R273/O273)</f>
        <v/>
      </c>
      <c r="T273" s="11" t="str">
        <f aca="false">IF(O273="","",O273-StartWeight)</f>
        <v/>
      </c>
    </row>
    <row r="274" customFormat="false" ht="15" hidden="false" customHeight="true" outlineLevel="0" collapsed="false">
      <c r="A274" s="16" t="n">
        <f aca="false">A273+1</f>
        <v>46554</v>
      </c>
      <c r="B274" s="17"/>
      <c r="C274" s="18"/>
      <c r="D274" s="18"/>
      <c r="E274" s="18"/>
      <c r="F274" s="18"/>
      <c r="G274" s="18"/>
      <c r="H274" s="17"/>
      <c r="I274" s="19"/>
      <c r="J274" s="10" t="str">
        <f aca="false">IF(C274="","",C274-TargetKcal)</f>
        <v/>
      </c>
      <c r="K274" s="10" t="str">
        <f aca="false">IF(D274="","",D274-TargetProtein)</f>
        <v/>
      </c>
      <c r="L274" s="10" t="str">
        <f aca="false">IF(E274="","",E274-TargetFat)</f>
        <v/>
      </c>
      <c r="M274" s="10" t="str">
        <f aca="false">IF(F274="","",F274-TargetCarb)</f>
        <v/>
      </c>
      <c r="N274" s="10" t="str">
        <f aca="false">IF(COUNT(C274:F274)&lt;4,"",ROUND(4*D274+9*E274+4*F274-C274,0))</f>
        <v/>
      </c>
      <c r="O274" s="13" t="str">
        <f aca="false">IF(B274="","",IFERROR(AVERAGEIFS(Питание!$B$14:$B$378,Питание!$A$14:$A$378,"&gt;"&amp;$A274-7,Питание!$A$14:$A$378,"&lt;="&amp;$A274,Питание!$B$14:$B$378,"&gt;0"),""))</f>
        <v/>
      </c>
      <c r="P274" s="8" t="str">
        <f aca="false">IF(C274="","",IFERROR(AVERAGEIFS(Питание!$C$14:$C$378,Питание!$A$14:$A$378,"&gt;"&amp;$A274-7,Питание!$A$14:$A$378,"&lt;="&amp;$A274,Питание!$C$14:$C$378,"&gt;0"),""))</f>
        <v/>
      </c>
      <c r="Q274" s="8" t="str">
        <f aca="false">IF(D274="","",IFERROR(AVERAGEIFS(Питание!$D$14:$D$378,Питание!$A$14:$A$378,"&gt;"&amp;$A274-7,Питание!$A$14:$A$378,"&lt;="&amp;$A274,Питание!$D$14:$D$378,"&gt;0"),""))</f>
        <v/>
      </c>
      <c r="R274" s="14" t="str">
        <f aca="false">IF(O274="","",IFERROR(O274-AVERAGEIFS(Питание!$B$14:$B$378,Питание!$A$14:$A$378,"&gt;"&amp;$A274-14,Питание!$A$14:$A$378,"&lt;="&amp;$A274-7,Питание!$B$14:$B$378,"&gt;0"),""))</f>
        <v/>
      </c>
      <c r="S274" s="15" t="str">
        <f aca="false">IF(R274="","",R274/O274)</f>
        <v/>
      </c>
      <c r="T274" s="11" t="str">
        <f aca="false">IF(O274="","",O274-StartWeight)</f>
        <v/>
      </c>
    </row>
    <row r="275" customFormat="false" ht="15" hidden="false" customHeight="true" outlineLevel="0" collapsed="false">
      <c r="A275" s="16" t="n">
        <f aca="false">A274+1</f>
        <v>46555</v>
      </c>
      <c r="B275" s="17"/>
      <c r="C275" s="18"/>
      <c r="D275" s="18"/>
      <c r="E275" s="18"/>
      <c r="F275" s="18"/>
      <c r="G275" s="18"/>
      <c r="H275" s="17"/>
      <c r="I275" s="19"/>
      <c r="J275" s="10" t="str">
        <f aca="false">IF(C275="","",C275-TargetKcal)</f>
        <v/>
      </c>
      <c r="K275" s="10" t="str">
        <f aca="false">IF(D275="","",D275-TargetProtein)</f>
        <v/>
      </c>
      <c r="L275" s="10" t="str">
        <f aca="false">IF(E275="","",E275-TargetFat)</f>
        <v/>
      </c>
      <c r="M275" s="10" t="str">
        <f aca="false">IF(F275="","",F275-TargetCarb)</f>
        <v/>
      </c>
      <c r="N275" s="10" t="str">
        <f aca="false">IF(COUNT(C275:F275)&lt;4,"",ROUND(4*D275+9*E275+4*F275-C275,0))</f>
        <v/>
      </c>
      <c r="O275" s="13" t="str">
        <f aca="false">IF(B275="","",IFERROR(AVERAGEIFS(Питание!$B$14:$B$378,Питание!$A$14:$A$378,"&gt;"&amp;$A275-7,Питание!$A$14:$A$378,"&lt;="&amp;$A275,Питание!$B$14:$B$378,"&gt;0"),""))</f>
        <v/>
      </c>
      <c r="P275" s="8" t="str">
        <f aca="false">IF(C275="","",IFERROR(AVERAGEIFS(Питание!$C$14:$C$378,Питание!$A$14:$A$378,"&gt;"&amp;$A275-7,Питание!$A$14:$A$378,"&lt;="&amp;$A275,Питание!$C$14:$C$378,"&gt;0"),""))</f>
        <v/>
      </c>
      <c r="Q275" s="8" t="str">
        <f aca="false">IF(D275="","",IFERROR(AVERAGEIFS(Питание!$D$14:$D$378,Питание!$A$14:$A$378,"&gt;"&amp;$A275-7,Питание!$A$14:$A$378,"&lt;="&amp;$A275,Питание!$D$14:$D$378,"&gt;0"),""))</f>
        <v/>
      </c>
      <c r="R275" s="14" t="str">
        <f aca="false">IF(O275="","",IFERROR(O275-AVERAGEIFS(Питание!$B$14:$B$378,Питание!$A$14:$A$378,"&gt;"&amp;$A275-14,Питание!$A$14:$A$378,"&lt;="&amp;$A275-7,Питание!$B$14:$B$378,"&gt;0"),""))</f>
        <v/>
      </c>
      <c r="S275" s="15" t="str">
        <f aca="false">IF(R275="","",R275/O275)</f>
        <v/>
      </c>
      <c r="T275" s="11" t="str">
        <f aca="false">IF(O275="","",O275-StartWeight)</f>
        <v/>
      </c>
    </row>
    <row r="276" customFormat="false" ht="15" hidden="false" customHeight="true" outlineLevel="0" collapsed="false">
      <c r="A276" s="16" t="n">
        <f aca="false">A275+1</f>
        <v>46556</v>
      </c>
      <c r="B276" s="17"/>
      <c r="C276" s="18"/>
      <c r="D276" s="18"/>
      <c r="E276" s="18"/>
      <c r="F276" s="18"/>
      <c r="G276" s="18"/>
      <c r="H276" s="17"/>
      <c r="I276" s="19"/>
      <c r="J276" s="10" t="str">
        <f aca="false">IF(C276="","",C276-TargetKcal)</f>
        <v/>
      </c>
      <c r="K276" s="10" t="str">
        <f aca="false">IF(D276="","",D276-TargetProtein)</f>
        <v/>
      </c>
      <c r="L276" s="10" t="str">
        <f aca="false">IF(E276="","",E276-TargetFat)</f>
        <v/>
      </c>
      <c r="M276" s="10" t="str">
        <f aca="false">IF(F276="","",F276-TargetCarb)</f>
        <v/>
      </c>
      <c r="N276" s="10" t="str">
        <f aca="false">IF(COUNT(C276:F276)&lt;4,"",ROUND(4*D276+9*E276+4*F276-C276,0))</f>
        <v/>
      </c>
      <c r="O276" s="13" t="str">
        <f aca="false">IF(B276="","",IFERROR(AVERAGEIFS(Питание!$B$14:$B$378,Питание!$A$14:$A$378,"&gt;"&amp;$A276-7,Питание!$A$14:$A$378,"&lt;="&amp;$A276,Питание!$B$14:$B$378,"&gt;0"),""))</f>
        <v/>
      </c>
      <c r="P276" s="8" t="str">
        <f aca="false">IF(C276="","",IFERROR(AVERAGEIFS(Питание!$C$14:$C$378,Питание!$A$14:$A$378,"&gt;"&amp;$A276-7,Питание!$A$14:$A$378,"&lt;="&amp;$A276,Питание!$C$14:$C$378,"&gt;0"),""))</f>
        <v/>
      </c>
      <c r="Q276" s="8" t="str">
        <f aca="false">IF(D276="","",IFERROR(AVERAGEIFS(Питание!$D$14:$D$378,Питание!$A$14:$A$378,"&gt;"&amp;$A276-7,Питание!$A$14:$A$378,"&lt;="&amp;$A276,Питание!$D$14:$D$378,"&gt;0"),""))</f>
        <v/>
      </c>
      <c r="R276" s="14" t="str">
        <f aca="false">IF(O276="","",IFERROR(O276-AVERAGEIFS(Питание!$B$14:$B$378,Питание!$A$14:$A$378,"&gt;"&amp;$A276-14,Питание!$A$14:$A$378,"&lt;="&amp;$A276-7,Питание!$B$14:$B$378,"&gt;0"),""))</f>
        <v/>
      </c>
      <c r="S276" s="15" t="str">
        <f aca="false">IF(R276="","",R276/O276)</f>
        <v/>
      </c>
      <c r="T276" s="11" t="str">
        <f aca="false">IF(O276="","",O276-StartWeight)</f>
        <v/>
      </c>
    </row>
    <row r="277" customFormat="false" ht="15" hidden="false" customHeight="true" outlineLevel="0" collapsed="false">
      <c r="A277" s="16" t="n">
        <f aca="false">A276+1</f>
        <v>46557</v>
      </c>
      <c r="B277" s="17"/>
      <c r="C277" s="18"/>
      <c r="D277" s="18"/>
      <c r="E277" s="18"/>
      <c r="F277" s="18"/>
      <c r="G277" s="18"/>
      <c r="H277" s="17"/>
      <c r="I277" s="19"/>
      <c r="J277" s="10" t="str">
        <f aca="false">IF(C277="","",C277-TargetKcal)</f>
        <v/>
      </c>
      <c r="K277" s="10" t="str">
        <f aca="false">IF(D277="","",D277-TargetProtein)</f>
        <v/>
      </c>
      <c r="L277" s="10" t="str">
        <f aca="false">IF(E277="","",E277-TargetFat)</f>
        <v/>
      </c>
      <c r="M277" s="10" t="str">
        <f aca="false">IF(F277="","",F277-TargetCarb)</f>
        <v/>
      </c>
      <c r="N277" s="10" t="str">
        <f aca="false">IF(COUNT(C277:F277)&lt;4,"",ROUND(4*D277+9*E277+4*F277-C277,0))</f>
        <v/>
      </c>
      <c r="O277" s="13" t="str">
        <f aca="false">IF(B277="","",IFERROR(AVERAGEIFS(Питание!$B$14:$B$378,Питание!$A$14:$A$378,"&gt;"&amp;$A277-7,Питание!$A$14:$A$378,"&lt;="&amp;$A277,Питание!$B$14:$B$378,"&gt;0"),""))</f>
        <v/>
      </c>
      <c r="P277" s="8" t="str">
        <f aca="false">IF(C277="","",IFERROR(AVERAGEIFS(Питание!$C$14:$C$378,Питание!$A$14:$A$378,"&gt;"&amp;$A277-7,Питание!$A$14:$A$378,"&lt;="&amp;$A277,Питание!$C$14:$C$378,"&gt;0"),""))</f>
        <v/>
      </c>
      <c r="Q277" s="8" t="str">
        <f aca="false">IF(D277="","",IFERROR(AVERAGEIFS(Питание!$D$14:$D$378,Питание!$A$14:$A$378,"&gt;"&amp;$A277-7,Питание!$A$14:$A$378,"&lt;="&amp;$A277,Питание!$D$14:$D$378,"&gt;0"),""))</f>
        <v/>
      </c>
      <c r="R277" s="14" t="str">
        <f aca="false">IF(O277="","",IFERROR(O277-AVERAGEIFS(Питание!$B$14:$B$378,Питание!$A$14:$A$378,"&gt;"&amp;$A277-14,Питание!$A$14:$A$378,"&lt;="&amp;$A277-7,Питание!$B$14:$B$378,"&gt;0"),""))</f>
        <v/>
      </c>
      <c r="S277" s="15" t="str">
        <f aca="false">IF(R277="","",R277/O277)</f>
        <v/>
      </c>
      <c r="T277" s="11" t="str">
        <f aca="false">IF(O277="","",O277-StartWeight)</f>
        <v/>
      </c>
    </row>
    <row r="278" customFormat="false" ht="15" hidden="false" customHeight="true" outlineLevel="0" collapsed="false">
      <c r="A278" s="16" t="n">
        <f aca="false">A277+1</f>
        <v>46558</v>
      </c>
      <c r="B278" s="17"/>
      <c r="C278" s="18"/>
      <c r="D278" s="18"/>
      <c r="E278" s="18"/>
      <c r="F278" s="18"/>
      <c r="G278" s="18"/>
      <c r="H278" s="17"/>
      <c r="I278" s="19"/>
      <c r="J278" s="10" t="str">
        <f aca="false">IF(C278="","",C278-TargetKcal)</f>
        <v/>
      </c>
      <c r="K278" s="10" t="str">
        <f aca="false">IF(D278="","",D278-TargetProtein)</f>
        <v/>
      </c>
      <c r="L278" s="10" t="str">
        <f aca="false">IF(E278="","",E278-TargetFat)</f>
        <v/>
      </c>
      <c r="M278" s="10" t="str">
        <f aca="false">IF(F278="","",F278-TargetCarb)</f>
        <v/>
      </c>
      <c r="N278" s="10" t="str">
        <f aca="false">IF(COUNT(C278:F278)&lt;4,"",ROUND(4*D278+9*E278+4*F278-C278,0))</f>
        <v/>
      </c>
      <c r="O278" s="13" t="str">
        <f aca="false">IF(B278="","",IFERROR(AVERAGEIFS(Питание!$B$14:$B$378,Питание!$A$14:$A$378,"&gt;"&amp;$A278-7,Питание!$A$14:$A$378,"&lt;="&amp;$A278,Питание!$B$14:$B$378,"&gt;0"),""))</f>
        <v/>
      </c>
      <c r="P278" s="8" t="str">
        <f aca="false">IF(C278="","",IFERROR(AVERAGEIFS(Питание!$C$14:$C$378,Питание!$A$14:$A$378,"&gt;"&amp;$A278-7,Питание!$A$14:$A$378,"&lt;="&amp;$A278,Питание!$C$14:$C$378,"&gt;0"),""))</f>
        <v/>
      </c>
      <c r="Q278" s="8" t="str">
        <f aca="false">IF(D278="","",IFERROR(AVERAGEIFS(Питание!$D$14:$D$378,Питание!$A$14:$A$378,"&gt;"&amp;$A278-7,Питание!$A$14:$A$378,"&lt;="&amp;$A278,Питание!$D$14:$D$378,"&gt;0"),""))</f>
        <v/>
      </c>
      <c r="R278" s="14" t="str">
        <f aca="false">IF(O278="","",IFERROR(O278-AVERAGEIFS(Питание!$B$14:$B$378,Питание!$A$14:$A$378,"&gt;"&amp;$A278-14,Питание!$A$14:$A$378,"&lt;="&amp;$A278-7,Питание!$B$14:$B$378,"&gt;0"),""))</f>
        <v/>
      </c>
      <c r="S278" s="15" t="str">
        <f aca="false">IF(R278="","",R278/O278)</f>
        <v/>
      </c>
      <c r="T278" s="11" t="str">
        <f aca="false">IF(O278="","",O278-StartWeight)</f>
        <v/>
      </c>
    </row>
    <row r="279" customFormat="false" ht="15" hidden="false" customHeight="true" outlineLevel="0" collapsed="false">
      <c r="A279" s="16" t="n">
        <f aca="false">A278+1</f>
        <v>46559</v>
      </c>
      <c r="B279" s="17"/>
      <c r="C279" s="18"/>
      <c r="D279" s="18"/>
      <c r="E279" s="18"/>
      <c r="F279" s="18"/>
      <c r="G279" s="18"/>
      <c r="H279" s="17"/>
      <c r="I279" s="19"/>
      <c r="J279" s="10" t="str">
        <f aca="false">IF(C279="","",C279-TargetKcal)</f>
        <v/>
      </c>
      <c r="K279" s="10" t="str">
        <f aca="false">IF(D279="","",D279-TargetProtein)</f>
        <v/>
      </c>
      <c r="L279" s="10" t="str">
        <f aca="false">IF(E279="","",E279-TargetFat)</f>
        <v/>
      </c>
      <c r="M279" s="10" t="str">
        <f aca="false">IF(F279="","",F279-TargetCarb)</f>
        <v/>
      </c>
      <c r="N279" s="10" t="str">
        <f aca="false">IF(COUNT(C279:F279)&lt;4,"",ROUND(4*D279+9*E279+4*F279-C279,0))</f>
        <v/>
      </c>
      <c r="O279" s="13" t="str">
        <f aca="false">IF(B279="","",IFERROR(AVERAGEIFS(Питание!$B$14:$B$378,Питание!$A$14:$A$378,"&gt;"&amp;$A279-7,Питание!$A$14:$A$378,"&lt;="&amp;$A279,Питание!$B$14:$B$378,"&gt;0"),""))</f>
        <v/>
      </c>
      <c r="P279" s="8" t="str">
        <f aca="false">IF(C279="","",IFERROR(AVERAGEIFS(Питание!$C$14:$C$378,Питание!$A$14:$A$378,"&gt;"&amp;$A279-7,Питание!$A$14:$A$378,"&lt;="&amp;$A279,Питание!$C$14:$C$378,"&gt;0"),""))</f>
        <v/>
      </c>
      <c r="Q279" s="8" t="str">
        <f aca="false">IF(D279="","",IFERROR(AVERAGEIFS(Питание!$D$14:$D$378,Питание!$A$14:$A$378,"&gt;"&amp;$A279-7,Питание!$A$14:$A$378,"&lt;="&amp;$A279,Питание!$D$14:$D$378,"&gt;0"),""))</f>
        <v/>
      </c>
      <c r="R279" s="14" t="str">
        <f aca="false">IF(O279="","",IFERROR(O279-AVERAGEIFS(Питание!$B$14:$B$378,Питание!$A$14:$A$378,"&gt;"&amp;$A279-14,Питание!$A$14:$A$378,"&lt;="&amp;$A279-7,Питание!$B$14:$B$378,"&gt;0"),""))</f>
        <v/>
      </c>
      <c r="S279" s="15" t="str">
        <f aca="false">IF(R279="","",R279/O279)</f>
        <v/>
      </c>
      <c r="T279" s="11" t="str">
        <f aca="false">IF(O279="","",O279-StartWeight)</f>
        <v/>
      </c>
    </row>
    <row r="280" customFormat="false" ht="15" hidden="false" customHeight="true" outlineLevel="0" collapsed="false">
      <c r="A280" s="16" t="n">
        <f aca="false">A279+1</f>
        <v>46560</v>
      </c>
      <c r="B280" s="17"/>
      <c r="C280" s="18"/>
      <c r="D280" s="18"/>
      <c r="E280" s="18"/>
      <c r="F280" s="18"/>
      <c r="G280" s="18"/>
      <c r="H280" s="17"/>
      <c r="I280" s="19"/>
      <c r="J280" s="10" t="str">
        <f aca="false">IF(C280="","",C280-TargetKcal)</f>
        <v/>
      </c>
      <c r="K280" s="10" t="str">
        <f aca="false">IF(D280="","",D280-TargetProtein)</f>
        <v/>
      </c>
      <c r="L280" s="10" t="str">
        <f aca="false">IF(E280="","",E280-TargetFat)</f>
        <v/>
      </c>
      <c r="M280" s="10" t="str">
        <f aca="false">IF(F280="","",F280-TargetCarb)</f>
        <v/>
      </c>
      <c r="N280" s="10" t="str">
        <f aca="false">IF(COUNT(C280:F280)&lt;4,"",ROUND(4*D280+9*E280+4*F280-C280,0))</f>
        <v/>
      </c>
      <c r="O280" s="13" t="str">
        <f aca="false">IF(B280="","",IFERROR(AVERAGEIFS(Питание!$B$14:$B$378,Питание!$A$14:$A$378,"&gt;"&amp;$A280-7,Питание!$A$14:$A$378,"&lt;="&amp;$A280,Питание!$B$14:$B$378,"&gt;0"),""))</f>
        <v/>
      </c>
      <c r="P280" s="8" t="str">
        <f aca="false">IF(C280="","",IFERROR(AVERAGEIFS(Питание!$C$14:$C$378,Питание!$A$14:$A$378,"&gt;"&amp;$A280-7,Питание!$A$14:$A$378,"&lt;="&amp;$A280,Питание!$C$14:$C$378,"&gt;0"),""))</f>
        <v/>
      </c>
      <c r="Q280" s="8" t="str">
        <f aca="false">IF(D280="","",IFERROR(AVERAGEIFS(Питание!$D$14:$D$378,Питание!$A$14:$A$378,"&gt;"&amp;$A280-7,Питание!$A$14:$A$378,"&lt;="&amp;$A280,Питание!$D$14:$D$378,"&gt;0"),""))</f>
        <v/>
      </c>
      <c r="R280" s="14" t="str">
        <f aca="false">IF(O280="","",IFERROR(O280-AVERAGEIFS(Питание!$B$14:$B$378,Питание!$A$14:$A$378,"&gt;"&amp;$A280-14,Питание!$A$14:$A$378,"&lt;="&amp;$A280-7,Питание!$B$14:$B$378,"&gt;0"),""))</f>
        <v/>
      </c>
      <c r="S280" s="15" t="str">
        <f aca="false">IF(R280="","",R280/O280)</f>
        <v/>
      </c>
      <c r="T280" s="11" t="str">
        <f aca="false">IF(O280="","",O280-StartWeight)</f>
        <v/>
      </c>
    </row>
    <row r="281" customFormat="false" ht="15" hidden="false" customHeight="true" outlineLevel="0" collapsed="false">
      <c r="A281" s="16" t="n">
        <f aca="false">A280+1</f>
        <v>46561</v>
      </c>
      <c r="B281" s="17"/>
      <c r="C281" s="18"/>
      <c r="D281" s="18"/>
      <c r="E281" s="18"/>
      <c r="F281" s="18"/>
      <c r="G281" s="18"/>
      <c r="H281" s="17"/>
      <c r="I281" s="19"/>
      <c r="J281" s="10" t="str">
        <f aca="false">IF(C281="","",C281-TargetKcal)</f>
        <v/>
      </c>
      <c r="K281" s="10" t="str">
        <f aca="false">IF(D281="","",D281-TargetProtein)</f>
        <v/>
      </c>
      <c r="L281" s="10" t="str">
        <f aca="false">IF(E281="","",E281-TargetFat)</f>
        <v/>
      </c>
      <c r="M281" s="10" t="str">
        <f aca="false">IF(F281="","",F281-TargetCarb)</f>
        <v/>
      </c>
      <c r="N281" s="10" t="str">
        <f aca="false">IF(COUNT(C281:F281)&lt;4,"",ROUND(4*D281+9*E281+4*F281-C281,0))</f>
        <v/>
      </c>
      <c r="O281" s="13" t="str">
        <f aca="false">IF(B281="","",IFERROR(AVERAGEIFS(Питание!$B$14:$B$378,Питание!$A$14:$A$378,"&gt;"&amp;$A281-7,Питание!$A$14:$A$378,"&lt;="&amp;$A281,Питание!$B$14:$B$378,"&gt;0"),""))</f>
        <v/>
      </c>
      <c r="P281" s="8" t="str">
        <f aca="false">IF(C281="","",IFERROR(AVERAGEIFS(Питание!$C$14:$C$378,Питание!$A$14:$A$378,"&gt;"&amp;$A281-7,Питание!$A$14:$A$378,"&lt;="&amp;$A281,Питание!$C$14:$C$378,"&gt;0"),""))</f>
        <v/>
      </c>
      <c r="Q281" s="8" t="str">
        <f aca="false">IF(D281="","",IFERROR(AVERAGEIFS(Питание!$D$14:$D$378,Питание!$A$14:$A$378,"&gt;"&amp;$A281-7,Питание!$A$14:$A$378,"&lt;="&amp;$A281,Питание!$D$14:$D$378,"&gt;0"),""))</f>
        <v/>
      </c>
      <c r="R281" s="14" t="str">
        <f aca="false">IF(O281="","",IFERROR(O281-AVERAGEIFS(Питание!$B$14:$B$378,Питание!$A$14:$A$378,"&gt;"&amp;$A281-14,Питание!$A$14:$A$378,"&lt;="&amp;$A281-7,Питание!$B$14:$B$378,"&gt;0"),""))</f>
        <v/>
      </c>
      <c r="S281" s="15" t="str">
        <f aca="false">IF(R281="","",R281/O281)</f>
        <v/>
      </c>
      <c r="T281" s="11" t="str">
        <f aca="false">IF(O281="","",O281-StartWeight)</f>
        <v/>
      </c>
    </row>
    <row r="282" customFormat="false" ht="15" hidden="false" customHeight="true" outlineLevel="0" collapsed="false">
      <c r="A282" s="16" t="n">
        <f aca="false">A281+1</f>
        <v>46562</v>
      </c>
      <c r="B282" s="17"/>
      <c r="C282" s="18"/>
      <c r="D282" s="18"/>
      <c r="E282" s="18"/>
      <c r="F282" s="18"/>
      <c r="G282" s="18"/>
      <c r="H282" s="17"/>
      <c r="I282" s="19"/>
      <c r="J282" s="10" t="str">
        <f aca="false">IF(C282="","",C282-TargetKcal)</f>
        <v/>
      </c>
      <c r="K282" s="10" t="str">
        <f aca="false">IF(D282="","",D282-TargetProtein)</f>
        <v/>
      </c>
      <c r="L282" s="10" t="str">
        <f aca="false">IF(E282="","",E282-TargetFat)</f>
        <v/>
      </c>
      <c r="M282" s="10" t="str">
        <f aca="false">IF(F282="","",F282-TargetCarb)</f>
        <v/>
      </c>
      <c r="N282" s="10" t="str">
        <f aca="false">IF(COUNT(C282:F282)&lt;4,"",ROUND(4*D282+9*E282+4*F282-C282,0))</f>
        <v/>
      </c>
      <c r="O282" s="13" t="str">
        <f aca="false">IF(B282="","",IFERROR(AVERAGEIFS(Питание!$B$14:$B$378,Питание!$A$14:$A$378,"&gt;"&amp;$A282-7,Питание!$A$14:$A$378,"&lt;="&amp;$A282,Питание!$B$14:$B$378,"&gt;0"),""))</f>
        <v/>
      </c>
      <c r="P282" s="8" t="str">
        <f aca="false">IF(C282="","",IFERROR(AVERAGEIFS(Питание!$C$14:$C$378,Питание!$A$14:$A$378,"&gt;"&amp;$A282-7,Питание!$A$14:$A$378,"&lt;="&amp;$A282,Питание!$C$14:$C$378,"&gt;0"),""))</f>
        <v/>
      </c>
      <c r="Q282" s="8" t="str">
        <f aca="false">IF(D282="","",IFERROR(AVERAGEIFS(Питание!$D$14:$D$378,Питание!$A$14:$A$378,"&gt;"&amp;$A282-7,Питание!$A$14:$A$378,"&lt;="&amp;$A282,Питание!$D$14:$D$378,"&gt;0"),""))</f>
        <v/>
      </c>
      <c r="R282" s="14" t="str">
        <f aca="false">IF(O282="","",IFERROR(O282-AVERAGEIFS(Питание!$B$14:$B$378,Питание!$A$14:$A$378,"&gt;"&amp;$A282-14,Питание!$A$14:$A$378,"&lt;="&amp;$A282-7,Питание!$B$14:$B$378,"&gt;0"),""))</f>
        <v/>
      </c>
      <c r="S282" s="15" t="str">
        <f aca="false">IF(R282="","",R282/O282)</f>
        <v/>
      </c>
      <c r="T282" s="11" t="str">
        <f aca="false">IF(O282="","",O282-StartWeight)</f>
        <v/>
      </c>
    </row>
    <row r="283" customFormat="false" ht="15" hidden="false" customHeight="true" outlineLevel="0" collapsed="false">
      <c r="A283" s="16" t="n">
        <f aca="false">A282+1</f>
        <v>46563</v>
      </c>
      <c r="B283" s="17"/>
      <c r="C283" s="18"/>
      <c r="D283" s="18"/>
      <c r="E283" s="18"/>
      <c r="F283" s="18"/>
      <c r="G283" s="18"/>
      <c r="H283" s="17"/>
      <c r="I283" s="19"/>
      <c r="J283" s="10" t="str">
        <f aca="false">IF(C283="","",C283-TargetKcal)</f>
        <v/>
      </c>
      <c r="K283" s="10" t="str">
        <f aca="false">IF(D283="","",D283-TargetProtein)</f>
        <v/>
      </c>
      <c r="L283" s="10" t="str">
        <f aca="false">IF(E283="","",E283-TargetFat)</f>
        <v/>
      </c>
      <c r="M283" s="10" t="str">
        <f aca="false">IF(F283="","",F283-TargetCarb)</f>
        <v/>
      </c>
      <c r="N283" s="10" t="str">
        <f aca="false">IF(COUNT(C283:F283)&lt;4,"",ROUND(4*D283+9*E283+4*F283-C283,0))</f>
        <v/>
      </c>
      <c r="O283" s="13" t="str">
        <f aca="false">IF(B283="","",IFERROR(AVERAGEIFS(Питание!$B$14:$B$378,Питание!$A$14:$A$378,"&gt;"&amp;$A283-7,Питание!$A$14:$A$378,"&lt;="&amp;$A283,Питание!$B$14:$B$378,"&gt;0"),""))</f>
        <v/>
      </c>
      <c r="P283" s="8" t="str">
        <f aca="false">IF(C283="","",IFERROR(AVERAGEIFS(Питание!$C$14:$C$378,Питание!$A$14:$A$378,"&gt;"&amp;$A283-7,Питание!$A$14:$A$378,"&lt;="&amp;$A283,Питание!$C$14:$C$378,"&gt;0"),""))</f>
        <v/>
      </c>
      <c r="Q283" s="8" t="str">
        <f aca="false">IF(D283="","",IFERROR(AVERAGEIFS(Питание!$D$14:$D$378,Питание!$A$14:$A$378,"&gt;"&amp;$A283-7,Питание!$A$14:$A$378,"&lt;="&amp;$A283,Питание!$D$14:$D$378,"&gt;0"),""))</f>
        <v/>
      </c>
      <c r="R283" s="14" t="str">
        <f aca="false">IF(O283="","",IFERROR(O283-AVERAGEIFS(Питание!$B$14:$B$378,Питание!$A$14:$A$378,"&gt;"&amp;$A283-14,Питание!$A$14:$A$378,"&lt;="&amp;$A283-7,Питание!$B$14:$B$378,"&gt;0"),""))</f>
        <v/>
      </c>
      <c r="S283" s="15" t="str">
        <f aca="false">IF(R283="","",R283/O283)</f>
        <v/>
      </c>
      <c r="T283" s="11" t="str">
        <f aca="false">IF(O283="","",O283-StartWeight)</f>
        <v/>
      </c>
    </row>
    <row r="284" customFormat="false" ht="15" hidden="false" customHeight="true" outlineLevel="0" collapsed="false">
      <c r="A284" s="16" t="n">
        <f aca="false">A283+1</f>
        <v>46564</v>
      </c>
      <c r="B284" s="17"/>
      <c r="C284" s="18"/>
      <c r="D284" s="18"/>
      <c r="E284" s="18"/>
      <c r="F284" s="18"/>
      <c r="G284" s="18"/>
      <c r="H284" s="17"/>
      <c r="I284" s="19"/>
      <c r="J284" s="10" t="str">
        <f aca="false">IF(C284="","",C284-TargetKcal)</f>
        <v/>
      </c>
      <c r="K284" s="10" t="str">
        <f aca="false">IF(D284="","",D284-TargetProtein)</f>
        <v/>
      </c>
      <c r="L284" s="10" t="str">
        <f aca="false">IF(E284="","",E284-TargetFat)</f>
        <v/>
      </c>
      <c r="M284" s="10" t="str">
        <f aca="false">IF(F284="","",F284-TargetCarb)</f>
        <v/>
      </c>
      <c r="N284" s="10" t="str">
        <f aca="false">IF(COUNT(C284:F284)&lt;4,"",ROUND(4*D284+9*E284+4*F284-C284,0))</f>
        <v/>
      </c>
      <c r="O284" s="13" t="str">
        <f aca="false">IF(B284="","",IFERROR(AVERAGEIFS(Питание!$B$14:$B$378,Питание!$A$14:$A$378,"&gt;"&amp;$A284-7,Питание!$A$14:$A$378,"&lt;="&amp;$A284,Питание!$B$14:$B$378,"&gt;0"),""))</f>
        <v/>
      </c>
      <c r="P284" s="8" t="str">
        <f aca="false">IF(C284="","",IFERROR(AVERAGEIFS(Питание!$C$14:$C$378,Питание!$A$14:$A$378,"&gt;"&amp;$A284-7,Питание!$A$14:$A$378,"&lt;="&amp;$A284,Питание!$C$14:$C$378,"&gt;0"),""))</f>
        <v/>
      </c>
      <c r="Q284" s="8" t="str">
        <f aca="false">IF(D284="","",IFERROR(AVERAGEIFS(Питание!$D$14:$D$378,Питание!$A$14:$A$378,"&gt;"&amp;$A284-7,Питание!$A$14:$A$378,"&lt;="&amp;$A284,Питание!$D$14:$D$378,"&gt;0"),""))</f>
        <v/>
      </c>
      <c r="R284" s="14" t="str">
        <f aca="false">IF(O284="","",IFERROR(O284-AVERAGEIFS(Питание!$B$14:$B$378,Питание!$A$14:$A$378,"&gt;"&amp;$A284-14,Питание!$A$14:$A$378,"&lt;="&amp;$A284-7,Питание!$B$14:$B$378,"&gt;0"),""))</f>
        <v/>
      </c>
      <c r="S284" s="15" t="str">
        <f aca="false">IF(R284="","",R284/O284)</f>
        <v/>
      </c>
      <c r="T284" s="11" t="str">
        <f aca="false">IF(O284="","",O284-StartWeight)</f>
        <v/>
      </c>
    </row>
    <row r="285" customFormat="false" ht="15" hidden="false" customHeight="true" outlineLevel="0" collapsed="false">
      <c r="A285" s="16" t="n">
        <f aca="false">A284+1</f>
        <v>46565</v>
      </c>
      <c r="B285" s="17"/>
      <c r="C285" s="18"/>
      <c r="D285" s="18"/>
      <c r="E285" s="18"/>
      <c r="F285" s="18"/>
      <c r="G285" s="18"/>
      <c r="H285" s="17"/>
      <c r="I285" s="19"/>
      <c r="J285" s="10" t="str">
        <f aca="false">IF(C285="","",C285-TargetKcal)</f>
        <v/>
      </c>
      <c r="K285" s="10" t="str">
        <f aca="false">IF(D285="","",D285-TargetProtein)</f>
        <v/>
      </c>
      <c r="L285" s="10" t="str">
        <f aca="false">IF(E285="","",E285-TargetFat)</f>
        <v/>
      </c>
      <c r="M285" s="10" t="str">
        <f aca="false">IF(F285="","",F285-TargetCarb)</f>
        <v/>
      </c>
      <c r="N285" s="10" t="str">
        <f aca="false">IF(COUNT(C285:F285)&lt;4,"",ROUND(4*D285+9*E285+4*F285-C285,0))</f>
        <v/>
      </c>
      <c r="O285" s="13" t="str">
        <f aca="false">IF(B285="","",IFERROR(AVERAGEIFS(Питание!$B$14:$B$378,Питание!$A$14:$A$378,"&gt;"&amp;$A285-7,Питание!$A$14:$A$378,"&lt;="&amp;$A285,Питание!$B$14:$B$378,"&gt;0"),""))</f>
        <v/>
      </c>
      <c r="P285" s="8" t="str">
        <f aca="false">IF(C285="","",IFERROR(AVERAGEIFS(Питание!$C$14:$C$378,Питание!$A$14:$A$378,"&gt;"&amp;$A285-7,Питание!$A$14:$A$378,"&lt;="&amp;$A285,Питание!$C$14:$C$378,"&gt;0"),""))</f>
        <v/>
      </c>
      <c r="Q285" s="8" t="str">
        <f aca="false">IF(D285="","",IFERROR(AVERAGEIFS(Питание!$D$14:$D$378,Питание!$A$14:$A$378,"&gt;"&amp;$A285-7,Питание!$A$14:$A$378,"&lt;="&amp;$A285,Питание!$D$14:$D$378,"&gt;0"),""))</f>
        <v/>
      </c>
      <c r="R285" s="14" t="str">
        <f aca="false">IF(O285="","",IFERROR(O285-AVERAGEIFS(Питание!$B$14:$B$378,Питание!$A$14:$A$378,"&gt;"&amp;$A285-14,Питание!$A$14:$A$378,"&lt;="&amp;$A285-7,Питание!$B$14:$B$378,"&gt;0"),""))</f>
        <v/>
      </c>
      <c r="S285" s="15" t="str">
        <f aca="false">IF(R285="","",R285/O285)</f>
        <v/>
      </c>
      <c r="T285" s="11" t="str">
        <f aca="false">IF(O285="","",O285-StartWeight)</f>
        <v/>
      </c>
    </row>
    <row r="286" customFormat="false" ht="15" hidden="false" customHeight="true" outlineLevel="0" collapsed="false">
      <c r="A286" s="16" t="n">
        <f aca="false">A285+1</f>
        <v>46566</v>
      </c>
      <c r="B286" s="17"/>
      <c r="C286" s="18"/>
      <c r="D286" s="18"/>
      <c r="E286" s="18"/>
      <c r="F286" s="18"/>
      <c r="G286" s="18"/>
      <c r="H286" s="17"/>
      <c r="I286" s="19"/>
      <c r="J286" s="10" t="str">
        <f aca="false">IF(C286="","",C286-TargetKcal)</f>
        <v/>
      </c>
      <c r="K286" s="10" t="str">
        <f aca="false">IF(D286="","",D286-TargetProtein)</f>
        <v/>
      </c>
      <c r="L286" s="10" t="str">
        <f aca="false">IF(E286="","",E286-TargetFat)</f>
        <v/>
      </c>
      <c r="M286" s="10" t="str">
        <f aca="false">IF(F286="","",F286-TargetCarb)</f>
        <v/>
      </c>
      <c r="N286" s="10" t="str">
        <f aca="false">IF(COUNT(C286:F286)&lt;4,"",ROUND(4*D286+9*E286+4*F286-C286,0))</f>
        <v/>
      </c>
      <c r="O286" s="13" t="str">
        <f aca="false">IF(B286="","",IFERROR(AVERAGEIFS(Питание!$B$14:$B$378,Питание!$A$14:$A$378,"&gt;"&amp;$A286-7,Питание!$A$14:$A$378,"&lt;="&amp;$A286,Питание!$B$14:$B$378,"&gt;0"),""))</f>
        <v/>
      </c>
      <c r="P286" s="8" t="str">
        <f aca="false">IF(C286="","",IFERROR(AVERAGEIFS(Питание!$C$14:$C$378,Питание!$A$14:$A$378,"&gt;"&amp;$A286-7,Питание!$A$14:$A$378,"&lt;="&amp;$A286,Питание!$C$14:$C$378,"&gt;0"),""))</f>
        <v/>
      </c>
      <c r="Q286" s="8" t="str">
        <f aca="false">IF(D286="","",IFERROR(AVERAGEIFS(Питание!$D$14:$D$378,Питание!$A$14:$A$378,"&gt;"&amp;$A286-7,Питание!$A$14:$A$378,"&lt;="&amp;$A286,Питание!$D$14:$D$378,"&gt;0"),""))</f>
        <v/>
      </c>
      <c r="R286" s="14" t="str">
        <f aca="false">IF(O286="","",IFERROR(O286-AVERAGEIFS(Питание!$B$14:$B$378,Питание!$A$14:$A$378,"&gt;"&amp;$A286-14,Питание!$A$14:$A$378,"&lt;="&amp;$A286-7,Питание!$B$14:$B$378,"&gt;0"),""))</f>
        <v/>
      </c>
      <c r="S286" s="15" t="str">
        <f aca="false">IF(R286="","",R286/O286)</f>
        <v/>
      </c>
      <c r="T286" s="11" t="str">
        <f aca="false">IF(O286="","",O286-StartWeight)</f>
        <v/>
      </c>
    </row>
    <row r="287" customFormat="false" ht="15" hidden="false" customHeight="true" outlineLevel="0" collapsed="false">
      <c r="A287" s="16" t="n">
        <f aca="false">A286+1</f>
        <v>46567</v>
      </c>
      <c r="B287" s="17"/>
      <c r="C287" s="18"/>
      <c r="D287" s="18"/>
      <c r="E287" s="18"/>
      <c r="F287" s="18"/>
      <c r="G287" s="18"/>
      <c r="H287" s="17"/>
      <c r="I287" s="19"/>
      <c r="J287" s="10" t="str">
        <f aca="false">IF(C287="","",C287-TargetKcal)</f>
        <v/>
      </c>
      <c r="K287" s="10" t="str">
        <f aca="false">IF(D287="","",D287-TargetProtein)</f>
        <v/>
      </c>
      <c r="L287" s="10" t="str">
        <f aca="false">IF(E287="","",E287-TargetFat)</f>
        <v/>
      </c>
      <c r="M287" s="10" t="str">
        <f aca="false">IF(F287="","",F287-TargetCarb)</f>
        <v/>
      </c>
      <c r="N287" s="10" t="str">
        <f aca="false">IF(COUNT(C287:F287)&lt;4,"",ROUND(4*D287+9*E287+4*F287-C287,0))</f>
        <v/>
      </c>
      <c r="O287" s="13" t="str">
        <f aca="false">IF(B287="","",IFERROR(AVERAGEIFS(Питание!$B$14:$B$378,Питание!$A$14:$A$378,"&gt;"&amp;$A287-7,Питание!$A$14:$A$378,"&lt;="&amp;$A287,Питание!$B$14:$B$378,"&gt;0"),""))</f>
        <v/>
      </c>
      <c r="P287" s="8" t="str">
        <f aca="false">IF(C287="","",IFERROR(AVERAGEIFS(Питание!$C$14:$C$378,Питание!$A$14:$A$378,"&gt;"&amp;$A287-7,Питание!$A$14:$A$378,"&lt;="&amp;$A287,Питание!$C$14:$C$378,"&gt;0"),""))</f>
        <v/>
      </c>
      <c r="Q287" s="8" t="str">
        <f aca="false">IF(D287="","",IFERROR(AVERAGEIFS(Питание!$D$14:$D$378,Питание!$A$14:$A$378,"&gt;"&amp;$A287-7,Питание!$A$14:$A$378,"&lt;="&amp;$A287,Питание!$D$14:$D$378,"&gt;0"),""))</f>
        <v/>
      </c>
      <c r="R287" s="14" t="str">
        <f aca="false">IF(O287="","",IFERROR(O287-AVERAGEIFS(Питание!$B$14:$B$378,Питание!$A$14:$A$378,"&gt;"&amp;$A287-14,Питание!$A$14:$A$378,"&lt;="&amp;$A287-7,Питание!$B$14:$B$378,"&gt;0"),""))</f>
        <v/>
      </c>
      <c r="S287" s="15" t="str">
        <f aca="false">IF(R287="","",R287/O287)</f>
        <v/>
      </c>
      <c r="T287" s="11" t="str">
        <f aca="false">IF(O287="","",O287-StartWeight)</f>
        <v/>
      </c>
    </row>
    <row r="288" customFormat="false" ht="15" hidden="false" customHeight="true" outlineLevel="0" collapsed="false">
      <c r="A288" s="16" t="n">
        <f aca="false">A287+1</f>
        <v>46568</v>
      </c>
      <c r="B288" s="17"/>
      <c r="C288" s="18"/>
      <c r="D288" s="18"/>
      <c r="E288" s="18"/>
      <c r="F288" s="18"/>
      <c r="G288" s="18"/>
      <c r="H288" s="17"/>
      <c r="I288" s="19"/>
      <c r="J288" s="10" t="str">
        <f aca="false">IF(C288="","",C288-TargetKcal)</f>
        <v/>
      </c>
      <c r="K288" s="10" t="str">
        <f aca="false">IF(D288="","",D288-TargetProtein)</f>
        <v/>
      </c>
      <c r="L288" s="10" t="str">
        <f aca="false">IF(E288="","",E288-TargetFat)</f>
        <v/>
      </c>
      <c r="M288" s="10" t="str">
        <f aca="false">IF(F288="","",F288-TargetCarb)</f>
        <v/>
      </c>
      <c r="N288" s="10" t="str">
        <f aca="false">IF(COUNT(C288:F288)&lt;4,"",ROUND(4*D288+9*E288+4*F288-C288,0))</f>
        <v/>
      </c>
      <c r="O288" s="13" t="str">
        <f aca="false">IF(B288="","",IFERROR(AVERAGEIFS(Питание!$B$14:$B$378,Питание!$A$14:$A$378,"&gt;"&amp;$A288-7,Питание!$A$14:$A$378,"&lt;="&amp;$A288,Питание!$B$14:$B$378,"&gt;0"),""))</f>
        <v/>
      </c>
      <c r="P288" s="8" t="str">
        <f aca="false">IF(C288="","",IFERROR(AVERAGEIFS(Питание!$C$14:$C$378,Питание!$A$14:$A$378,"&gt;"&amp;$A288-7,Питание!$A$14:$A$378,"&lt;="&amp;$A288,Питание!$C$14:$C$378,"&gt;0"),""))</f>
        <v/>
      </c>
      <c r="Q288" s="8" t="str">
        <f aca="false">IF(D288="","",IFERROR(AVERAGEIFS(Питание!$D$14:$D$378,Питание!$A$14:$A$378,"&gt;"&amp;$A288-7,Питание!$A$14:$A$378,"&lt;="&amp;$A288,Питание!$D$14:$D$378,"&gt;0"),""))</f>
        <v/>
      </c>
      <c r="R288" s="14" t="str">
        <f aca="false">IF(O288="","",IFERROR(O288-AVERAGEIFS(Питание!$B$14:$B$378,Питание!$A$14:$A$378,"&gt;"&amp;$A288-14,Питание!$A$14:$A$378,"&lt;="&amp;$A288-7,Питание!$B$14:$B$378,"&gt;0"),""))</f>
        <v/>
      </c>
      <c r="S288" s="15" t="str">
        <f aca="false">IF(R288="","",R288/O288)</f>
        <v/>
      </c>
      <c r="T288" s="11" t="str">
        <f aca="false">IF(O288="","",O288-StartWeight)</f>
        <v/>
      </c>
    </row>
    <row r="289" customFormat="false" ht="15" hidden="false" customHeight="true" outlineLevel="0" collapsed="false">
      <c r="A289" s="16" t="n">
        <f aca="false">A288+1</f>
        <v>46569</v>
      </c>
      <c r="B289" s="17"/>
      <c r="C289" s="18"/>
      <c r="D289" s="18"/>
      <c r="E289" s="18"/>
      <c r="F289" s="18"/>
      <c r="G289" s="18"/>
      <c r="H289" s="17"/>
      <c r="I289" s="19"/>
      <c r="J289" s="10" t="str">
        <f aca="false">IF(C289="","",C289-TargetKcal)</f>
        <v/>
      </c>
      <c r="K289" s="10" t="str">
        <f aca="false">IF(D289="","",D289-TargetProtein)</f>
        <v/>
      </c>
      <c r="L289" s="10" t="str">
        <f aca="false">IF(E289="","",E289-TargetFat)</f>
        <v/>
      </c>
      <c r="M289" s="10" t="str">
        <f aca="false">IF(F289="","",F289-TargetCarb)</f>
        <v/>
      </c>
      <c r="N289" s="10" t="str">
        <f aca="false">IF(COUNT(C289:F289)&lt;4,"",ROUND(4*D289+9*E289+4*F289-C289,0))</f>
        <v/>
      </c>
      <c r="O289" s="13" t="str">
        <f aca="false">IF(B289="","",IFERROR(AVERAGEIFS(Питание!$B$14:$B$378,Питание!$A$14:$A$378,"&gt;"&amp;$A289-7,Питание!$A$14:$A$378,"&lt;="&amp;$A289,Питание!$B$14:$B$378,"&gt;0"),""))</f>
        <v/>
      </c>
      <c r="P289" s="8" t="str">
        <f aca="false">IF(C289="","",IFERROR(AVERAGEIFS(Питание!$C$14:$C$378,Питание!$A$14:$A$378,"&gt;"&amp;$A289-7,Питание!$A$14:$A$378,"&lt;="&amp;$A289,Питание!$C$14:$C$378,"&gt;0"),""))</f>
        <v/>
      </c>
      <c r="Q289" s="8" t="str">
        <f aca="false">IF(D289="","",IFERROR(AVERAGEIFS(Питание!$D$14:$D$378,Питание!$A$14:$A$378,"&gt;"&amp;$A289-7,Питание!$A$14:$A$378,"&lt;="&amp;$A289,Питание!$D$14:$D$378,"&gt;0"),""))</f>
        <v/>
      </c>
      <c r="R289" s="14" t="str">
        <f aca="false">IF(O289="","",IFERROR(O289-AVERAGEIFS(Питание!$B$14:$B$378,Питание!$A$14:$A$378,"&gt;"&amp;$A289-14,Питание!$A$14:$A$378,"&lt;="&amp;$A289-7,Питание!$B$14:$B$378,"&gt;0"),""))</f>
        <v/>
      </c>
      <c r="S289" s="15" t="str">
        <f aca="false">IF(R289="","",R289/O289)</f>
        <v/>
      </c>
      <c r="T289" s="11" t="str">
        <f aca="false">IF(O289="","",O289-StartWeight)</f>
        <v/>
      </c>
    </row>
    <row r="290" customFormat="false" ht="15" hidden="false" customHeight="true" outlineLevel="0" collapsed="false">
      <c r="A290" s="16" t="n">
        <f aca="false">A289+1</f>
        <v>46570</v>
      </c>
      <c r="B290" s="17"/>
      <c r="C290" s="18"/>
      <c r="D290" s="18"/>
      <c r="E290" s="18"/>
      <c r="F290" s="18"/>
      <c r="G290" s="18"/>
      <c r="H290" s="17"/>
      <c r="I290" s="19"/>
      <c r="J290" s="10" t="str">
        <f aca="false">IF(C290="","",C290-TargetKcal)</f>
        <v/>
      </c>
      <c r="K290" s="10" t="str">
        <f aca="false">IF(D290="","",D290-TargetProtein)</f>
        <v/>
      </c>
      <c r="L290" s="10" t="str">
        <f aca="false">IF(E290="","",E290-TargetFat)</f>
        <v/>
      </c>
      <c r="M290" s="10" t="str">
        <f aca="false">IF(F290="","",F290-TargetCarb)</f>
        <v/>
      </c>
      <c r="N290" s="10" t="str">
        <f aca="false">IF(COUNT(C290:F290)&lt;4,"",ROUND(4*D290+9*E290+4*F290-C290,0))</f>
        <v/>
      </c>
      <c r="O290" s="13" t="str">
        <f aca="false">IF(B290="","",IFERROR(AVERAGEIFS(Питание!$B$14:$B$378,Питание!$A$14:$A$378,"&gt;"&amp;$A290-7,Питание!$A$14:$A$378,"&lt;="&amp;$A290,Питание!$B$14:$B$378,"&gt;0"),""))</f>
        <v/>
      </c>
      <c r="P290" s="8" t="str">
        <f aca="false">IF(C290="","",IFERROR(AVERAGEIFS(Питание!$C$14:$C$378,Питание!$A$14:$A$378,"&gt;"&amp;$A290-7,Питание!$A$14:$A$378,"&lt;="&amp;$A290,Питание!$C$14:$C$378,"&gt;0"),""))</f>
        <v/>
      </c>
      <c r="Q290" s="8" t="str">
        <f aca="false">IF(D290="","",IFERROR(AVERAGEIFS(Питание!$D$14:$D$378,Питание!$A$14:$A$378,"&gt;"&amp;$A290-7,Питание!$A$14:$A$378,"&lt;="&amp;$A290,Питание!$D$14:$D$378,"&gt;0"),""))</f>
        <v/>
      </c>
      <c r="R290" s="14" t="str">
        <f aca="false">IF(O290="","",IFERROR(O290-AVERAGEIFS(Питание!$B$14:$B$378,Питание!$A$14:$A$378,"&gt;"&amp;$A290-14,Питание!$A$14:$A$378,"&lt;="&amp;$A290-7,Питание!$B$14:$B$378,"&gt;0"),""))</f>
        <v/>
      </c>
      <c r="S290" s="15" t="str">
        <f aca="false">IF(R290="","",R290/O290)</f>
        <v/>
      </c>
      <c r="T290" s="11" t="str">
        <f aca="false">IF(O290="","",O290-StartWeight)</f>
        <v/>
      </c>
    </row>
    <row r="291" customFormat="false" ht="15" hidden="false" customHeight="true" outlineLevel="0" collapsed="false">
      <c r="A291" s="16" t="n">
        <f aca="false">A290+1</f>
        <v>46571</v>
      </c>
      <c r="B291" s="17"/>
      <c r="C291" s="18"/>
      <c r="D291" s="18"/>
      <c r="E291" s="18"/>
      <c r="F291" s="18"/>
      <c r="G291" s="18"/>
      <c r="H291" s="17"/>
      <c r="I291" s="19"/>
      <c r="J291" s="10" t="str">
        <f aca="false">IF(C291="","",C291-TargetKcal)</f>
        <v/>
      </c>
      <c r="K291" s="10" t="str">
        <f aca="false">IF(D291="","",D291-TargetProtein)</f>
        <v/>
      </c>
      <c r="L291" s="10" t="str">
        <f aca="false">IF(E291="","",E291-TargetFat)</f>
        <v/>
      </c>
      <c r="M291" s="10" t="str">
        <f aca="false">IF(F291="","",F291-TargetCarb)</f>
        <v/>
      </c>
      <c r="N291" s="10" t="str">
        <f aca="false">IF(COUNT(C291:F291)&lt;4,"",ROUND(4*D291+9*E291+4*F291-C291,0))</f>
        <v/>
      </c>
      <c r="O291" s="13" t="str">
        <f aca="false">IF(B291="","",IFERROR(AVERAGEIFS(Питание!$B$14:$B$378,Питание!$A$14:$A$378,"&gt;"&amp;$A291-7,Питание!$A$14:$A$378,"&lt;="&amp;$A291,Питание!$B$14:$B$378,"&gt;0"),""))</f>
        <v/>
      </c>
      <c r="P291" s="8" t="str">
        <f aca="false">IF(C291="","",IFERROR(AVERAGEIFS(Питание!$C$14:$C$378,Питание!$A$14:$A$378,"&gt;"&amp;$A291-7,Питание!$A$14:$A$378,"&lt;="&amp;$A291,Питание!$C$14:$C$378,"&gt;0"),""))</f>
        <v/>
      </c>
      <c r="Q291" s="8" t="str">
        <f aca="false">IF(D291="","",IFERROR(AVERAGEIFS(Питание!$D$14:$D$378,Питание!$A$14:$A$378,"&gt;"&amp;$A291-7,Питание!$A$14:$A$378,"&lt;="&amp;$A291,Питание!$D$14:$D$378,"&gt;0"),""))</f>
        <v/>
      </c>
      <c r="R291" s="14" t="str">
        <f aca="false">IF(O291="","",IFERROR(O291-AVERAGEIFS(Питание!$B$14:$B$378,Питание!$A$14:$A$378,"&gt;"&amp;$A291-14,Питание!$A$14:$A$378,"&lt;="&amp;$A291-7,Питание!$B$14:$B$378,"&gt;0"),""))</f>
        <v/>
      </c>
      <c r="S291" s="15" t="str">
        <f aca="false">IF(R291="","",R291/O291)</f>
        <v/>
      </c>
      <c r="T291" s="11" t="str">
        <f aca="false">IF(O291="","",O291-StartWeight)</f>
        <v/>
      </c>
    </row>
    <row r="292" customFormat="false" ht="15" hidden="false" customHeight="true" outlineLevel="0" collapsed="false">
      <c r="A292" s="16" t="n">
        <f aca="false">A291+1</f>
        <v>46572</v>
      </c>
      <c r="B292" s="17"/>
      <c r="C292" s="18"/>
      <c r="D292" s="18"/>
      <c r="E292" s="18"/>
      <c r="F292" s="18"/>
      <c r="G292" s="18"/>
      <c r="H292" s="17"/>
      <c r="I292" s="19"/>
      <c r="J292" s="10" t="str">
        <f aca="false">IF(C292="","",C292-TargetKcal)</f>
        <v/>
      </c>
      <c r="K292" s="10" t="str">
        <f aca="false">IF(D292="","",D292-TargetProtein)</f>
        <v/>
      </c>
      <c r="L292" s="10" t="str">
        <f aca="false">IF(E292="","",E292-TargetFat)</f>
        <v/>
      </c>
      <c r="M292" s="10" t="str">
        <f aca="false">IF(F292="","",F292-TargetCarb)</f>
        <v/>
      </c>
      <c r="N292" s="10" t="str">
        <f aca="false">IF(COUNT(C292:F292)&lt;4,"",ROUND(4*D292+9*E292+4*F292-C292,0))</f>
        <v/>
      </c>
      <c r="O292" s="13" t="str">
        <f aca="false">IF(B292="","",IFERROR(AVERAGEIFS(Питание!$B$14:$B$378,Питание!$A$14:$A$378,"&gt;"&amp;$A292-7,Питание!$A$14:$A$378,"&lt;="&amp;$A292,Питание!$B$14:$B$378,"&gt;0"),""))</f>
        <v/>
      </c>
      <c r="P292" s="8" t="str">
        <f aca="false">IF(C292="","",IFERROR(AVERAGEIFS(Питание!$C$14:$C$378,Питание!$A$14:$A$378,"&gt;"&amp;$A292-7,Питание!$A$14:$A$378,"&lt;="&amp;$A292,Питание!$C$14:$C$378,"&gt;0"),""))</f>
        <v/>
      </c>
      <c r="Q292" s="8" t="str">
        <f aca="false">IF(D292="","",IFERROR(AVERAGEIFS(Питание!$D$14:$D$378,Питание!$A$14:$A$378,"&gt;"&amp;$A292-7,Питание!$A$14:$A$378,"&lt;="&amp;$A292,Питание!$D$14:$D$378,"&gt;0"),""))</f>
        <v/>
      </c>
      <c r="R292" s="14" t="str">
        <f aca="false">IF(O292="","",IFERROR(O292-AVERAGEIFS(Питание!$B$14:$B$378,Питание!$A$14:$A$378,"&gt;"&amp;$A292-14,Питание!$A$14:$A$378,"&lt;="&amp;$A292-7,Питание!$B$14:$B$378,"&gt;0"),""))</f>
        <v/>
      </c>
      <c r="S292" s="15" t="str">
        <f aca="false">IF(R292="","",R292/O292)</f>
        <v/>
      </c>
      <c r="T292" s="11" t="str">
        <f aca="false">IF(O292="","",O292-StartWeight)</f>
        <v/>
      </c>
    </row>
    <row r="293" customFormat="false" ht="15" hidden="false" customHeight="true" outlineLevel="0" collapsed="false">
      <c r="A293" s="16" t="n">
        <f aca="false">A292+1</f>
        <v>46573</v>
      </c>
      <c r="B293" s="17"/>
      <c r="C293" s="18"/>
      <c r="D293" s="18"/>
      <c r="E293" s="18"/>
      <c r="F293" s="18"/>
      <c r="G293" s="18"/>
      <c r="H293" s="17"/>
      <c r="I293" s="19"/>
      <c r="J293" s="10" t="str">
        <f aca="false">IF(C293="","",C293-TargetKcal)</f>
        <v/>
      </c>
      <c r="K293" s="10" t="str">
        <f aca="false">IF(D293="","",D293-TargetProtein)</f>
        <v/>
      </c>
      <c r="L293" s="10" t="str">
        <f aca="false">IF(E293="","",E293-TargetFat)</f>
        <v/>
      </c>
      <c r="M293" s="10" t="str">
        <f aca="false">IF(F293="","",F293-TargetCarb)</f>
        <v/>
      </c>
      <c r="N293" s="10" t="str">
        <f aca="false">IF(COUNT(C293:F293)&lt;4,"",ROUND(4*D293+9*E293+4*F293-C293,0))</f>
        <v/>
      </c>
      <c r="O293" s="13" t="str">
        <f aca="false">IF(B293="","",IFERROR(AVERAGEIFS(Питание!$B$14:$B$378,Питание!$A$14:$A$378,"&gt;"&amp;$A293-7,Питание!$A$14:$A$378,"&lt;="&amp;$A293,Питание!$B$14:$B$378,"&gt;0"),""))</f>
        <v/>
      </c>
      <c r="P293" s="8" t="str">
        <f aca="false">IF(C293="","",IFERROR(AVERAGEIFS(Питание!$C$14:$C$378,Питание!$A$14:$A$378,"&gt;"&amp;$A293-7,Питание!$A$14:$A$378,"&lt;="&amp;$A293,Питание!$C$14:$C$378,"&gt;0"),""))</f>
        <v/>
      </c>
      <c r="Q293" s="8" t="str">
        <f aca="false">IF(D293="","",IFERROR(AVERAGEIFS(Питание!$D$14:$D$378,Питание!$A$14:$A$378,"&gt;"&amp;$A293-7,Питание!$A$14:$A$378,"&lt;="&amp;$A293,Питание!$D$14:$D$378,"&gt;0"),""))</f>
        <v/>
      </c>
      <c r="R293" s="14" t="str">
        <f aca="false">IF(O293="","",IFERROR(O293-AVERAGEIFS(Питание!$B$14:$B$378,Питание!$A$14:$A$378,"&gt;"&amp;$A293-14,Питание!$A$14:$A$378,"&lt;="&amp;$A293-7,Питание!$B$14:$B$378,"&gt;0"),""))</f>
        <v/>
      </c>
      <c r="S293" s="15" t="str">
        <f aca="false">IF(R293="","",R293/O293)</f>
        <v/>
      </c>
      <c r="T293" s="11" t="str">
        <f aca="false">IF(O293="","",O293-StartWeight)</f>
        <v/>
      </c>
    </row>
    <row r="294" customFormat="false" ht="15" hidden="false" customHeight="true" outlineLevel="0" collapsed="false">
      <c r="A294" s="16" t="n">
        <f aca="false">A293+1</f>
        <v>46574</v>
      </c>
      <c r="B294" s="17"/>
      <c r="C294" s="18"/>
      <c r="D294" s="18"/>
      <c r="E294" s="18"/>
      <c r="F294" s="18"/>
      <c r="G294" s="18"/>
      <c r="H294" s="17"/>
      <c r="I294" s="19"/>
      <c r="J294" s="10" t="str">
        <f aca="false">IF(C294="","",C294-TargetKcal)</f>
        <v/>
      </c>
      <c r="K294" s="10" t="str">
        <f aca="false">IF(D294="","",D294-TargetProtein)</f>
        <v/>
      </c>
      <c r="L294" s="10" t="str">
        <f aca="false">IF(E294="","",E294-TargetFat)</f>
        <v/>
      </c>
      <c r="M294" s="10" t="str">
        <f aca="false">IF(F294="","",F294-TargetCarb)</f>
        <v/>
      </c>
      <c r="N294" s="10" t="str">
        <f aca="false">IF(COUNT(C294:F294)&lt;4,"",ROUND(4*D294+9*E294+4*F294-C294,0))</f>
        <v/>
      </c>
      <c r="O294" s="13" t="str">
        <f aca="false">IF(B294="","",IFERROR(AVERAGEIFS(Питание!$B$14:$B$378,Питание!$A$14:$A$378,"&gt;"&amp;$A294-7,Питание!$A$14:$A$378,"&lt;="&amp;$A294,Питание!$B$14:$B$378,"&gt;0"),""))</f>
        <v/>
      </c>
      <c r="P294" s="8" t="str">
        <f aca="false">IF(C294="","",IFERROR(AVERAGEIFS(Питание!$C$14:$C$378,Питание!$A$14:$A$378,"&gt;"&amp;$A294-7,Питание!$A$14:$A$378,"&lt;="&amp;$A294,Питание!$C$14:$C$378,"&gt;0"),""))</f>
        <v/>
      </c>
      <c r="Q294" s="8" t="str">
        <f aca="false">IF(D294="","",IFERROR(AVERAGEIFS(Питание!$D$14:$D$378,Питание!$A$14:$A$378,"&gt;"&amp;$A294-7,Питание!$A$14:$A$378,"&lt;="&amp;$A294,Питание!$D$14:$D$378,"&gt;0"),""))</f>
        <v/>
      </c>
      <c r="R294" s="14" t="str">
        <f aca="false">IF(O294="","",IFERROR(O294-AVERAGEIFS(Питание!$B$14:$B$378,Питание!$A$14:$A$378,"&gt;"&amp;$A294-14,Питание!$A$14:$A$378,"&lt;="&amp;$A294-7,Питание!$B$14:$B$378,"&gt;0"),""))</f>
        <v/>
      </c>
      <c r="S294" s="15" t="str">
        <f aca="false">IF(R294="","",R294/O294)</f>
        <v/>
      </c>
      <c r="T294" s="11" t="str">
        <f aca="false">IF(O294="","",O294-StartWeight)</f>
        <v/>
      </c>
    </row>
    <row r="295" customFormat="false" ht="15" hidden="false" customHeight="true" outlineLevel="0" collapsed="false">
      <c r="A295" s="16" t="n">
        <f aca="false">A294+1</f>
        <v>46575</v>
      </c>
      <c r="B295" s="17"/>
      <c r="C295" s="18"/>
      <c r="D295" s="18"/>
      <c r="E295" s="18"/>
      <c r="F295" s="18"/>
      <c r="G295" s="18"/>
      <c r="H295" s="17"/>
      <c r="I295" s="19"/>
      <c r="J295" s="10" t="str">
        <f aca="false">IF(C295="","",C295-TargetKcal)</f>
        <v/>
      </c>
      <c r="K295" s="10" t="str">
        <f aca="false">IF(D295="","",D295-TargetProtein)</f>
        <v/>
      </c>
      <c r="L295" s="10" t="str">
        <f aca="false">IF(E295="","",E295-TargetFat)</f>
        <v/>
      </c>
      <c r="M295" s="10" t="str">
        <f aca="false">IF(F295="","",F295-TargetCarb)</f>
        <v/>
      </c>
      <c r="N295" s="10" t="str">
        <f aca="false">IF(COUNT(C295:F295)&lt;4,"",ROUND(4*D295+9*E295+4*F295-C295,0))</f>
        <v/>
      </c>
      <c r="O295" s="13" t="str">
        <f aca="false">IF(B295="","",IFERROR(AVERAGEIFS(Питание!$B$14:$B$378,Питание!$A$14:$A$378,"&gt;"&amp;$A295-7,Питание!$A$14:$A$378,"&lt;="&amp;$A295,Питание!$B$14:$B$378,"&gt;0"),""))</f>
        <v/>
      </c>
      <c r="P295" s="8" t="str">
        <f aca="false">IF(C295="","",IFERROR(AVERAGEIFS(Питание!$C$14:$C$378,Питание!$A$14:$A$378,"&gt;"&amp;$A295-7,Питание!$A$14:$A$378,"&lt;="&amp;$A295,Питание!$C$14:$C$378,"&gt;0"),""))</f>
        <v/>
      </c>
      <c r="Q295" s="8" t="str">
        <f aca="false">IF(D295="","",IFERROR(AVERAGEIFS(Питание!$D$14:$D$378,Питание!$A$14:$A$378,"&gt;"&amp;$A295-7,Питание!$A$14:$A$378,"&lt;="&amp;$A295,Питание!$D$14:$D$378,"&gt;0"),""))</f>
        <v/>
      </c>
      <c r="R295" s="14" t="str">
        <f aca="false">IF(O295="","",IFERROR(O295-AVERAGEIFS(Питание!$B$14:$B$378,Питание!$A$14:$A$378,"&gt;"&amp;$A295-14,Питание!$A$14:$A$378,"&lt;="&amp;$A295-7,Питание!$B$14:$B$378,"&gt;0"),""))</f>
        <v/>
      </c>
      <c r="S295" s="15" t="str">
        <f aca="false">IF(R295="","",R295/O295)</f>
        <v/>
      </c>
      <c r="T295" s="11" t="str">
        <f aca="false">IF(O295="","",O295-StartWeight)</f>
        <v/>
      </c>
    </row>
    <row r="296" customFormat="false" ht="15" hidden="false" customHeight="true" outlineLevel="0" collapsed="false">
      <c r="A296" s="16" t="n">
        <f aca="false">A295+1</f>
        <v>46576</v>
      </c>
      <c r="B296" s="17"/>
      <c r="C296" s="18"/>
      <c r="D296" s="18"/>
      <c r="E296" s="18"/>
      <c r="F296" s="18"/>
      <c r="G296" s="18"/>
      <c r="H296" s="17"/>
      <c r="I296" s="19"/>
      <c r="J296" s="10" t="str">
        <f aca="false">IF(C296="","",C296-TargetKcal)</f>
        <v/>
      </c>
      <c r="K296" s="10" t="str">
        <f aca="false">IF(D296="","",D296-TargetProtein)</f>
        <v/>
      </c>
      <c r="L296" s="10" t="str">
        <f aca="false">IF(E296="","",E296-TargetFat)</f>
        <v/>
      </c>
      <c r="M296" s="10" t="str">
        <f aca="false">IF(F296="","",F296-TargetCarb)</f>
        <v/>
      </c>
      <c r="N296" s="10" t="str">
        <f aca="false">IF(COUNT(C296:F296)&lt;4,"",ROUND(4*D296+9*E296+4*F296-C296,0))</f>
        <v/>
      </c>
      <c r="O296" s="13" t="str">
        <f aca="false">IF(B296="","",IFERROR(AVERAGEIFS(Питание!$B$14:$B$378,Питание!$A$14:$A$378,"&gt;"&amp;$A296-7,Питание!$A$14:$A$378,"&lt;="&amp;$A296,Питание!$B$14:$B$378,"&gt;0"),""))</f>
        <v/>
      </c>
      <c r="P296" s="8" t="str">
        <f aca="false">IF(C296="","",IFERROR(AVERAGEIFS(Питание!$C$14:$C$378,Питание!$A$14:$A$378,"&gt;"&amp;$A296-7,Питание!$A$14:$A$378,"&lt;="&amp;$A296,Питание!$C$14:$C$378,"&gt;0"),""))</f>
        <v/>
      </c>
      <c r="Q296" s="8" t="str">
        <f aca="false">IF(D296="","",IFERROR(AVERAGEIFS(Питание!$D$14:$D$378,Питание!$A$14:$A$378,"&gt;"&amp;$A296-7,Питание!$A$14:$A$378,"&lt;="&amp;$A296,Питание!$D$14:$D$378,"&gt;0"),""))</f>
        <v/>
      </c>
      <c r="R296" s="14" t="str">
        <f aca="false">IF(O296="","",IFERROR(O296-AVERAGEIFS(Питание!$B$14:$B$378,Питание!$A$14:$A$378,"&gt;"&amp;$A296-14,Питание!$A$14:$A$378,"&lt;="&amp;$A296-7,Питание!$B$14:$B$378,"&gt;0"),""))</f>
        <v/>
      </c>
      <c r="S296" s="15" t="str">
        <f aca="false">IF(R296="","",R296/O296)</f>
        <v/>
      </c>
      <c r="T296" s="11" t="str">
        <f aca="false">IF(O296="","",O296-StartWeight)</f>
        <v/>
      </c>
    </row>
    <row r="297" customFormat="false" ht="15" hidden="false" customHeight="true" outlineLevel="0" collapsed="false">
      <c r="A297" s="16" t="n">
        <f aca="false">A296+1</f>
        <v>46577</v>
      </c>
      <c r="B297" s="17"/>
      <c r="C297" s="18"/>
      <c r="D297" s="18"/>
      <c r="E297" s="18"/>
      <c r="F297" s="18"/>
      <c r="G297" s="18"/>
      <c r="H297" s="17"/>
      <c r="I297" s="19"/>
      <c r="J297" s="10" t="str">
        <f aca="false">IF(C297="","",C297-TargetKcal)</f>
        <v/>
      </c>
      <c r="K297" s="10" t="str">
        <f aca="false">IF(D297="","",D297-TargetProtein)</f>
        <v/>
      </c>
      <c r="L297" s="10" t="str">
        <f aca="false">IF(E297="","",E297-TargetFat)</f>
        <v/>
      </c>
      <c r="M297" s="10" t="str">
        <f aca="false">IF(F297="","",F297-TargetCarb)</f>
        <v/>
      </c>
      <c r="N297" s="10" t="str">
        <f aca="false">IF(COUNT(C297:F297)&lt;4,"",ROUND(4*D297+9*E297+4*F297-C297,0))</f>
        <v/>
      </c>
      <c r="O297" s="13" t="str">
        <f aca="false">IF(B297="","",IFERROR(AVERAGEIFS(Питание!$B$14:$B$378,Питание!$A$14:$A$378,"&gt;"&amp;$A297-7,Питание!$A$14:$A$378,"&lt;="&amp;$A297,Питание!$B$14:$B$378,"&gt;0"),""))</f>
        <v/>
      </c>
      <c r="P297" s="8" t="str">
        <f aca="false">IF(C297="","",IFERROR(AVERAGEIFS(Питание!$C$14:$C$378,Питание!$A$14:$A$378,"&gt;"&amp;$A297-7,Питание!$A$14:$A$378,"&lt;="&amp;$A297,Питание!$C$14:$C$378,"&gt;0"),""))</f>
        <v/>
      </c>
      <c r="Q297" s="8" t="str">
        <f aca="false">IF(D297="","",IFERROR(AVERAGEIFS(Питание!$D$14:$D$378,Питание!$A$14:$A$378,"&gt;"&amp;$A297-7,Питание!$A$14:$A$378,"&lt;="&amp;$A297,Питание!$D$14:$D$378,"&gt;0"),""))</f>
        <v/>
      </c>
      <c r="R297" s="14" t="str">
        <f aca="false">IF(O297="","",IFERROR(O297-AVERAGEIFS(Питание!$B$14:$B$378,Питание!$A$14:$A$378,"&gt;"&amp;$A297-14,Питание!$A$14:$A$378,"&lt;="&amp;$A297-7,Питание!$B$14:$B$378,"&gt;0"),""))</f>
        <v/>
      </c>
      <c r="S297" s="15" t="str">
        <f aca="false">IF(R297="","",R297/O297)</f>
        <v/>
      </c>
      <c r="T297" s="11" t="str">
        <f aca="false">IF(O297="","",O297-StartWeight)</f>
        <v/>
      </c>
    </row>
    <row r="298" customFormat="false" ht="15" hidden="false" customHeight="true" outlineLevel="0" collapsed="false">
      <c r="A298" s="16" t="n">
        <f aca="false">A297+1</f>
        <v>46578</v>
      </c>
      <c r="B298" s="17"/>
      <c r="C298" s="18"/>
      <c r="D298" s="18"/>
      <c r="E298" s="18"/>
      <c r="F298" s="18"/>
      <c r="G298" s="18"/>
      <c r="H298" s="17"/>
      <c r="I298" s="19"/>
      <c r="J298" s="10" t="str">
        <f aca="false">IF(C298="","",C298-TargetKcal)</f>
        <v/>
      </c>
      <c r="K298" s="10" t="str">
        <f aca="false">IF(D298="","",D298-TargetProtein)</f>
        <v/>
      </c>
      <c r="L298" s="10" t="str">
        <f aca="false">IF(E298="","",E298-TargetFat)</f>
        <v/>
      </c>
      <c r="M298" s="10" t="str">
        <f aca="false">IF(F298="","",F298-TargetCarb)</f>
        <v/>
      </c>
      <c r="N298" s="10" t="str">
        <f aca="false">IF(COUNT(C298:F298)&lt;4,"",ROUND(4*D298+9*E298+4*F298-C298,0))</f>
        <v/>
      </c>
      <c r="O298" s="13" t="str">
        <f aca="false">IF(B298="","",IFERROR(AVERAGEIFS(Питание!$B$14:$B$378,Питание!$A$14:$A$378,"&gt;"&amp;$A298-7,Питание!$A$14:$A$378,"&lt;="&amp;$A298,Питание!$B$14:$B$378,"&gt;0"),""))</f>
        <v/>
      </c>
      <c r="P298" s="8" t="str">
        <f aca="false">IF(C298="","",IFERROR(AVERAGEIFS(Питание!$C$14:$C$378,Питание!$A$14:$A$378,"&gt;"&amp;$A298-7,Питание!$A$14:$A$378,"&lt;="&amp;$A298,Питание!$C$14:$C$378,"&gt;0"),""))</f>
        <v/>
      </c>
      <c r="Q298" s="8" t="str">
        <f aca="false">IF(D298="","",IFERROR(AVERAGEIFS(Питание!$D$14:$D$378,Питание!$A$14:$A$378,"&gt;"&amp;$A298-7,Питание!$A$14:$A$378,"&lt;="&amp;$A298,Питание!$D$14:$D$378,"&gt;0"),""))</f>
        <v/>
      </c>
      <c r="R298" s="14" t="str">
        <f aca="false">IF(O298="","",IFERROR(O298-AVERAGEIFS(Питание!$B$14:$B$378,Питание!$A$14:$A$378,"&gt;"&amp;$A298-14,Питание!$A$14:$A$378,"&lt;="&amp;$A298-7,Питание!$B$14:$B$378,"&gt;0"),""))</f>
        <v/>
      </c>
      <c r="S298" s="15" t="str">
        <f aca="false">IF(R298="","",R298/O298)</f>
        <v/>
      </c>
      <c r="T298" s="11" t="str">
        <f aca="false">IF(O298="","",O298-StartWeight)</f>
        <v/>
      </c>
    </row>
    <row r="299" customFormat="false" ht="15" hidden="false" customHeight="true" outlineLevel="0" collapsed="false">
      <c r="A299" s="16" t="n">
        <f aca="false">A298+1</f>
        <v>46579</v>
      </c>
      <c r="B299" s="17"/>
      <c r="C299" s="18"/>
      <c r="D299" s="18"/>
      <c r="E299" s="18"/>
      <c r="F299" s="18"/>
      <c r="G299" s="18"/>
      <c r="H299" s="17"/>
      <c r="I299" s="19"/>
      <c r="J299" s="10" t="str">
        <f aca="false">IF(C299="","",C299-TargetKcal)</f>
        <v/>
      </c>
      <c r="K299" s="10" t="str">
        <f aca="false">IF(D299="","",D299-TargetProtein)</f>
        <v/>
      </c>
      <c r="L299" s="10" t="str">
        <f aca="false">IF(E299="","",E299-TargetFat)</f>
        <v/>
      </c>
      <c r="M299" s="10" t="str">
        <f aca="false">IF(F299="","",F299-TargetCarb)</f>
        <v/>
      </c>
      <c r="N299" s="10" t="str">
        <f aca="false">IF(COUNT(C299:F299)&lt;4,"",ROUND(4*D299+9*E299+4*F299-C299,0))</f>
        <v/>
      </c>
      <c r="O299" s="13" t="str">
        <f aca="false">IF(B299="","",IFERROR(AVERAGEIFS(Питание!$B$14:$B$378,Питание!$A$14:$A$378,"&gt;"&amp;$A299-7,Питание!$A$14:$A$378,"&lt;="&amp;$A299,Питание!$B$14:$B$378,"&gt;0"),""))</f>
        <v/>
      </c>
      <c r="P299" s="8" t="str">
        <f aca="false">IF(C299="","",IFERROR(AVERAGEIFS(Питание!$C$14:$C$378,Питание!$A$14:$A$378,"&gt;"&amp;$A299-7,Питание!$A$14:$A$378,"&lt;="&amp;$A299,Питание!$C$14:$C$378,"&gt;0"),""))</f>
        <v/>
      </c>
      <c r="Q299" s="8" t="str">
        <f aca="false">IF(D299="","",IFERROR(AVERAGEIFS(Питание!$D$14:$D$378,Питание!$A$14:$A$378,"&gt;"&amp;$A299-7,Питание!$A$14:$A$378,"&lt;="&amp;$A299,Питание!$D$14:$D$378,"&gt;0"),""))</f>
        <v/>
      </c>
      <c r="R299" s="14" t="str">
        <f aca="false">IF(O299="","",IFERROR(O299-AVERAGEIFS(Питание!$B$14:$B$378,Питание!$A$14:$A$378,"&gt;"&amp;$A299-14,Питание!$A$14:$A$378,"&lt;="&amp;$A299-7,Питание!$B$14:$B$378,"&gt;0"),""))</f>
        <v/>
      </c>
      <c r="S299" s="15" t="str">
        <f aca="false">IF(R299="","",R299/O299)</f>
        <v/>
      </c>
      <c r="T299" s="11" t="str">
        <f aca="false">IF(O299="","",O299-StartWeight)</f>
        <v/>
      </c>
    </row>
    <row r="300" customFormat="false" ht="15" hidden="false" customHeight="true" outlineLevel="0" collapsed="false">
      <c r="A300" s="16" t="n">
        <f aca="false">A299+1</f>
        <v>46580</v>
      </c>
      <c r="B300" s="17"/>
      <c r="C300" s="18"/>
      <c r="D300" s="18"/>
      <c r="E300" s="18"/>
      <c r="F300" s="18"/>
      <c r="G300" s="18"/>
      <c r="H300" s="17"/>
      <c r="I300" s="19"/>
      <c r="J300" s="10" t="str">
        <f aca="false">IF(C300="","",C300-TargetKcal)</f>
        <v/>
      </c>
      <c r="K300" s="10" t="str">
        <f aca="false">IF(D300="","",D300-TargetProtein)</f>
        <v/>
      </c>
      <c r="L300" s="10" t="str">
        <f aca="false">IF(E300="","",E300-TargetFat)</f>
        <v/>
      </c>
      <c r="M300" s="10" t="str">
        <f aca="false">IF(F300="","",F300-TargetCarb)</f>
        <v/>
      </c>
      <c r="N300" s="10" t="str">
        <f aca="false">IF(COUNT(C300:F300)&lt;4,"",ROUND(4*D300+9*E300+4*F300-C300,0))</f>
        <v/>
      </c>
      <c r="O300" s="13" t="str">
        <f aca="false">IF(B300="","",IFERROR(AVERAGEIFS(Питание!$B$14:$B$378,Питание!$A$14:$A$378,"&gt;"&amp;$A300-7,Питание!$A$14:$A$378,"&lt;="&amp;$A300,Питание!$B$14:$B$378,"&gt;0"),""))</f>
        <v/>
      </c>
      <c r="P300" s="8" t="str">
        <f aca="false">IF(C300="","",IFERROR(AVERAGEIFS(Питание!$C$14:$C$378,Питание!$A$14:$A$378,"&gt;"&amp;$A300-7,Питание!$A$14:$A$378,"&lt;="&amp;$A300,Питание!$C$14:$C$378,"&gt;0"),""))</f>
        <v/>
      </c>
      <c r="Q300" s="8" t="str">
        <f aca="false">IF(D300="","",IFERROR(AVERAGEIFS(Питание!$D$14:$D$378,Питание!$A$14:$A$378,"&gt;"&amp;$A300-7,Питание!$A$14:$A$378,"&lt;="&amp;$A300,Питание!$D$14:$D$378,"&gt;0"),""))</f>
        <v/>
      </c>
      <c r="R300" s="14" t="str">
        <f aca="false">IF(O300="","",IFERROR(O300-AVERAGEIFS(Питание!$B$14:$B$378,Питание!$A$14:$A$378,"&gt;"&amp;$A300-14,Питание!$A$14:$A$378,"&lt;="&amp;$A300-7,Питание!$B$14:$B$378,"&gt;0"),""))</f>
        <v/>
      </c>
      <c r="S300" s="15" t="str">
        <f aca="false">IF(R300="","",R300/O300)</f>
        <v/>
      </c>
      <c r="T300" s="11" t="str">
        <f aca="false">IF(O300="","",O300-StartWeight)</f>
        <v/>
      </c>
    </row>
    <row r="301" customFormat="false" ht="15" hidden="false" customHeight="true" outlineLevel="0" collapsed="false">
      <c r="A301" s="16" t="n">
        <f aca="false">A300+1</f>
        <v>46581</v>
      </c>
      <c r="B301" s="17"/>
      <c r="C301" s="18"/>
      <c r="D301" s="18"/>
      <c r="E301" s="18"/>
      <c r="F301" s="18"/>
      <c r="G301" s="18"/>
      <c r="H301" s="17"/>
      <c r="I301" s="19"/>
      <c r="J301" s="10" t="str">
        <f aca="false">IF(C301="","",C301-TargetKcal)</f>
        <v/>
      </c>
      <c r="K301" s="10" t="str">
        <f aca="false">IF(D301="","",D301-TargetProtein)</f>
        <v/>
      </c>
      <c r="L301" s="10" t="str">
        <f aca="false">IF(E301="","",E301-TargetFat)</f>
        <v/>
      </c>
      <c r="M301" s="10" t="str">
        <f aca="false">IF(F301="","",F301-TargetCarb)</f>
        <v/>
      </c>
      <c r="N301" s="10" t="str">
        <f aca="false">IF(COUNT(C301:F301)&lt;4,"",ROUND(4*D301+9*E301+4*F301-C301,0))</f>
        <v/>
      </c>
      <c r="O301" s="13" t="str">
        <f aca="false">IF(B301="","",IFERROR(AVERAGEIFS(Питание!$B$14:$B$378,Питание!$A$14:$A$378,"&gt;"&amp;$A301-7,Питание!$A$14:$A$378,"&lt;="&amp;$A301,Питание!$B$14:$B$378,"&gt;0"),""))</f>
        <v/>
      </c>
      <c r="P301" s="8" t="str">
        <f aca="false">IF(C301="","",IFERROR(AVERAGEIFS(Питание!$C$14:$C$378,Питание!$A$14:$A$378,"&gt;"&amp;$A301-7,Питание!$A$14:$A$378,"&lt;="&amp;$A301,Питание!$C$14:$C$378,"&gt;0"),""))</f>
        <v/>
      </c>
      <c r="Q301" s="8" t="str">
        <f aca="false">IF(D301="","",IFERROR(AVERAGEIFS(Питание!$D$14:$D$378,Питание!$A$14:$A$378,"&gt;"&amp;$A301-7,Питание!$A$14:$A$378,"&lt;="&amp;$A301,Питание!$D$14:$D$378,"&gt;0"),""))</f>
        <v/>
      </c>
      <c r="R301" s="14" t="str">
        <f aca="false">IF(O301="","",IFERROR(O301-AVERAGEIFS(Питание!$B$14:$B$378,Питание!$A$14:$A$378,"&gt;"&amp;$A301-14,Питание!$A$14:$A$378,"&lt;="&amp;$A301-7,Питание!$B$14:$B$378,"&gt;0"),""))</f>
        <v/>
      </c>
      <c r="S301" s="15" t="str">
        <f aca="false">IF(R301="","",R301/O301)</f>
        <v/>
      </c>
      <c r="T301" s="11" t="str">
        <f aca="false">IF(O301="","",O301-StartWeight)</f>
        <v/>
      </c>
    </row>
    <row r="302" customFormat="false" ht="15" hidden="false" customHeight="true" outlineLevel="0" collapsed="false">
      <c r="A302" s="16" t="n">
        <f aca="false">A301+1</f>
        <v>46582</v>
      </c>
      <c r="B302" s="17"/>
      <c r="C302" s="18"/>
      <c r="D302" s="18"/>
      <c r="E302" s="18"/>
      <c r="F302" s="18"/>
      <c r="G302" s="18"/>
      <c r="H302" s="17"/>
      <c r="I302" s="19"/>
      <c r="J302" s="10" t="str">
        <f aca="false">IF(C302="","",C302-TargetKcal)</f>
        <v/>
      </c>
      <c r="K302" s="10" t="str">
        <f aca="false">IF(D302="","",D302-TargetProtein)</f>
        <v/>
      </c>
      <c r="L302" s="10" t="str">
        <f aca="false">IF(E302="","",E302-TargetFat)</f>
        <v/>
      </c>
      <c r="M302" s="10" t="str">
        <f aca="false">IF(F302="","",F302-TargetCarb)</f>
        <v/>
      </c>
      <c r="N302" s="10" t="str">
        <f aca="false">IF(COUNT(C302:F302)&lt;4,"",ROUND(4*D302+9*E302+4*F302-C302,0))</f>
        <v/>
      </c>
      <c r="O302" s="13" t="str">
        <f aca="false">IF(B302="","",IFERROR(AVERAGEIFS(Питание!$B$14:$B$378,Питание!$A$14:$A$378,"&gt;"&amp;$A302-7,Питание!$A$14:$A$378,"&lt;="&amp;$A302,Питание!$B$14:$B$378,"&gt;0"),""))</f>
        <v/>
      </c>
      <c r="P302" s="8" t="str">
        <f aca="false">IF(C302="","",IFERROR(AVERAGEIFS(Питание!$C$14:$C$378,Питание!$A$14:$A$378,"&gt;"&amp;$A302-7,Питание!$A$14:$A$378,"&lt;="&amp;$A302,Питание!$C$14:$C$378,"&gt;0"),""))</f>
        <v/>
      </c>
      <c r="Q302" s="8" t="str">
        <f aca="false">IF(D302="","",IFERROR(AVERAGEIFS(Питание!$D$14:$D$378,Питание!$A$14:$A$378,"&gt;"&amp;$A302-7,Питание!$A$14:$A$378,"&lt;="&amp;$A302,Питание!$D$14:$D$378,"&gt;0"),""))</f>
        <v/>
      </c>
      <c r="R302" s="14" t="str">
        <f aca="false">IF(O302="","",IFERROR(O302-AVERAGEIFS(Питание!$B$14:$B$378,Питание!$A$14:$A$378,"&gt;"&amp;$A302-14,Питание!$A$14:$A$378,"&lt;="&amp;$A302-7,Питание!$B$14:$B$378,"&gt;0"),""))</f>
        <v/>
      </c>
      <c r="S302" s="15" t="str">
        <f aca="false">IF(R302="","",R302/O302)</f>
        <v/>
      </c>
      <c r="T302" s="11" t="str">
        <f aca="false">IF(O302="","",O302-StartWeight)</f>
        <v/>
      </c>
    </row>
    <row r="303" customFormat="false" ht="15" hidden="false" customHeight="true" outlineLevel="0" collapsed="false">
      <c r="A303" s="16" t="n">
        <f aca="false">A302+1</f>
        <v>46583</v>
      </c>
      <c r="B303" s="17"/>
      <c r="C303" s="18"/>
      <c r="D303" s="18"/>
      <c r="E303" s="18"/>
      <c r="F303" s="18"/>
      <c r="G303" s="18"/>
      <c r="H303" s="17"/>
      <c r="I303" s="19"/>
      <c r="J303" s="10" t="str">
        <f aca="false">IF(C303="","",C303-TargetKcal)</f>
        <v/>
      </c>
      <c r="K303" s="10" t="str">
        <f aca="false">IF(D303="","",D303-TargetProtein)</f>
        <v/>
      </c>
      <c r="L303" s="10" t="str">
        <f aca="false">IF(E303="","",E303-TargetFat)</f>
        <v/>
      </c>
      <c r="M303" s="10" t="str">
        <f aca="false">IF(F303="","",F303-TargetCarb)</f>
        <v/>
      </c>
      <c r="N303" s="10" t="str">
        <f aca="false">IF(COUNT(C303:F303)&lt;4,"",ROUND(4*D303+9*E303+4*F303-C303,0))</f>
        <v/>
      </c>
      <c r="O303" s="13" t="str">
        <f aca="false">IF(B303="","",IFERROR(AVERAGEIFS(Питание!$B$14:$B$378,Питание!$A$14:$A$378,"&gt;"&amp;$A303-7,Питание!$A$14:$A$378,"&lt;="&amp;$A303,Питание!$B$14:$B$378,"&gt;0"),""))</f>
        <v/>
      </c>
      <c r="P303" s="8" t="str">
        <f aca="false">IF(C303="","",IFERROR(AVERAGEIFS(Питание!$C$14:$C$378,Питание!$A$14:$A$378,"&gt;"&amp;$A303-7,Питание!$A$14:$A$378,"&lt;="&amp;$A303,Питание!$C$14:$C$378,"&gt;0"),""))</f>
        <v/>
      </c>
      <c r="Q303" s="8" t="str">
        <f aca="false">IF(D303="","",IFERROR(AVERAGEIFS(Питание!$D$14:$D$378,Питание!$A$14:$A$378,"&gt;"&amp;$A303-7,Питание!$A$14:$A$378,"&lt;="&amp;$A303,Питание!$D$14:$D$378,"&gt;0"),""))</f>
        <v/>
      </c>
      <c r="R303" s="14" t="str">
        <f aca="false">IF(O303="","",IFERROR(O303-AVERAGEIFS(Питание!$B$14:$B$378,Питание!$A$14:$A$378,"&gt;"&amp;$A303-14,Питание!$A$14:$A$378,"&lt;="&amp;$A303-7,Питание!$B$14:$B$378,"&gt;0"),""))</f>
        <v/>
      </c>
      <c r="S303" s="15" t="str">
        <f aca="false">IF(R303="","",R303/O303)</f>
        <v/>
      </c>
      <c r="T303" s="11" t="str">
        <f aca="false">IF(O303="","",O303-StartWeight)</f>
        <v/>
      </c>
    </row>
    <row r="304" customFormat="false" ht="15" hidden="false" customHeight="true" outlineLevel="0" collapsed="false">
      <c r="A304" s="16" t="n">
        <f aca="false">A303+1</f>
        <v>46584</v>
      </c>
      <c r="B304" s="17"/>
      <c r="C304" s="18"/>
      <c r="D304" s="18"/>
      <c r="E304" s="18"/>
      <c r="F304" s="18"/>
      <c r="G304" s="18"/>
      <c r="H304" s="17"/>
      <c r="I304" s="19"/>
      <c r="J304" s="10" t="str">
        <f aca="false">IF(C304="","",C304-TargetKcal)</f>
        <v/>
      </c>
      <c r="K304" s="10" t="str">
        <f aca="false">IF(D304="","",D304-TargetProtein)</f>
        <v/>
      </c>
      <c r="L304" s="10" t="str">
        <f aca="false">IF(E304="","",E304-TargetFat)</f>
        <v/>
      </c>
      <c r="M304" s="10" t="str">
        <f aca="false">IF(F304="","",F304-TargetCarb)</f>
        <v/>
      </c>
      <c r="N304" s="10" t="str">
        <f aca="false">IF(COUNT(C304:F304)&lt;4,"",ROUND(4*D304+9*E304+4*F304-C304,0))</f>
        <v/>
      </c>
      <c r="O304" s="13" t="str">
        <f aca="false">IF(B304="","",IFERROR(AVERAGEIFS(Питание!$B$14:$B$378,Питание!$A$14:$A$378,"&gt;"&amp;$A304-7,Питание!$A$14:$A$378,"&lt;="&amp;$A304,Питание!$B$14:$B$378,"&gt;0"),""))</f>
        <v/>
      </c>
      <c r="P304" s="8" t="str">
        <f aca="false">IF(C304="","",IFERROR(AVERAGEIFS(Питание!$C$14:$C$378,Питание!$A$14:$A$378,"&gt;"&amp;$A304-7,Питание!$A$14:$A$378,"&lt;="&amp;$A304,Питание!$C$14:$C$378,"&gt;0"),""))</f>
        <v/>
      </c>
      <c r="Q304" s="8" t="str">
        <f aca="false">IF(D304="","",IFERROR(AVERAGEIFS(Питание!$D$14:$D$378,Питание!$A$14:$A$378,"&gt;"&amp;$A304-7,Питание!$A$14:$A$378,"&lt;="&amp;$A304,Питание!$D$14:$D$378,"&gt;0"),""))</f>
        <v/>
      </c>
      <c r="R304" s="14" t="str">
        <f aca="false">IF(O304="","",IFERROR(O304-AVERAGEIFS(Питание!$B$14:$B$378,Питание!$A$14:$A$378,"&gt;"&amp;$A304-14,Питание!$A$14:$A$378,"&lt;="&amp;$A304-7,Питание!$B$14:$B$378,"&gt;0"),""))</f>
        <v/>
      </c>
      <c r="S304" s="15" t="str">
        <f aca="false">IF(R304="","",R304/O304)</f>
        <v/>
      </c>
      <c r="T304" s="11" t="str">
        <f aca="false">IF(O304="","",O304-StartWeight)</f>
        <v/>
      </c>
    </row>
    <row r="305" customFormat="false" ht="15" hidden="false" customHeight="true" outlineLevel="0" collapsed="false">
      <c r="A305" s="16" t="n">
        <f aca="false">A304+1</f>
        <v>46585</v>
      </c>
      <c r="B305" s="17"/>
      <c r="C305" s="18"/>
      <c r="D305" s="18"/>
      <c r="E305" s="18"/>
      <c r="F305" s="18"/>
      <c r="G305" s="18"/>
      <c r="H305" s="17"/>
      <c r="I305" s="19"/>
      <c r="J305" s="10" t="str">
        <f aca="false">IF(C305="","",C305-TargetKcal)</f>
        <v/>
      </c>
      <c r="K305" s="10" t="str">
        <f aca="false">IF(D305="","",D305-TargetProtein)</f>
        <v/>
      </c>
      <c r="L305" s="10" t="str">
        <f aca="false">IF(E305="","",E305-TargetFat)</f>
        <v/>
      </c>
      <c r="M305" s="10" t="str">
        <f aca="false">IF(F305="","",F305-TargetCarb)</f>
        <v/>
      </c>
      <c r="N305" s="10" t="str">
        <f aca="false">IF(COUNT(C305:F305)&lt;4,"",ROUND(4*D305+9*E305+4*F305-C305,0))</f>
        <v/>
      </c>
      <c r="O305" s="13" t="str">
        <f aca="false">IF(B305="","",IFERROR(AVERAGEIFS(Питание!$B$14:$B$378,Питание!$A$14:$A$378,"&gt;"&amp;$A305-7,Питание!$A$14:$A$378,"&lt;="&amp;$A305,Питание!$B$14:$B$378,"&gt;0"),""))</f>
        <v/>
      </c>
      <c r="P305" s="8" t="str">
        <f aca="false">IF(C305="","",IFERROR(AVERAGEIFS(Питание!$C$14:$C$378,Питание!$A$14:$A$378,"&gt;"&amp;$A305-7,Питание!$A$14:$A$378,"&lt;="&amp;$A305,Питание!$C$14:$C$378,"&gt;0"),""))</f>
        <v/>
      </c>
      <c r="Q305" s="8" t="str">
        <f aca="false">IF(D305="","",IFERROR(AVERAGEIFS(Питание!$D$14:$D$378,Питание!$A$14:$A$378,"&gt;"&amp;$A305-7,Питание!$A$14:$A$378,"&lt;="&amp;$A305,Питание!$D$14:$D$378,"&gt;0"),""))</f>
        <v/>
      </c>
      <c r="R305" s="14" t="str">
        <f aca="false">IF(O305="","",IFERROR(O305-AVERAGEIFS(Питание!$B$14:$B$378,Питание!$A$14:$A$378,"&gt;"&amp;$A305-14,Питание!$A$14:$A$378,"&lt;="&amp;$A305-7,Питание!$B$14:$B$378,"&gt;0"),""))</f>
        <v/>
      </c>
      <c r="S305" s="15" t="str">
        <f aca="false">IF(R305="","",R305/O305)</f>
        <v/>
      </c>
      <c r="T305" s="11" t="str">
        <f aca="false">IF(O305="","",O305-StartWeight)</f>
        <v/>
      </c>
    </row>
    <row r="306" customFormat="false" ht="15" hidden="false" customHeight="true" outlineLevel="0" collapsed="false">
      <c r="A306" s="16" t="n">
        <f aca="false">A305+1</f>
        <v>46586</v>
      </c>
      <c r="B306" s="17"/>
      <c r="C306" s="18"/>
      <c r="D306" s="18"/>
      <c r="E306" s="18"/>
      <c r="F306" s="18"/>
      <c r="G306" s="18"/>
      <c r="H306" s="17"/>
      <c r="I306" s="19"/>
      <c r="J306" s="10" t="str">
        <f aca="false">IF(C306="","",C306-TargetKcal)</f>
        <v/>
      </c>
      <c r="K306" s="10" t="str">
        <f aca="false">IF(D306="","",D306-TargetProtein)</f>
        <v/>
      </c>
      <c r="L306" s="10" t="str">
        <f aca="false">IF(E306="","",E306-TargetFat)</f>
        <v/>
      </c>
      <c r="M306" s="10" t="str">
        <f aca="false">IF(F306="","",F306-TargetCarb)</f>
        <v/>
      </c>
      <c r="N306" s="10" t="str">
        <f aca="false">IF(COUNT(C306:F306)&lt;4,"",ROUND(4*D306+9*E306+4*F306-C306,0))</f>
        <v/>
      </c>
      <c r="O306" s="13" t="str">
        <f aca="false">IF(B306="","",IFERROR(AVERAGEIFS(Питание!$B$14:$B$378,Питание!$A$14:$A$378,"&gt;"&amp;$A306-7,Питание!$A$14:$A$378,"&lt;="&amp;$A306,Питание!$B$14:$B$378,"&gt;0"),""))</f>
        <v/>
      </c>
      <c r="P306" s="8" t="str">
        <f aca="false">IF(C306="","",IFERROR(AVERAGEIFS(Питание!$C$14:$C$378,Питание!$A$14:$A$378,"&gt;"&amp;$A306-7,Питание!$A$14:$A$378,"&lt;="&amp;$A306,Питание!$C$14:$C$378,"&gt;0"),""))</f>
        <v/>
      </c>
      <c r="Q306" s="8" t="str">
        <f aca="false">IF(D306="","",IFERROR(AVERAGEIFS(Питание!$D$14:$D$378,Питание!$A$14:$A$378,"&gt;"&amp;$A306-7,Питание!$A$14:$A$378,"&lt;="&amp;$A306,Питание!$D$14:$D$378,"&gt;0"),""))</f>
        <v/>
      </c>
      <c r="R306" s="14" t="str">
        <f aca="false">IF(O306="","",IFERROR(O306-AVERAGEIFS(Питание!$B$14:$B$378,Питание!$A$14:$A$378,"&gt;"&amp;$A306-14,Питание!$A$14:$A$378,"&lt;="&amp;$A306-7,Питание!$B$14:$B$378,"&gt;0"),""))</f>
        <v/>
      </c>
      <c r="S306" s="15" t="str">
        <f aca="false">IF(R306="","",R306/O306)</f>
        <v/>
      </c>
      <c r="T306" s="11" t="str">
        <f aca="false">IF(O306="","",O306-StartWeight)</f>
        <v/>
      </c>
    </row>
    <row r="307" customFormat="false" ht="15" hidden="false" customHeight="true" outlineLevel="0" collapsed="false">
      <c r="A307" s="16" t="n">
        <f aca="false">A306+1</f>
        <v>46587</v>
      </c>
      <c r="B307" s="17"/>
      <c r="C307" s="18"/>
      <c r="D307" s="18"/>
      <c r="E307" s="18"/>
      <c r="F307" s="18"/>
      <c r="G307" s="18"/>
      <c r="H307" s="17"/>
      <c r="I307" s="19"/>
      <c r="J307" s="10" t="str">
        <f aca="false">IF(C307="","",C307-TargetKcal)</f>
        <v/>
      </c>
      <c r="K307" s="10" t="str">
        <f aca="false">IF(D307="","",D307-TargetProtein)</f>
        <v/>
      </c>
      <c r="L307" s="10" t="str">
        <f aca="false">IF(E307="","",E307-TargetFat)</f>
        <v/>
      </c>
      <c r="M307" s="10" t="str">
        <f aca="false">IF(F307="","",F307-TargetCarb)</f>
        <v/>
      </c>
      <c r="N307" s="10" t="str">
        <f aca="false">IF(COUNT(C307:F307)&lt;4,"",ROUND(4*D307+9*E307+4*F307-C307,0))</f>
        <v/>
      </c>
      <c r="O307" s="13" t="str">
        <f aca="false">IF(B307="","",IFERROR(AVERAGEIFS(Питание!$B$14:$B$378,Питание!$A$14:$A$378,"&gt;"&amp;$A307-7,Питание!$A$14:$A$378,"&lt;="&amp;$A307,Питание!$B$14:$B$378,"&gt;0"),""))</f>
        <v/>
      </c>
      <c r="P307" s="8" t="str">
        <f aca="false">IF(C307="","",IFERROR(AVERAGEIFS(Питание!$C$14:$C$378,Питание!$A$14:$A$378,"&gt;"&amp;$A307-7,Питание!$A$14:$A$378,"&lt;="&amp;$A307,Питание!$C$14:$C$378,"&gt;0"),""))</f>
        <v/>
      </c>
      <c r="Q307" s="8" t="str">
        <f aca="false">IF(D307="","",IFERROR(AVERAGEIFS(Питание!$D$14:$D$378,Питание!$A$14:$A$378,"&gt;"&amp;$A307-7,Питание!$A$14:$A$378,"&lt;="&amp;$A307,Питание!$D$14:$D$378,"&gt;0"),""))</f>
        <v/>
      </c>
      <c r="R307" s="14" t="str">
        <f aca="false">IF(O307="","",IFERROR(O307-AVERAGEIFS(Питание!$B$14:$B$378,Питание!$A$14:$A$378,"&gt;"&amp;$A307-14,Питание!$A$14:$A$378,"&lt;="&amp;$A307-7,Питание!$B$14:$B$378,"&gt;0"),""))</f>
        <v/>
      </c>
      <c r="S307" s="15" t="str">
        <f aca="false">IF(R307="","",R307/O307)</f>
        <v/>
      </c>
      <c r="T307" s="11" t="str">
        <f aca="false">IF(O307="","",O307-StartWeight)</f>
        <v/>
      </c>
    </row>
    <row r="308" customFormat="false" ht="15" hidden="false" customHeight="true" outlineLevel="0" collapsed="false">
      <c r="A308" s="16" t="n">
        <f aca="false">A307+1</f>
        <v>46588</v>
      </c>
      <c r="B308" s="17"/>
      <c r="C308" s="18"/>
      <c r="D308" s="18"/>
      <c r="E308" s="18"/>
      <c r="F308" s="18"/>
      <c r="G308" s="18"/>
      <c r="H308" s="17"/>
      <c r="I308" s="19"/>
      <c r="J308" s="10" t="str">
        <f aca="false">IF(C308="","",C308-TargetKcal)</f>
        <v/>
      </c>
      <c r="K308" s="10" t="str">
        <f aca="false">IF(D308="","",D308-TargetProtein)</f>
        <v/>
      </c>
      <c r="L308" s="10" t="str">
        <f aca="false">IF(E308="","",E308-TargetFat)</f>
        <v/>
      </c>
      <c r="M308" s="10" t="str">
        <f aca="false">IF(F308="","",F308-TargetCarb)</f>
        <v/>
      </c>
      <c r="N308" s="10" t="str">
        <f aca="false">IF(COUNT(C308:F308)&lt;4,"",ROUND(4*D308+9*E308+4*F308-C308,0))</f>
        <v/>
      </c>
      <c r="O308" s="13" t="str">
        <f aca="false">IF(B308="","",IFERROR(AVERAGEIFS(Питание!$B$14:$B$378,Питание!$A$14:$A$378,"&gt;"&amp;$A308-7,Питание!$A$14:$A$378,"&lt;="&amp;$A308,Питание!$B$14:$B$378,"&gt;0"),""))</f>
        <v/>
      </c>
      <c r="P308" s="8" t="str">
        <f aca="false">IF(C308="","",IFERROR(AVERAGEIFS(Питание!$C$14:$C$378,Питание!$A$14:$A$378,"&gt;"&amp;$A308-7,Питание!$A$14:$A$378,"&lt;="&amp;$A308,Питание!$C$14:$C$378,"&gt;0"),""))</f>
        <v/>
      </c>
      <c r="Q308" s="8" t="str">
        <f aca="false">IF(D308="","",IFERROR(AVERAGEIFS(Питание!$D$14:$D$378,Питание!$A$14:$A$378,"&gt;"&amp;$A308-7,Питание!$A$14:$A$378,"&lt;="&amp;$A308,Питание!$D$14:$D$378,"&gt;0"),""))</f>
        <v/>
      </c>
      <c r="R308" s="14" t="str">
        <f aca="false">IF(O308="","",IFERROR(O308-AVERAGEIFS(Питание!$B$14:$B$378,Питание!$A$14:$A$378,"&gt;"&amp;$A308-14,Питание!$A$14:$A$378,"&lt;="&amp;$A308-7,Питание!$B$14:$B$378,"&gt;0"),""))</f>
        <v/>
      </c>
      <c r="S308" s="15" t="str">
        <f aca="false">IF(R308="","",R308/O308)</f>
        <v/>
      </c>
      <c r="T308" s="11" t="str">
        <f aca="false">IF(O308="","",O308-StartWeight)</f>
        <v/>
      </c>
    </row>
    <row r="309" customFormat="false" ht="15" hidden="false" customHeight="true" outlineLevel="0" collapsed="false">
      <c r="A309" s="16" t="n">
        <f aca="false">A308+1</f>
        <v>46589</v>
      </c>
      <c r="B309" s="17"/>
      <c r="C309" s="18"/>
      <c r="D309" s="18"/>
      <c r="E309" s="18"/>
      <c r="F309" s="18"/>
      <c r="G309" s="18"/>
      <c r="H309" s="17"/>
      <c r="I309" s="19"/>
      <c r="J309" s="10" t="str">
        <f aca="false">IF(C309="","",C309-TargetKcal)</f>
        <v/>
      </c>
      <c r="K309" s="10" t="str">
        <f aca="false">IF(D309="","",D309-TargetProtein)</f>
        <v/>
      </c>
      <c r="L309" s="10" t="str">
        <f aca="false">IF(E309="","",E309-TargetFat)</f>
        <v/>
      </c>
      <c r="M309" s="10" t="str">
        <f aca="false">IF(F309="","",F309-TargetCarb)</f>
        <v/>
      </c>
      <c r="N309" s="10" t="str">
        <f aca="false">IF(COUNT(C309:F309)&lt;4,"",ROUND(4*D309+9*E309+4*F309-C309,0))</f>
        <v/>
      </c>
      <c r="O309" s="13" t="str">
        <f aca="false">IF(B309="","",IFERROR(AVERAGEIFS(Питание!$B$14:$B$378,Питание!$A$14:$A$378,"&gt;"&amp;$A309-7,Питание!$A$14:$A$378,"&lt;="&amp;$A309,Питание!$B$14:$B$378,"&gt;0"),""))</f>
        <v/>
      </c>
      <c r="P309" s="8" t="str">
        <f aca="false">IF(C309="","",IFERROR(AVERAGEIFS(Питание!$C$14:$C$378,Питание!$A$14:$A$378,"&gt;"&amp;$A309-7,Питание!$A$14:$A$378,"&lt;="&amp;$A309,Питание!$C$14:$C$378,"&gt;0"),""))</f>
        <v/>
      </c>
      <c r="Q309" s="8" t="str">
        <f aca="false">IF(D309="","",IFERROR(AVERAGEIFS(Питание!$D$14:$D$378,Питание!$A$14:$A$378,"&gt;"&amp;$A309-7,Питание!$A$14:$A$378,"&lt;="&amp;$A309,Питание!$D$14:$D$378,"&gt;0"),""))</f>
        <v/>
      </c>
      <c r="R309" s="14" t="str">
        <f aca="false">IF(O309="","",IFERROR(O309-AVERAGEIFS(Питание!$B$14:$B$378,Питание!$A$14:$A$378,"&gt;"&amp;$A309-14,Питание!$A$14:$A$378,"&lt;="&amp;$A309-7,Питание!$B$14:$B$378,"&gt;0"),""))</f>
        <v/>
      </c>
      <c r="S309" s="15" t="str">
        <f aca="false">IF(R309="","",R309/O309)</f>
        <v/>
      </c>
      <c r="T309" s="11" t="str">
        <f aca="false">IF(O309="","",O309-StartWeight)</f>
        <v/>
      </c>
    </row>
    <row r="310" customFormat="false" ht="15" hidden="false" customHeight="true" outlineLevel="0" collapsed="false">
      <c r="A310" s="16" t="n">
        <f aca="false">A309+1</f>
        <v>46590</v>
      </c>
      <c r="B310" s="17"/>
      <c r="C310" s="18"/>
      <c r="D310" s="18"/>
      <c r="E310" s="18"/>
      <c r="F310" s="18"/>
      <c r="G310" s="18"/>
      <c r="H310" s="17"/>
      <c r="I310" s="19"/>
      <c r="J310" s="10" t="str">
        <f aca="false">IF(C310="","",C310-TargetKcal)</f>
        <v/>
      </c>
      <c r="K310" s="10" t="str">
        <f aca="false">IF(D310="","",D310-TargetProtein)</f>
        <v/>
      </c>
      <c r="L310" s="10" t="str">
        <f aca="false">IF(E310="","",E310-TargetFat)</f>
        <v/>
      </c>
      <c r="M310" s="10" t="str">
        <f aca="false">IF(F310="","",F310-TargetCarb)</f>
        <v/>
      </c>
      <c r="N310" s="10" t="str">
        <f aca="false">IF(COUNT(C310:F310)&lt;4,"",ROUND(4*D310+9*E310+4*F310-C310,0))</f>
        <v/>
      </c>
      <c r="O310" s="13" t="str">
        <f aca="false">IF(B310="","",IFERROR(AVERAGEIFS(Питание!$B$14:$B$378,Питание!$A$14:$A$378,"&gt;"&amp;$A310-7,Питание!$A$14:$A$378,"&lt;="&amp;$A310,Питание!$B$14:$B$378,"&gt;0"),""))</f>
        <v/>
      </c>
      <c r="P310" s="8" t="str">
        <f aca="false">IF(C310="","",IFERROR(AVERAGEIFS(Питание!$C$14:$C$378,Питание!$A$14:$A$378,"&gt;"&amp;$A310-7,Питание!$A$14:$A$378,"&lt;="&amp;$A310,Питание!$C$14:$C$378,"&gt;0"),""))</f>
        <v/>
      </c>
      <c r="Q310" s="8" t="str">
        <f aca="false">IF(D310="","",IFERROR(AVERAGEIFS(Питание!$D$14:$D$378,Питание!$A$14:$A$378,"&gt;"&amp;$A310-7,Питание!$A$14:$A$378,"&lt;="&amp;$A310,Питание!$D$14:$D$378,"&gt;0"),""))</f>
        <v/>
      </c>
      <c r="R310" s="14" t="str">
        <f aca="false">IF(O310="","",IFERROR(O310-AVERAGEIFS(Питание!$B$14:$B$378,Питание!$A$14:$A$378,"&gt;"&amp;$A310-14,Питание!$A$14:$A$378,"&lt;="&amp;$A310-7,Питание!$B$14:$B$378,"&gt;0"),""))</f>
        <v/>
      </c>
      <c r="S310" s="15" t="str">
        <f aca="false">IF(R310="","",R310/O310)</f>
        <v/>
      </c>
      <c r="T310" s="11" t="str">
        <f aca="false">IF(O310="","",O310-StartWeight)</f>
        <v/>
      </c>
    </row>
    <row r="311" customFormat="false" ht="15" hidden="false" customHeight="true" outlineLevel="0" collapsed="false">
      <c r="A311" s="16" t="n">
        <f aca="false">A310+1</f>
        <v>46591</v>
      </c>
      <c r="B311" s="17"/>
      <c r="C311" s="18"/>
      <c r="D311" s="18"/>
      <c r="E311" s="18"/>
      <c r="F311" s="18"/>
      <c r="G311" s="18"/>
      <c r="H311" s="17"/>
      <c r="I311" s="19"/>
      <c r="J311" s="10" t="str">
        <f aca="false">IF(C311="","",C311-TargetKcal)</f>
        <v/>
      </c>
      <c r="K311" s="10" t="str">
        <f aca="false">IF(D311="","",D311-TargetProtein)</f>
        <v/>
      </c>
      <c r="L311" s="10" t="str">
        <f aca="false">IF(E311="","",E311-TargetFat)</f>
        <v/>
      </c>
      <c r="M311" s="10" t="str">
        <f aca="false">IF(F311="","",F311-TargetCarb)</f>
        <v/>
      </c>
      <c r="N311" s="10" t="str">
        <f aca="false">IF(COUNT(C311:F311)&lt;4,"",ROUND(4*D311+9*E311+4*F311-C311,0))</f>
        <v/>
      </c>
      <c r="O311" s="13" t="str">
        <f aca="false">IF(B311="","",IFERROR(AVERAGEIFS(Питание!$B$14:$B$378,Питание!$A$14:$A$378,"&gt;"&amp;$A311-7,Питание!$A$14:$A$378,"&lt;="&amp;$A311,Питание!$B$14:$B$378,"&gt;0"),""))</f>
        <v/>
      </c>
      <c r="P311" s="8" t="str">
        <f aca="false">IF(C311="","",IFERROR(AVERAGEIFS(Питание!$C$14:$C$378,Питание!$A$14:$A$378,"&gt;"&amp;$A311-7,Питание!$A$14:$A$378,"&lt;="&amp;$A311,Питание!$C$14:$C$378,"&gt;0"),""))</f>
        <v/>
      </c>
      <c r="Q311" s="8" t="str">
        <f aca="false">IF(D311="","",IFERROR(AVERAGEIFS(Питание!$D$14:$D$378,Питание!$A$14:$A$378,"&gt;"&amp;$A311-7,Питание!$A$14:$A$378,"&lt;="&amp;$A311,Питание!$D$14:$D$378,"&gt;0"),""))</f>
        <v/>
      </c>
      <c r="R311" s="14" t="str">
        <f aca="false">IF(O311="","",IFERROR(O311-AVERAGEIFS(Питание!$B$14:$B$378,Питание!$A$14:$A$378,"&gt;"&amp;$A311-14,Питание!$A$14:$A$378,"&lt;="&amp;$A311-7,Питание!$B$14:$B$378,"&gt;0"),""))</f>
        <v/>
      </c>
      <c r="S311" s="15" t="str">
        <f aca="false">IF(R311="","",R311/O311)</f>
        <v/>
      </c>
      <c r="T311" s="11" t="str">
        <f aca="false">IF(O311="","",O311-StartWeight)</f>
        <v/>
      </c>
    </row>
    <row r="312" customFormat="false" ht="15" hidden="false" customHeight="true" outlineLevel="0" collapsed="false">
      <c r="A312" s="16" t="n">
        <f aca="false">A311+1</f>
        <v>46592</v>
      </c>
      <c r="B312" s="17"/>
      <c r="C312" s="18"/>
      <c r="D312" s="18"/>
      <c r="E312" s="18"/>
      <c r="F312" s="18"/>
      <c r="G312" s="18"/>
      <c r="H312" s="17"/>
      <c r="I312" s="19"/>
      <c r="J312" s="10" t="str">
        <f aca="false">IF(C312="","",C312-TargetKcal)</f>
        <v/>
      </c>
      <c r="K312" s="10" t="str">
        <f aca="false">IF(D312="","",D312-TargetProtein)</f>
        <v/>
      </c>
      <c r="L312" s="10" t="str">
        <f aca="false">IF(E312="","",E312-TargetFat)</f>
        <v/>
      </c>
      <c r="M312" s="10" t="str">
        <f aca="false">IF(F312="","",F312-TargetCarb)</f>
        <v/>
      </c>
      <c r="N312" s="10" t="str">
        <f aca="false">IF(COUNT(C312:F312)&lt;4,"",ROUND(4*D312+9*E312+4*F312-C312,0))</f>
        <v/>
      </c>
      <c r="O312" s="13" t="str">
        <f aca="false">IF(B312="","",IFERROR(AVERAGEIFS(Питание!$B$14:$B$378,Питание!$A$14:$A$378,"&gt;"&amp;$A312-7,Питание!$A$14:$A$378,"&lt;="&amp;$A312,Питание!$B$14:$B$378,"&gt;0"),""))</f>
        <v/>
      </c>
      <c r="P312" s="8" t="str">
        <f aca="false">IF(C312="","",IFERROR(AVERAGEIFS(Питание!$C$14:$C$378,Питание!$A$14:$A$378,"&gt;"&amp;$A312-7,Питание!$A$14:$A$378,"&lt;="&amp;$A312,Питание!$C$14:$C$378,"&gt;0"),""))</f>
        <v/>
      </c>
      <c r="Q312" s="8" t="str">
        <f aca="false">IF(D312="","",IFERROR(AVERAGEIFS(Питание!$D$14:$D$378,Питание!$A$14:$A$378,"&gt;"&amp;$A312-7,Питание!$A$14:$A$378,"&lt;="&amp;$A312,Питание!$D$14:$D$378,"&gt;0"),""))</f>
        <v/>
      </c>
      <c r="R312" s="14" t="str">
        <f aca="false">IF(O312="","",IFERROR(O312-AVERAGEIFS(Питание!$B$14:$B$378,Питание!$A$14:$A$378,"&gt;"&amp;$A312-14,Питание!$A$14:$A$378,"&lt;="&amp;$A312-7,Питание!$B$14:$B$378,"&gt;0"),""))</f>
        <v/>
      </c>
      <c r="S312" s="15" t="str">
        <f aca="false">IF(R312="","",R312/O312)</f>
        <v/>
      </c>
      <c r="T312" s="11" t="str">
        <f aca="false">IF(O312="","",O312-StartWeight)</f>
        <v/>
      </c>
    </row>
    <row r="313" customFormat="false" ht="15" hidden="false" customHeight="true" outlineLevel="0" collapsed="false">
      <c r="A313" s="16" t="n">
        <f aca="false">A312+1</f>
        <v>46593</v>
      </c>
      <c r="B313" s="17"/>
      <c r="C313" s="18"/>
      <c r="D313" s="18"/>
      <c r="E313" s="18"/>
      <c r="F313" s="18"/>
      <c r="G313" s="18"/>
      <c r="H313" s="17"/>
      <c r="I313" s="19"/>
      <c r="J313" s="10" t="str">
        <f aca="false">IF(C313="","",C313-TargetKcal)</f>
        <v/>
      </c>
      <c r="K313" s="10" t="str">
        <f aca="false">IF(D313="","",D313-TargetProtein)</f>
        <v/>
      </c>
      <c r="L313" s="10" t="str">
        <f aca="false">IF(E313="","",E313-TargetFat)</f>
        <v/>
      </c>
      <c r="M313" s="10" t="str">
        <f aca="false">IF(F313="","",F313-TargetCarb)</f>
        <v/>
      </c>
      <c r="N313" s="10" t="str">
        <f aca="false">IF(COUNT(C313:F313)&lt;4,"",ROUND(4*D313+9*E313+4*F313-C313,0))</f>
        <v/>
      </c>
      <c r="O313" s="13" t="str">
        <f aca="false">IF(B313="","",IFERROR(AVERAGEIFS(Питание!$B$14:$B$378,Питание!$A$14:$A$378,"&gt;"&amp;$A313-7,Питание!$A$14:$A$378,"&lt;="&amp;$A313,Питание!$B$14:$B$378,"&gt;0"),""))</f>
        <v/>
      </c>
      <c r="P313" s="8" t="str">
        <f aca="false">IF(C313="","",IFERROR(AVERAGEIFS(Питание!$C$14:$C$378,Питание!$A$14:$A$378,"&gt;"&amp;$A313-7,Питание!$A$14:$A$378,"&lt;="&amp;$A313,Питание!$C$14:$C$378,"&gt;0"),""))</f>
        <v/>
      </c>
      <c r="Q313" s="8" t="str">
        <f aca="false">IF(D313="","",IFERROR(AVERAGEIFS(Питание!$D$14:$D$378,Питание!$A$14:$A$378,"&gt;"&amp;$A313-7,Питание!$A$14:$A$378,"&lt;="&amp;$A313,Питание!$D$14:$D$378,"&gt;0"),""))</f>
        <v/>
      </c>
      <c r="R313" s="14" t="str">
        <f aca="false">IF(O313="","",IFERROR(O313-AVERAGEIFS(Питание!$B$14:$B$378,Питание!$A$14:$A$378,"&gt;"&amp;$A313-14,Питание!$A$14:$A$378,"&lt;="&amp;$A313-7,Питание!$B$14:$B$378,"&gt;0"),""))</f>
        <v/>
      </c>
      <c r="S313" s="15" t="str">
        <f aca="false">IF(R313="","",R313/O313)</f>
        <v/>
      </c>
      <c r="T313" s="11" t="str">
        <f aca="false">IF(O313="","",O313-StartWeight)</f>
        <v/>
      </c>
    </row>
    <row r="314" customFormat="false" ht="15" hidden="false" customHeight="true" outlineLevel="0" collapsed="false">
      <c r="A314" s="16" t="n">
        <f aca="false">A313+1</f>
        <v>46594</v>
      </c>
      <c r="B314" s="17"/>
      <c r="C314" s="18"/>
      <c r="D314" s="18"/>
      <c r="E314" s="18"/>
      <c r="F314" s="18"/>
      <c r="G314" s="18"/>
      <c r="H314" s="17"/>
      <c r="I314" s="19"/>
      <c r="J314" s="10" t="str">
        <f aca="false">IF(C314="","",C314-TargetKcal)</f>
        <v/>
      </c>
      <c r="K314" s="10" t="str">
        <f aca="false">IF(D314="","",D314-TargetProtein)</f>
        <v/>
      </c>
      <c r="L314" s="10" t="str">
        <f aca="false">IF(E314="","",E314-TargetFat)</f>
        <v/>
      </c>
      <c r="M314" s="10" t="str">
        <f aca="false">IF(F314="","",F314-TargetCarb)</f>
        <v/>
      </c>
      <c r="N314" s="10" t="str">
        <f aca="false">IF(COUNT(C314:F314)&lt;4,"",ROUND(4*D314+9*E314+4*F314-C314,0))</f>
        <v/>
      </c>
      <c r="O314" s="13" t="str">
        <f aca="false">IF(B314="","",IFERROR(AVERAGEIFS(Питание!$B$14:$B$378,Питание!$A$14:$A$378,"&gt;"&amp;$A314-7,Питание!$A$14:$A$378,"&lt;="&amp;$A314,Питание!$B$14:$B$378,"&gt;0"),""))</f>
        <v/>
      </c>
      <c r="P314" s="8" t="str">
        <f aca="false">IF(C314="","",IFERROR(AVERAGEIFS(Питание!$C$14:$C$378,Питание!$A$14:$A$378,"&gt;"&amp;$A314-7,Питание!$A$14:$A$378,"&lt;="&amp;$A314,Питание!$C$14:$C$378,"&gt;0"),""))</f>
        <v/>
      </c>
      <c r="Q314" s="8" t="str">
        <f aca="false">IF(D314="","",IFERROR(AVERAGEIFS(Питание!$D$14:$D$378,Питание!$A$14:$A$378,"&gt;"&amp;$A314-7,Питание!$A$14:$A$378,"&lt;="&amp;$A314,Питание!$D$14:$D$378,"&gt;0"),""))</f>
        <v/>
      </c>
      <c r="R314" s="14" t="str">
        <f aca="false">IF(O314="","",IFERROR(O314-AVERAGEIFS(Питание!$B$14:$B$378,Питание!$A$14:$A$378,"&gt;"&amp;$A314-14,Питание!$A$14:$A$378,"&lt;="&amp;$A314-7,Питание!$B$14:$B$378,"&gt;0"),""))</f>
        <v/>
      </c>
      <c r="S314" s="15" t="str">
        <f aca="false">IF(R314="","",R314/O314)</f>
        <v/>
      </c>
      <c r="T314" s="11" t="str">
        <f aca="false">IF(O314="","",O314-StartWeight)</f>
        <v/>
      </c>
    </row>
    <row r="315" customFormat="false" ht="15" hidden="false" customHeight="true" outlineLevel="0" collapsed="false">
      <c r="A315" s="16" t="n">
        <f aca="false">A314+1</f>
        <v>46595</v>
      </c>
      <c r="B315" s="17"/>
      <c r="C315" s="18"/>
      <c r="D315" s="18"/>
      <c r="E315" s="18"/>
      <c r="F315" s="18"/>
      <c r="G315" s="18"/>
      <c r="H315" s="17"/>
      <c r="I315" s="19"/>
      <c r="J315" s="10" t="str">
        <f aca="false">IF(C315="","",C315-TargetKcal)</f>
        <v/>
      </c>
      <c r="K315" s="10" t="str">
        <f aca="false">IF(D315="","",D315-TargetProtein)</f>
        <v/>
      </c>
      <c r="L315" s="10" t="str">
        <f aca="false">IF(E315="","",E315-TargetFat)</f>
        <v/>
      </c>
      <c r="M315" s="10" t="str">
        <f aca="false">IF(F315="","",F315-TargetCarb)</f>
        <v/>
      </c>
      <c r="N315" s="10" t="str">
        <f aca="false">IF(COUNT(C315:F315)&lt;4,"",ROUND(4*D315+9*E315+4*F315-C315,0))</f>
        <v/>
      </c>
      <c r="O315" s="13" t="str">
        <f aca="false">IF(B315="","",IFERROR(AVERAGEIFS(Питание!$B$14:$B$378,Питание!$A$14:$A$378,"&gt;"&amp;$A315-7,Питание!$A$14:$A$378,"&lt;="&amp;$A315,Питание!$B$14:$B$378,"&gt;0"),""))</f>
        <v/>
      </c>
      <c r="P315" s="8" t="str">
        <f aca="false">IF(C315="","",IFERROR(AVERAGEIFS(Питание!$C$14:$C$378,Питание!$A$14:$A$378,"&gt;"&amp;$A315-7,Питание!$A$14:$A$378,"&lt;="&amp;$A315,Питание!$C$14:$C$378,"&gt;0"),""))</f>
        <v/>
      </c>
      <c r="Q315" s="8" t="str">
        <f aca="false">IF(D315="","",IFERROR(AVERAGEIFS(Питание!$D$14:$D$378,Питание!$A$14:$A$378,"&gt;"&amp;$A315-7,Питание!$A$14:$A$378,"&lt;="&amp;$A315,Питание!$D$14:$D$378,"&gt;0"),""))</f>
        <v/>
      </c>
      <c r="R315" s="14" t="str">
        <f aca="false">IF(O315="","",IFERROR(O315-AVERAGEIFS(Питание!$B$14:$B$378,Питание!$A$14:$A$378,"&gt;"&amp;$A315-14,Питание!$A$14:$A$378,"&lt;="&amp;$A315-7,Питание!$B$14:$B$378,"&gt;0"),""))</f>
        <v/>
      </c>
      <c r="S315" s="15" t="str">
        <f aca="false">IF(R315="","",R315/O315)</f>
        <v/>
      </c>
      <c r="T315" s="11" t="str">
        <f aca="false">IF(O315="","",O315-StartWeight)</f>
        <v/>
      </c>
    </row>
    <row r="316" customFormat="false" ht="15" hidden="false" customHeight="true" outlineLevel="0" collapsed="false">
      <c r="A316" s="16" t="n">
        <f aca="false">A315+1</f>
        <v>46596</v>
      </c>
      <c r="B316" s="17"/>
      <c r="C316" s="18"/>
      <c r="D316" s="18"/>
      <c r="E316" s="18"/>
      <c r="F316" s="18"/>
      <c r="G316" s="18"/>
      <c r="H316" s="17"/>
      <c r="I316" s="19"/>
      <c r="J316" s="10" t="str">
        <f aca="false">IF(C316="","",C316-TargetKcal)</f>
        <v/>
      </c>
      <c r="K316" s="10" t="str">
        <f aca="false">IF(D316="","",D316-TargetProtein)</f>
        <v/>
      </c>
      <c r="L316" s="10" t="str">
        <f aca="false">IF(E316="","",E316-TargetFat)</f>
        <v/>
      </c>
      <c r="M316" s="10" t="str">
        <f aca="false">IF(F316="","",F316-TargetCarb)</f>
        <v/>
      </c>
      <c r="N316" s="10" t="str">
        <f aca="false">IF(COUNT(C316:F316)&lt;4,"",ROUND(4*D316+9*E316+4*F316-C316,0))</f>
        <v/>
      </c>
      <c r="O316" s="13" t="str">
        <f aca="false">IF(B316="","",IFERROR(AVERAGEIFS(Питание!$B$14:$B$378,Питание!$A$14:$A$378,"&gt;"&amp;$A316-7,Питание!$A$14:$A$378,"&lt;="&amp;$A316,Питание!$B$14:$B$378,"&gt;0"),""))</f>
        <v/>
      </c>
      <c r="P316" s="8" t="str">
        <f aca="false">IF(C316="","",IFERROR(AVERAGEIFS(Питание!$C$14:$C$378,Питание!$A$14:$A$378,"&gt;"&amp;$A316-7,Питание!$A$14:$A$378,"&lt;="&amp;$A316,Питание!$C$14:$C$378,"&gt;0"),""))</f>
        <v/>
      </c>
      <c r="Q316" s="8" t="str">
        <f aca="false">IF(D316="","",IFERROR(AVERAGEIFS(Питание!$D$14:$D$378,Питание!$A$14:$A$378,"&gt;"&amp;$A316-7,Питание!$A$14:$A$378,"&lt;="&amp;$A316,Питание!$D$14:$D$378,"&gt;0"),""))</f>
        <v/>
      </c>
      <c r="R316" s="14" t="str">
        <f aca="false">IF(O316="","",IFERROR(O316-AVERAGEIFS(Питание!$B$14:$B$378,Питание!$A$14:$A$378,"&gt;"&amp;$A316-14,Питание!$A$14:$A$378,"&lt;="&amp;$A316-7,Питание!$B$14:$B$378,"&gt;0"),""))</f>
        <v/>
      </c>
      <c r="S316" s="15" t="str">
        <f aca="false">IF(R316="","",R316/O316)</f>
        <v/>
      </c>
      <c r="T316" s="11" t="str">
        <f aca="false">IF(O316="","",O316-StartWeight)</f>
        <v/>
      </c>
    </row>
    <row r="317" customFormat="false" ht="15" hidden="false" customHeight="true" outlineLevel="0" collapsed="false">
      <c r="A317" s="16" t="n">
        <f aca="false">A316+1</f>
        <v>46597</v>
      </c>
      <c r="B317" s="17"/>
      <c r="C317" s="18"/>
      <c r="D317" s="18"/>
      <c r="E317" s="18"/>
      <c r="F317" s="18"/>
      <c r="G317" s="18"/>
      <c r="H317" s="17"/>
      <c r="I317" s="19"/>
      <c r="J317" s="10" t="str">
        <f aca="false">IF(C317="","",C317-TargetKcal)</f>
        <v/>
      </c>
      <c r="K317" s="10" t="str">
        <f aca="false">IF(D317="","",D317-TargetProtein)</f>
        <v/>
      </c>
      <c r="L317" s="10" t="str">
        <f aca="false">IF(E317="","",E317-TargetFat)</f>
        <v/>
      </c>
      <c r="M317" s="10" t="str">
        <f aca="false">IF(F317="","",F317-TargetCarb)</f>
        <v/>
      </c>
      <c r="N317" s="10" t="str">
        <f aca="false">IF(COUNT(C317:F317)&lt;4,"",ROUND(4*D317+9*E317+4*F317-C317,0))</f>
        <v/>
      </c>
      <c r="O317" s="13" t="str">
        <f aca="false">IF(B317="","",IFERROR(AVERAGEIFS(Питание!$B$14:$B$378,Питание!$A$14:$A$378,"&gt;"&amp;$A317-7,Питание!$A$14:$A$378,"&lt;="&amp;$A317,Питание!$B$14:$B$378,"&gt;0"),""))</f>
        <v/>
      </c>
      <c r="P317" s="8" t="str">
        <f aca="false">IF(C317="","",IFERROR(AVERAGEIFS(Питание!$C$14:$C$378,Питание!$A$14:$A$378,"&gt;"&amp;$A317-7,Питание!$A$14:$A$378,"&lt;="&amp;$A317,Питание!$C$14:$C$378,"&gt;0"),""))</f>
        <v/>
      </c>
      <c r="Q317" s="8" t="str">
        <f aca="false">IF(D317="","",IFERROR(AVERAGEIFS(Питание!$D$14:$D$378,Питание!$A$14:$A$378,"&gt;"&amp;$A317-7,Питание!$A$14:$A$378,"&lt;="&amp;$A317,Питание!$D$14:$D$378,"&gt;0"),""))</f>
        <v/>
      </c>
      <c r="R317" s="14" t="str">
        <f aca="false">IF(O317="","",IFERROR(O317-AVERAGEIFS(Питание!$B$14:$B$378,Питание!$A$14:$A$378,"&gt;"&amp;$A317-14,Питание!$A$14:$A$378,"&lt;="&amp;$A317-7,Питание!$B$14:$B$378,"&gt;0"),""))</f>
        <v/>
      </c>
      <c r="S317" s="15" t="str">
        <f aca="false">IF(R317="","",R317/O317)</f>
        <v/>
      </c>
      <c r="T317" s="11" t="str">
        <f aca="false">IF(O317="","",O317-StartWeight)</f>
        <v/>
      </c>
    </row>
    <row r="318" customFormat="false" ht="15" hidden="false" customHeight="true" outlineLevel="0" collapsed="false">
      <c r="A318" s="16" t="n">
        <f aca="false">A317+1</f>
        <v>46598</v>
      </c>
      <c r="B318" s="17"/>
      <c r="C318" s="18"/>
      <c r="D318" s="18"/>
      <c r="E318" s="18"/>
      <c r="F318" s="18"/>
      <c r="G318" s="18"/>
      <c r="H318" s="17"/>
      <c r="I318" s="19"/>
      <c r="J318" s="10" t="str">
        <f aca="false">IF(C318="","",C318-TargetKcal)</f>
        <v/>
      </c>
      <c r="K318" s="10" t="str">
        <f aca="false">IF(D318="","",D318-TargetProtein)</f>
        <v/>
      </c>
      <c r="L318" s="10" t="str">
        <f aca="false">IF(E318="","",E318-TargetFat)</f>
        <v/>
      </c>
      <c r="M318" s="10" t="str">
        <f aca="false">IF(F318="","",F318-TargetCarb)</f>
        <v/>
      </c>
      <c r="N318" s="10" t="str">
        <f aca="false">IF(COUNT(C318:F318)&lt;4,"",ROUND(4*D318+9*E318+4*F318-C318,0))</f>
        <v/>
      </c>
      <c r="O318" s="13" t="str">
        <f aca="false">IF(B318="","",IFERROR(AVERAGEIFS(Питание!$B$14:$B$378,Питание!$A$14:$A$378,"&gt;"&amp;$A318-7,Питание!$A$14:$A$378,"&lt;="&amp;$A318,Питание!$B$14:$B$378,"&gt;0"),""))</f>
        <v/>
      </c>
      <c r="P318" s="8" t="str">
        <f aca="false">IF(C318="","",IFERROR(AVERAGEIFS(Питание!$C$14:$C$378,Питание!$A$14:$A$378,"&gt;"&amp;$A318-7,Питание!$A$14:$A$378,"&lt;="&amp;$A318,Питание!$C$14:$C$378,"&gt;0"),""))</f>
        <v/>
      </c>
      <c r="Q318" s="8" t="str">
        <f aca="false">IF(D318="","",IFERROR(AVERAGEIFS(Питание!$D$14:$D$378,Питание!$A$14:$A$378,"&gt;"&amp;$A318-7,Питание!$A$14:$A$378,"&lt;="&amp;$A318,Питание!$D$14:$D$378,"&gt;0"),""))</f>
        <v/>
      </c>
      <c r="R318" s="14" t="str">
        <f aca="false">IF(O318="","",IFERROR(O318-AVERAGEIFS(Питание!$B$14:$B$378,Питание!$A$14:$A$378,"&gt;"&amp;$A318-14,Питание!$A$14:$A$378,"&lt;="&amp;$A318-7,Питание!$B$14:$B$378,"&gt;0"),""))</f>
        <v/>
      </c>
      <c r="S318" s="15" t="str">
        <f aca="false">IF(R318="","",R318/O318)</f>
        <v/>
      </c>
      <c r="T318" s="11" t="str">
        <f aca="false">IF(O318="","",O318-StartWeight)</f>
        <v/>
      </c>
    </row>
    <row r="319" customFormat="false" ht="15" hidden="false" customHeight="true" outlineLevel="0" collapsed="false">
      <c r="A319" s="16" t="n">
        <f aca="false">A318+1</f>
        <v>46599</v>
      </c>
      <c r="B319" s="17"/>
      <c r="C319" s="18"/>
      <c r="D319" s="18"/>
      <c r="E319" s="18"/>
      <c r="F319" s="18"/>
      <c r="G319" s="18"/>
      <c r="H319" s="17"/>
      <c r="I319" s="19"/>
      <c r="J319" s="10" t="str">
        <f aca="false">IF(C319="","",C319-TargetKcal)</f>
        <v/>
      </c>
      <c r="K319" s="10" t="str">
        <f aca="false">IF(D319="","",D319-TargetProtein)</f>
        <v/>
      </c>
      <c r="L319" s="10" t="str">
        <f aca="false">IF(E319="","",E319-TargetFat)</f>
        <v/>
      </c>
      <c r="M319" s="10" t="str">
        <f aca="false">IF(F319="","",F319-TargetCarb)</f>
        <v/>
      </c>
      <c r="N319" s="10" t="str">
        <f aca="false">IF(COUNT(C319:F319)&lt;4,"",ROUND(4*D319+9*E319+4*F319-C319,0))</f>
        <v/>
      </c>
      <c r="O319" s="13" t="str">
        <f aca="false">IF(B319="","",IFERROR(AVERAGEIFS(Питание!$B$14:$B$378,Питание!$A$14:$A$378,"&gt;"&amp;$A319-7,Питание!$A$14:$A$378,"&lt;="&amp;$A319,Питание!$B$14:$B$378,"&gt;0"),""))</f>
        <v/>
      </c>
      <c r="P319" s="8" t="str">
        <f aca="false">IF(C319="","",IFERROR(AVERAGEIFS(Питание!$C$14:$C$378,Питание!$A$14:$A$378,"&gt;"&amp;$A319-7,Питание!$A$14:$A$378,"&lt;="&amp;$A319,Питание!$C$14:$C$378,"&gt;0"),""))</f>
        <v/>
      </c>
      <c r="Q319" s="8" t="str">
        <f aca="false">IF(D319="","",IFERROR(AVERAGEIFS(Питание!$D$14:$D$378,Питание!$A$14:$A$378,"&gt;"&amp;$A319-7,Питание!$A$14:$A$378,"&lt;="&amp;$A319,Питание!$D$14:$D$378,"&gt;0"),""))</f>
        <v/>
      </c>
      <c r="R319" s="14" t="str">
        <f aca="false">IF(O319="","",IFERROR(O319-AVERAGEIFS(Питание!$B$14:$B$378,Питание!$A$14:$A$378,"&gt;"&amp;$A319-14,Питание!$A$14:$A$378,"&lt;="&amp;$A319-7,Питание!$B$14:$B$378,"&gt;0"),""))</f>
        <v/>
      </c>
      <c r="S319" s="15" t="str">
        <f aca="false">IF(R319="","",R319/O319)</f>
        <v/>
      </c>
      <c r="T319" s="11" t="str">
        <f aca="false">IF(O319="","",O319-StartWeight)</f>
        <v/>
      </c>
    </row>
    <row r="320" customFormat="false" ht="15" hidden="false" customHeight="true" outlineLevel="0" collapsed="false">
      <c r="A320" s="16" t="n">
        <f aca="false">A319+1</f>
        <v>46600</v>
      </c>
      <c r="B320" s="17"/>
      <c r="C320" s="18"/>
      <c r="D320" s="18"/>
      <c r="E320" s="18"/>
      <c r="F320" s="18"/>
      <c r="G320" s="18"/>
      <c r="H320" s="17"/>
      <c r="I320" s="19"/>
      <c r="J320" s="10" t="str">
        <f aca="false">IF(C320="","",C320-TargetKcal)</f>
        <v/>
      </c>
      <c r="K320" s="10" t="str">
        <f aca="false">IF(D320="","",D320-TargetProtein)</f>
        <v/>
      </c>
      <c r="L320" s="10" t="str">
        <f aca="false">IF(E320="","",E320-TargetFat)</f>
        <v/>
      </c>
      <c r="M320" s="10" t="str">
        <f aca="false">IF(F320="","",F320-TargetCarb)</f>
        <v/>
      </c>
      <c r="N320" s="10" t="str">
        <f aca="false">IF(COUNT(C320:F320)&lt;4,"",ROUND(4*D320+9*E320+4*F320-C320,0))</f>
        <v/>
      </c>
      <c r="O320" s="13" t="str">
        <f aca="false">IF(B320="","",IFERROR(AVERAGEIFS(Питание!$B$14:$B$378,Питание!$A$14:$A$378,"&gt;"&amp;$A320-7,Питание!$A$14:$A$378,"&lt;="&amp;$A320,Питание!$B$14:$B$378,"&gt;0"),""))</f>
        <v/>
      </c>
      <c r="P320" s="8" t="str">
        <f aca="false">IF(C320="","",IFERROR(AVERAGEIFS(Питание!$C$14:$C$378,Питание!$A$14:$A$378,"&gt;"&amp;$A320-7,Питание!$A$14:$A$378,"&lt;="&amp;$A320,Питание!$C$14:$C$378,"&gt;0"),""))</f>
        <v/>
      </c>
      <c r="Q320" s="8" t="str">
        <f aca="false">IF(D320="","",IFERROR(AVERAGEIFS(Питание!$D$14:$D$378,Питание!$A$14:$A$378,"&gt;"&amp;$A320-7,Питание!$A$14:$A$378,"&lt;="&amp;$A320,Питание!$D$14:$D$378,"&gt;0"),""))</f>
        <v/>
      </c>
      <c r="R320" s="14" t="str">
        <f aca="false">IF(O320="","",IFERROR(O320-AVERAGEIFS(Питание!$B$14:$B$378,Питание!$A$14:$A$378,"&gt;"&amp;$A320-14,Питание!$A$14:$A$378,"&lt;="&amp;$A320-7,Питание!$B$14:$B$378,"&gt;0"),""))</f>
        <v/>
      </c>
      <c r="S320" s="15" t="str">
        <f aca="false">IF(R320="","",R320/O320)</f>
        <v/>
      </c>
      <c r="T320" s="11" t="str">
        <f aca="false">IF(O320="","",O320-StartWeight)</f>
        <v/>
      </c>
    </row>
    <row r="321" customFormat="false" ht="15" hidden="false" customHeight="true" outlineLevel="0" collapsed="false">
      <c r="A321" s="16" t="n">
        <f aca="false">A320+1</f>
        <v>46601</v>
      </c>
      <c r="B321" s="17"/>
      <c r="C321" s="18"/>
      <c r="D321" s="18"/>
      <c r="E321" s="18"/>
      <c r="F321" s="18"/>
      <c r="G321" s="18"/>
      <c r="H321" s="17"/>
      <c r="I321" s="19"/>
      <c r="J321" s="10" t="str">
        <f aca="false">IF(C321="","",C321-TargetKcal)</f>
        <v/>
      </c>
      <c r="K321" s="10" t="str">
        <f aca="false">IF(D321="","",D321-TargetProtein)</f>
        <v/>
      </c>
      <c r="L321" s="10" t="str">
        <f aca="false">IF(E321="","",E321-TargetFat)</f>
        <v/>
      </c>
      <c r="M321" s="10" t="str">
        <f aca="false">IF(F321="","",F321-TargetCarb)</f>
        <v/>
      </c>
      <c r="N321" s="10" t="str">
        <f aca="false">IF(COUNT(C321:F321)&lt;4,"",ROUND(4*D321+9*E321+4*F321-C321,0))</f>
        <v/>
      </c>
      <c r="O321" s="13" t="str">
        <f aca="false">IF(B321="","",IFERROR(AVERAGEIFS(Питание!$B$14:$B$378,Питание!$A$14:$A$378,"&gt;"&amp;$A321-7,Питание!$A$14:$A$378,"&lt;="&amp;$A321,Питание!$B$14:$B$378,"&gt;0"),""))</f>
        <v/>
      </c>
      <c r="P321" s="8" t="str">
        <f aca="false">IF(C321="","",IFERROR(AVERAGEIFS(Питание!$C$14:$C$378,Питание!$A$14:$A$378,"&gt;"&amp;$A321-7,Питание!$A$14:$A$378,"&lt;="&amp;$A321,Питание!$C$14:$C$378,"&gt;0"),""))</f>
        <v/>
      </c>
      <c r="Q321" s="8" t="str">
        <f aca="false">IF(D321="","",IFERROR(AVERAGEIFS(Питание!$D$14:$D$378,Питание!$A$14:$A$378,"&gt;"&amp;$A321-7,Питание!$A$14:$A$378,"&lt;="&amp;$A321,Питание!$D$14:$D$378,"&gt;0"),""))</f>
        <v/>
      </c>
      <c r="R321" s="14" t="str">
        <f aca="false">IF(O321="","",IFERROR(O321-AVERAGEIFS(Питание!$B$14:$B$378,Питание!$A$14:$A$378,"&gt;"&amp;$A321-14,Питание!$A$14:$A$378,"&lt;="&amp;$A321-7,Питание!$B$14:$B$378,"&gt;0"),""))</f>
        <v/>
      </c>
      <c r="S321" s="15" t="str">
        <f aca="false">IF(R321="","",R321/O321)</f>
        <v/>
      </c>
      <c r="T321" s="11" t="str">
        <f aca="false">IF(O321="","",O321-StartWeight)</f>
        <v/>
      </c>
    </row>
    <row r="322" customFormat="false" ht="15" hidden="false" customHeight="true" outlineLevel="0" collapsed="false">
      <c r="A322" s="16" t="n">
        <f aca="false">A321+1</f>
        <v>46602</v>
      </c>
      <c r="B322" s="17"/>
      <c r="C322" s="18"/>
      <c r="D322" s="18"/>
      <c r="E322" s="18"/>
      <c r="F322" s="18"/>
      <c r="G322" s="18"/>
      <c r="H322" s="17"/>
      <c r="I322" s="19"/>
      <c r="J322" s="10" t="str">
        <f aca="false">IF(C322="","",C322-TargetKcal)</f>
        <v/>
      </c>
      <c r="K322" s="10" t="str">
        <f aca="false">IF(D322="","",D322-TargetProtein)</f>
        <v/>
      </c>
      <c r="L322" s="10" t="str">
        <f aca="false">IF(E322="","",E322-TargetFat)</f>
        <v/>
      </c>
      <c r="M322" s="10" t="str">
        <f aca="false">IF(F322="","",F322-TargetCarb)</f>
        <v/>
      </c>
      <c r="N322" s="10" t="str">
        <f aca="false">IF(COUNT(C322:F322)&lt;4,"",ROUND(4*D322+9*E322+4*F322-C322,0))</f>
        <v/>
      </c>
      <c r="O322" s="13" t="str">
        <f aca="false">IF(B322="","",IFERROR(AVERAGEIFS(Питание!$B$14:$B$378,Питание!$A$14:$A$378,"&gt;"&amp;$A322-7,Питание!$A$14:$A$378,"&lt;="&amp;$A322,Питание!$B$14:$B$378,"&gt;0"),""))</f>
        <v/>
      </c>
      <c r="P322" s="8" t="str">
        <f aca="false">IF(C322="","",IFERROR(AVERAGEIFS(Питание!$C$14:$C$378,Питание!$A$14:$A$378,"&gt;"&amp;$A322-7,Питание!$A$14:$A$378,"&lt;="&amp;$A322,Питание!$C$14:$C$378,"&gt;0"),""))</f>
        <v/>
      </c>
      <c r="Q322" s="8" t="str">
        <f aca="false">IF(D322="","",IFERROR(AVERAGEIFS(Питание!$D$14:$D$378,Питание!$A$14:$A$378,"&gt;"&amp;$A322-7,Питание!$A$14:$A$378,"&lt;="&amp;$A322,Питание!$D$14:$D$378,"&gt;0"),""))</f>
        <v/>
      </c>
      <c r="R322" s="14" t="str">
        <f aca="false">IF(O322="","",IFERROR(O322-AVERAGEIFS(Питание!$B$14:$B$378,Питание!$A$14:$A$378,"&gt;"&amp;$A322-14,Питание!$A$14:$A$378,"&lt;="&amp;$A322-7,Питание!$B$14:$B$378,"&gt;0"),""))</f>
        <v/>
      </c>
      <c r="S322" s="15" t="str">
        <f aca="false">IF(R322="","",R322/O322)</f>
        <v/>
      </c>
      <c r="T322" s="11" t="str">
        <f aca="false">IF(O322="","",O322-StartWeight)</f>
        <v/>
      </c>
    </row>
    <row r="323" customFormat="false" ht="15" hidden="false" customHeight="true" outlineLevel="0" collapsed="false">
      <c r="A323" s="16" t="n">
        <f aca="false">A322+1</f>
        <v>46603</v>
      </c>
      <c r="B323" s="17"/>
      <c r="C323" s="18"/>
      <c r="D323" s="18"/>
      <c r="E323" s="18"/>
      <c r="F323" s="18"/>
      <c r="G323" s="18"/>
      <c r="H323" s="17"/>
      <c r="I323" s="19"/>
      <c r="J323" s="10" t="str">
        <f aca="false">IF(C323="","",C323-TargetKcal)</f>
        <v/>
      </c>
      <c r="K323" s="10" t="str">
        <f aca="false">IF(D323="","",D323-TargetProtein)</f>
        <v/>
      </c>
      <c r="L323" s="10" t="str">
        <f aca="false">IF(E323="","",E323-TargetFat)</f>
        <v/>
      </c>
      <c r="M323" s="10" t="str">
        <f aca="false">IF(F323="","",F323-TargetCarb)</f>
        <v/>
      </c>
      <c r="N323" s="10" t="str">
        <f aca="false">IF(COUNT(C323:F323)&lt;4,"",ROUND(4*D323+9*E323+4*F323-C323,0))</f>
        <v/>
      </c>
      <c r="O323" s="13" t="str">
        <f aca="false">IF(B323="","",IFERROR(AVERAGEIFS(Питание!$B$14:$B$378,Питание!$A$14:$A$378,"&gt;"&amp;$A323-7,Питание!$A$14:$A$378,"&lt;="&amp;$A323,Питание!$B$14:$B$378,"&gt;0"),""))</f>
        <v/>
      </c>
      <c r="P323" s="8" t="str">
        <f aca="false">IF(C323="","",IFERROR(AVERAGEIFS(Питание!$C$14:$C$378,Питание!$A$14:$A$378,"&gt;"&amp;$A323-7,Питание!$A$14:$A$378,"&lt;="&amp;$A323,Питание!$C$14:$C$378,"&gt;0"),""))</f>
        <v/>
      </c>
      <c r="Q323" s="8" t="str">
        <f aca="false">IF(D323="","",IFERROR(AVERAGEIFS(Питание!$D$14:$D$378,Питание!$A$14:$A$378,"&gt;"&amp;$A323-7,Питание!$A$14:$A$378,"&lt;="&amp;$A323,Питание!$D$14:$D$378,"&gt;0"),""))</f>
        <v/>
      </c>
      <c r="R323" s="14" t="str">
        <f aca="false">IF(O323="","",IFERROR(O323-AVERAGEIFS(Питание!$B$14:$B$378,Питание!$A$14:$A$378,"&gt;"&amp;$A323-14,Питание!$A$14:$A$378,"&lt;="&amp;$A323-7,Питание!$B$14:$B$378,"&gt;0"),""))</f>
        <v/>
      </c>
      <c r="S323" s="15" t="str">
        <f aca="false">IF(R323="","",R323/O323)</f>
        <v/>
      </c>
      <c r="T323" s="11" t="str">
        <f aca="false">IF(O323="","",O323-StartWeight)</f>
        <v/>
      </c>
    </row>
    <row r="324" customFormat="false" ht="15" hidden="false" customHeight="true" outlineLevel="0" collapsed="false">
      <c r="A324" s="16" t="n">
        <f aca="false">A323+1</f>
        <v>46604</v>
      </c>
      <c r="B324" s="17"/>
      <c r="C324" s="18"/>
      <c r="D324" s="18"/>
      <c r="E324" s="18"/>
      <c r="F324" s="18"/>
      <c r="G324" s="18"/>
      <c r="H324" s="17"/>
      <c r="I324" s="19"/>
      <c r="J324" s="10" t="str">
        <f aca="false">IF(C324="","",C324-TargetKcal)</f>
        <v/>
      </c>
      <c r="K324" s="10" t="str">
        <f aca="false">IF(D324="","",D324-TargetProtein)</f>
        <v/>
      </c>
      <c r="L324" s="10" t="str">
        <f aca="false">IF(E324="","",E324-TargetFat)</f>
        <v/>
      </c>
      <c r="M324" s="10" t="str">
        <f aca="false">IF(F324="","",F324-TargetCarb)</f>
        <v/>
      </c>
      <c r="N324" s="10" t="str">
        <f aca="false">IF(COUNT(C324:F324)&lt;4,"",ROUND(4*D324+9*E324+4*F324-C324,0))</f>
        <v/>
      </c>
      <c r="O324" s="13" t="str">
        <f aca="false">IF(B324="","",IFERROR(AVERAGEIFS(Питание!$B$14:$B$378,Питание!$A$14:$A$378,"&gt;"&amp;$A324-7,Питание!$A$14:$A$378,"&lt;="&amp;$A324,Питание!$B$14:$B$378,"&gt;0"),""))</f>
        <v/>
      </c>
      <c r="P324" s="8" t="str">
        <f aca="false">IF(C324="","",IFERROR(AVERAGEIFS(Питание!$C$14:$C$378,Питание!$A$14:$A$378,"&gt;"&amp;$A324-7,Питание!$A$14:$A$378,"&lt;="&amp;$A324,Питание!$C$14:$C$378,"&gt;0"),""))</f>
        <v/>
      </c>
      <c r="Q324" s="8" t="str">
        <f aca="false">IF(D324="","",IFERROR(AVERAGEIFS(Питание!$D$14:$D$378,Питание!$A$14:$A$378,"&gt;"&amp;$A324-7,Питание!$A$14:$A$378,"&lt;="&amp;$A324,Питание!$D$14:$D$378,"&gt;0"),""))</f>
        <v/>
      </c>
      <c r="R324" s="14" t="str">
        <f aca="false">IF(O324="","",IFERROR(O324-AVERAGEIFS(Питание!$B$14:$B$378,Питание!$A$14:$A$378,"&gt;"&amp;$A324-14,Питание!$A$14:$A$378,"&lt;="&amp;$A324-7,Питание!$B$14:$B$378,"&gt;0"),""))</f>
        <v/>
      </c>
      <c r="S324" s="15" t="str">
        <f aca="false">IF(R324="","",R324/O324)</f>
        <v/>
      </c>
      <c r="T324" s="11" t="str">
        <f aca="false">IF(O324="","",O324-StartWeight)</f>
        <v/>
      </c>
    </row>
    <row r="325" customFormat="false" ht="15" hidden="false" customHeight="true" outlineLevel="0" collapsed="false">
      <c r="A325" s="16" t="n">
        <f aca="false">A324+1</f>
        <v>46605</v>
      </c>
      <c r="B325" s="17"/>
      <c r="C325" s="18"/>
      <c r="D325" s="18"/>
      <c r="E325" s="18"/>
      <c r="F325" s="18"/>
      <c r="G325" s="18"/>
      <c r="H325" s="17"/>
      <c r="I325" s="19"/>
      <c r="J325" s="10" t="str">
        <f aca="false">IF(C325="","",C325-TargetKcal)</f>
        <v/>
      </c>
      <c r="K325" s="10" t="str">
        <f aca="false">IF(D325="","",D325-TargetProtein)</f>
        <v/>
      </c>
      <c r="L325" s="10" t="str">
        <f aca="false">IF(E325="","",E325-TargetFat)</f>
        <v/>
      </c>
      <c r="M325" s="10" t="str">
        <f aca="false">IF(F325="","",F325-TargetCarb)</f>
        <v/>
      </c>
      <c r="N325" s="10" t="str">
        <f aca="false">IF(COUNT(C325:F325)&lt;4,"",ROUND(4*D325+9*E325+4*F325-C325,0))</f>
        <v/>
      </c>
      <c r="O325" s="13" t="str">
        <f aca="false">IF(B325="","",IFERROR(AVERAGEIFS(Питание!$B$14:$B$378,Питание!$A$14:$A$378,"&gt;"&amp;$A325-7,Питание!$A$14:$A$378,"&lt;="&amp;$A325,Питание!$B$14:$B$378,"&gt;0"),""))</f>
        <v/>
      </c>
      <c r="P325" s="8" t="str">
        <f aca="false">IF(C325="","",IFERROR(AVERAGEIFS(Питание!$C$14:$C$378,Питание!$A$14:$A$378,"&gt;"&amp;$A325-7,Питание!$A$14:$A$378,"&lt;="&amp;$A325,Питание!$C$14:$C$378,"&gt;0"),""))</f>
        <v/>
      </c>
      <c r="Q325" s="8" t="str">
        <f aca="false">IF(D325="","",IFERROR(AVERAGEIFS(Питание!$D$14:$D$378,Питание!$A$14:$A$378,"&gt;"&amp;$A325-7,Питание!$A$14:$A$378,"&lt;="&amp;$A325,Питание!$D$14:$D$378,"&gt;0"),""))</f>
        <v/>
      </c>
      <c r="R325" s="14" t="str">
        <f aca="false">IF(O325="","",IFERROR(O325-AVERAGEIFS(Питание!$B$14:$B$378,Питание!$A$14:$A$378,"&gt;"&amp;$A325-14,Питание!$A$14:$A$378,"&lt;="&amp;$A325-7,Питание!$B$14:$B$378,"&gt;0"),""))</f>
        <v/>
      </c>
      <c r="S325" s="15" t="str">
        <f aca="false">IF(R325="","",R325/O325)</f>
        <v/>
      </c>
      <c r="T325" s="11" t="str">
        <f aca="false">IF(O325="","",O325-StartWeight)</f>
        <v/>
      </c>
    </row>
    <row r="326" customFormat="false" ht="15" hidden="false" customHeight="true" outlineLevel="0" collapsed="false">
      <c r="A326" s="16" t="n">
        <f aca="false">A325+1</f>
        <v>46606</v>
      </c>
      <c r="B326" s="17"/>
      <c r="C326" s="18"/>
      <c r="D326" s="18"/>
      <c r="E326" s="18"/>
      <c r="F326" s="18"/>
      <c r="G326" s="18"/>
      <c r="H326" s="17"/>
      <c r="I326" s="19"/>
      <c r="J326" s="10" t="str">
        <f aca="false">IF(C326="","",C326-TargetKcal)</f>
        <v/>
      </c>
      <c r="K326" s="10" t="str">
        <f aca="false">IF(D326="","",D326-TargetProtein)</f>
        <v/>
      </c>
      <c r="L326" s="10" t="str">
        <f aca="false">IF(E326="","",E326-TargetFat)</f>
        <v/>
      </c>
      <c r="M326" s="10" t="str">
        <f aca="false">IF(F326="","",F326-TargetCarb)</f>
        <v/>
      </c>
      <c r="N326" s="10" t="str">
        <f aca="false">IF(COUNT(C326:F326)&lt;4,"",ROUND(4*D326+9*E326+4*F326-C326,0))</f>
        <v/>
      </c>
      <c r="O326" s="13" t="str">
        <f aca="false">IF(B326="","",IFERROR(AVERAGEIFS(Питание!$B$14:$B$378,Питание!$A$14:$A$378,"&gt;"&amp;$A326-7,Питание!$A$14:$A$378,"&lt;="&amp;$A326,Питание!$B$14:$B$378,"&gt;0"),""))</f>
        <v/>
      </c>
      <c r="P326" s="8" t="str">
        <f aca="false">IF(C326="","",IFERROR(AVERAGEIFS(Питание!$C$14:$C$378,Питание!$A$14:$A$378,"&gt;"&amp;$A326-7,Питание!$A$14:$A$378,"&lt;="&amp;$A326,Питание!$C$14:$C$378,"&gt;0"),""))</f>
        <v/>
      </c>
      <c r="Q326" s="8" t="str">
        <f aca="false">IF(D326="","",IFERROR(AVERAGEIFS(Питание!$D$14:$D$378,Питание!$A$14:$A$378,"&gt;"&amp;$A326-7,Питание!$A$14:$A$378,"&lt;="&amp;$A326,Питание!$D$14:$D$378,"&gt;0"),""))</f>
        <v/>
      </c>
      <c r="R326" s="14" t="str">
        <f aca="false">IF(O326="","",IFERROR(O326-AVERAGEIFS(Питание!$B$14:$B$378,Питание!$A$14:$A$378,"&gt;"&amp;$A326-14,Питание!$A$14:$A$378,"&lt;="&amp;$A326-7,Питание!$B$14:$B$378,"&gt;0"),""))</f>
        <v/>
      </c>
      <c r="S326" s="15" t="str">
        <f aca="false">IF(R326="","",R326/O326)</f>
        <v/>
      </c>
      <c r="T326" s="11" t="str">
        <f aca="false">IF(O326="","",O326-StartWeight)</f>
        <v/>
      </c>
    </row>
    <row r="327" customFormat="false" ht="15" hidden="false" customHeight="true" outlineLevel="0" collapsed="false">
      <c r="A327" s="16" t="n">
        <f aca="false">A326+1</f>
        <v>46607</v>
      </c>
      <c r="B327" s="17"/>
      <c r="C327" s="18"/>
      <c r="D327" s="18"/>
      <c r="E327" s="18"/>
      <c r="F327" s="18"/>
      <c r="G327" s="18"/>
      <c r="H327" s="17"/>
      <c r="I327" s="19"/>
      <c r="J327" s="10" t="str">
        <f aca="false">IF(C327="","",C327-TargetKcal)</f>
        <v/>
      </c>
      <c r="K327" s="10" t="str">
        <f aca="false">IF(D327="","",D327-TargetProtein)</f>
        <v/>
      </c>
      <c r="L327" s="10" t="str">
        <f aca="false">IF(E327="","",E327-TargetFat)</f>
        <v/>
      </c>
      <c r="M327" s="10" t="str">
        <f aca="false">IF(F327="","",F327-TargetCarb)</f>
        <v/>
      </c>
      <c r="N327" s="10" t="str">
        <f aca="false">IF(COUNT(C327:F327)&lt;4,"",ROUND(4*D327+9*E327+4*F327-C327,0))</f>
        <v/>
      </c>
      <c r="O327" s="13" t="str">
        <f aca="false">IF(B327="","",IFERROR(AVERAGEIFS(Питание!$B$14:$B$378,Питание!$A$14:$A$378,"&gt;"&amp;$A327-7,Питание!$A$14:$A$378,"&lt;="&amp;$A327,Питание!$B$14:$B$378,"&gt;0"),""))</f>
        <v/>
      </c>
      <c r="P327" s="8" t="str">
        <f aca="false">IF(C327="","",IFERROR(AVERAGEIFS(Питание!$C$14:$C$378,Питание!$A$14:$A$378,"&gt;"&amp;$A327-7,Питание!$A$14:$A$378,"&lt;="&amp;$A327,Питание!$C$14:$C$378,"&gt;0"),""))</f>
        <v/>
      </c>
      <c r="Q327" s="8" t="str">
        <f aca="false">IF(D327="","",IFERROR(AVERAGEIFS(Питание!$D$14:$D$378,Питание!$A$14:$A$378,"&gt;"&amp;$A327-7,Питание!$A$14:$A$378,"&lt;="&amp;$A327,Питание!$D$14:$D$378,"&gt;0"),""))</f>
        <v/>
      </c>
      <c r="R327" s="14" t="str">
        <f aca="false">IF(O327="","",IFERROR(O327-AVERAGEIFS(Питание!$B$14:$B$378,Питание!$A$14:$A$378,"&gt;"&amp;$A327-14,Питание!$A$14:$A$378,"&lt;="&amp;$A327-7,Питание!$B$14:$B$378,"&gt;0"),""))</f>
        <v/>
      </c>
      <c r="S327" s="15" t="str">
        <f aca="false">IF(R327="","",R327/O327)</f>
        <v/>
      </c>
      <c r="T327" s="11" t="str">
        <f aca="false">IF(O327="","",O327-StartWeight)</f>
        <v/>
      </c>
    </row>
    <row r="328" customFormat="false" ht="15" hidden="false" customHeight="true" outlineLevel="0" collapsed="false">
      <c r="A328" s="16" t="n">
        <f aca="false">A327+1</f>
        <v>46608</v>
      </c>
      <c r="B328" s="17"/>
      <c r="C328" s="18"/>
      <c r="D328" s="18"/>
      <c r="E328" s="18"/>
      <c r="F328" s="18"/>
      <c r="G328" s="18"/>
      <c r="H328" s="17"/>
      <c r="I328" s="19"/>
      <c r="J328" s="10" t="str">
        <f aca="false">IF(C328="","",C328-TargetKcal)</f>
        <v/>
      </c>
      <c r="K328" s="10" t="str">
        <f aca="false">IF(D328="","",D328-TargetProtein)</f>
        <v/>
      </c>
      <c r="L328" s="10" t="str">
        <f aca="false">IF(E328="","",E328-TargetFat)</f>
        <v/>
      </c>
      <c r="M328" s="10" t="str">
        <f aca="false">IF(F328="","",F328-TargetCarb)</f>
        <v/>
      </c>
      <c r="N328" s="10" t="str">
        <f aca="false">IF(COUNT(C328:F328)&lt;4,"",ROUND(4*D328+9*E328+4*F328-C328,0))</f>
        <v/>
      </c>
      <c r="O328" s="13" t="str">
        <f aca="false">IF(B328="","",IFERROR(AVERAGEIFS(Питание!$B$14:$B$378,Питание!$A$14:$A$378,"&gt;"&amp;$A328-7,Питание!$A$14:$A$378,"&lt;="&amp;$A328,Питание!$B$14:$B$378,"&gt;0"),""))</f>
        <v/>
      </c>
      <c r="P328" s="8" t="str">
        <f aca="false">IF(C328="","",IFERROR(AVERAGEIFS(Питание!$C$14:$C$378,Питание!$A$14:$A$378,"&gt;"&amp;$A328-7,Питание!$A$14:$A$378,"&lt;="&amp;$A328,Питание!$C$14:$C$378,"&gt;0"),""))</f>
        <v/>
      </c>
      <c r="Q328" s="8" t="str">
        <f aca="false">IF(D328="","",IFERROR(AVERAGEIFS(Питание!$D$14:$D$378,Питание!$A$14:$A$378,"&gt;"&amp;$A328-7,Питание!$A$14:$A$378,"&lt;="&amp;$A328,Питание!$D$14:$D$378,"&gt;0"),""))</f>
        <v/>
      </c>
      <c r="R328" s="14" t="str">
        <f aca="false">IF(O328="","",IFERROR(O328-AVERAGEIFS(Питание!$B$14:$B$378,Питание!$A$14:$A$378,"&gt;"&amp;$A328-14,Питание!$A$14:$A$378,"&lt;="&amp;$A328-7,Питание!$B$14:$B$378,"&gt;0"),""))</f>
        <v/>
      </c>
      <c r="S328" s="15" t="str">
        <f aca="false">IF(R328="","",R328/O328)</f>
        <v/>
      </c>
      <c r="T328" s="11" t="str">
        <f aca="false">IF(O328="","",O328-StartWeight)</f>
        <v/>
      </c>
    </row>
    <row r="329" customFormat="false" ht="15" hidden="false" customHeight="true" outlineLevel="0" collapsed="false">
      <c r="A329" s="16" t="n">
        <f aca="false">A328+1</f>
        <v>46609</v>
      </c>
      <c r="B329" s="17"/>
      <c r="C329" s="18"/>
      <c r="D329" s="18"/>
      <c r="E329" s="18"/>
      <c r="F329" s="18"/>
      <c r="G329" s="18"/>
      <c r="H329" s="17"/>
      <c r="I329" s="19"/>
      <c r="J329" s="10" t="str">
        <f aca="false">IF(C329="","",C329-TargetKcal)</f>
        <v/>
      </c>
      <c r="K329" s="10" t="str">
        <f aca="false">IF(D329="","",D329-TargetProtein)</f>
        <v/>
      </c>
      <c r="L329" s="10" t="str">
        <f aca="false">IF(E329="","",E329-TargetFat)</f>
        <v/>
      </c>
      <c r="M329" s="10" t="str">
        <f aca="false">IF(F329="","",F329-TargetCarb)</f>
        <v/>
      </c>
      <c r="N329" s="10" t="str">
        <f aca="false">IF(COUNT(C329:F329)&lt;4,"",ROUND(4*D329+9*E329+4*F329-C329,0))</f>
        <v/>
      </c>
      <c r="O329" s="13" t="str">
        <f aca="false">IF(B329="","",IFERROR(AVERAGEIFS(Питание!$B$14:$B$378,Питание!$A$14:$A$378,"&gt;"&amp;$A329-7,Питание!$A$14:$A$378,"&lt;="&amp;$A329,Питание!$B$14:$B$378,"&gt;0"),""))</f>
        <v/>
      </c>
      <c r="P329" s="8" t="str">
        <f aca="false">IF(C329="","",IFERROR(AVERAGEIFS(Питание!$C$14:$C$378,Питание!$A$14:$A$378,"&gt;"&amp;$A329-7,Питание!$A$14:$A$378,"&lt;="&amp;$A329,Питание!$C$14:$C$378,"&gt;0"),""))</f>
        <v/>
      </c>
      <c r="Q329" s="8" t="str">
        <f aca="false">IF(D329="","",IFERROR(AVERAGEIFS(Питание!$D$14:$D$378,Питание!$A$14:$A$378,"&gt;"&amp;$A329-7,Питание!$A$14:$A$378,"&lt;="&amp;$A329,Питание!$D$14:$D$378,"&gt;0"),""))</f>
        <v/>
      </c>
      <c r="R329" s="14" t="str">
        <f aca="false">IF(O329="","",IFERROR(O329-AVERAGEIFS(Питание!$B$14:$B$378,Питание!$A$14:$A$378,"&gt;"&amp;$A329-14,Питание!$A$14:$A$378,"&lt;="&amp;$A329-7,Питание!$B$14:$B$378,"&gt;0"),""))</f>
        <v/>
      </c>
      <c r="S329" s="15" t="str">
        <f aca="false">IF(R329="","",R329/O329)</f>
        <v/>
      </c>
      <c r="T329" s="11" t="str">
        <f aca="false">IF(O329="","",O329-StartWeight)</f>
        <v/>
      </c>
    </row>
    <row r="330" customFormat="false" ht="15" hidden="false" customHeight="true" outlineLevel="0" collapsed="false">
      <c r="A330" s="16" t="n">
        <f aca="false">A329+1</f>
        <v>46610</v>
      </c>
      <c r="B330" s="17"/>
      <c r="C330" s="18"/>
      <c r="D330" s="18"/>
      <c r="E330" s="18"/>
      <c r="F330" s="18"/>
      <c r="G330" s="18"/>
      <c r="H330" s="17"/>
      <c r="I330" s="19"/>
      <c r="J330" s="10" t="str">
        <f aca="false">IF(C330="","",C330-TargetKcal)</f>
        <v/>
      </c>
      <c r="K330" s="10" t="str">
        <f aca="false">IF(D330="","",D330-TargetProtein)</f>
        <v/>
      </c>
      <c r="L330" s="10" t="str">
        <f aca="false">IF(E330="","",E330-TargetFat)</f>
        <v/>
      </c>
      <c r="M330" s="10" t="str">
        <f aca="false">IF(F330="","",F330-TargetCarb)</f>
        <v/>
      </c>
      <c r="N330" s="10" t="str">
        <f aca="false">IF(COUNT(C330:F330)&lt;4,"",ROUND(4*D330+9*E330+4*F330-C330,0))</f>
        <v/>
      </c>
      <c r="O330" s="13" t="str">
        <f aca="false">IF(B330="","",IFERROR(AVERAGEIFS(Питание!$B$14:$B$378,Питание!$A$14:$A$378,"&gt;"&amp;$A330-7,Питание!$A$14:$A$378,"&lt;="&amp;$A330,Питание!$B$14:$B$378,"&gt;0"),""))</f>
        <v/>
      </c>
      <c r="P330" s="8" t="str">
        <f aca="false">IF(C330="","",IFERROR(AVERAGEIFS(Питание!$C$14:$C$378,Питание!$A$14:$A$378,"&gt;"&amp;$A330-7,Питание!$A$14:$A$378,"&lt;="&amp;$A330,Питание!$C$14:$C$378,"&gt;0"),""))</f>
        <v/>
      </c>
      <c r="Q330" s="8" t="str">
        <f aca="false">IF(D330="","",IFERROR(AVERAGEIFS(Питание!$D$14:$D$378,Питание!$A$14:$A$378,"&gt;"&amp;$A330-7,Питание!$A$14:$A$378,"&lt;="&amp;$A330,Питание!$D$14:$D$378,"&gt;0"),""))</f>
        <v/>
      </c>
      <c r="R330" s="14" t="str">
        <f aca="false">IF(O330="","",IFERROR(O330-AVERAGEIFS(Питание!$B$14:$B$378,Питание!$A$14:$A$378,"&gt;"&amp;$A330-14,Питание!$A$14:$A$378,"&lt;="&amp;$A330-7,Питание!$B$14:$B$378,"&gt;0"),""))</f>
        <v/>
      </c>
      <c r="S330" s="15" t="str">
        <f aca="false">IF(R330="","",R330/O330)</f>
        <v/>
      </c>
      <c r="T330" s="11" t="str">
        <f aca="false">IF(O330="","",O330-StartWeight)</f>
        <v/>
      </c>
    </row>
    <row r="331" customFormat="false" ht="15" hidden="false" customHeight="true" outlineLevel="0" collapsed="false">
      <c r="A331" s="16" t="n">
        <f aca="false">A330+1</f>
        <v>46611</v>
      </c>
      <c r="B331" s="17"/>
      <c r="C331" s="18"/>
      <c r="D331" s="18"/>
      <c r="E331" s="18"/>
      <c r="F331" s="18"/>
      <c r="G331" s="18"/>
      <c r="H331" s="17"/>
      <c r="I331" s="19"/>
      <c r="J331" s="10" t="str">
        <f aca="false">IF(C331="","",C331-TargetKcal)</f>
        <v/>
      </c>
      <c r="K331" s="10" t="str">
        <f aca="false">IF(D331="","",D331-TargetProtein)</f>
        <v/>
      </c>
      <c r="L331" s="10" t="str">
        <f aca="false">IF(E331="","",E331-TargetFat)</f>
        <v/>
      </c>
      <c r="M331" s="10" t="str">
        <f aca="false">IF(F331="","",F331-TargetCarb)</f>
        <v/>
      </c>
      <c r="N331" s="10" t="str">
        <f aca="false">IF(COUNT(C331:F331)&lt;4,"",ROUND(4*D331+9*E331+4*F331-C331,0))</f>
        <v/>
      </c>
      <c r="O331" s="13" t="str">
        <f aca="false">IF(B331="","",IFERROR(AVERAGEIFS(Питание!$B$14:$B$378,Питание!$A$14:$A$378,"&gt;"&amp;$A331-7,Питание!$A$14:$A$378,"&lt;="&amp;$A331,Питание!$B$14:$B$378,"&gt;0"),""))</f>
        <v/>
      </c>
      <c r="P331" s="8" t="str">
        <f aca="false">IF(C331="","",IFERROR(AVERAGEIFS(Питание!$C$14:$C$378,Питание!$A$14:$A$378,"&gt;"&amp;$A331-7,Питание!$A$14:$A$378,"&lt;="&amp;$A331,Питание!$C$14:$C$378,"&gt;0"),""))</f>
        <v/>
      </c>
      <c r="Q331" s="8" t="str">
        <f aca="false">IF(D331="","",IFERROR(AVERAGEIFS(Питание!$D$14:$D$378,Питание!$A$14:$A$378,"&gt;"&amp;$A331-7,Питание!$A$14:$A$378,"&lt;="&amp;$A331,Питание!$D$14:$D$378,"&gt;0"),""))</f>
        <v/>
      </c>
      <c r="R331" s="14" t="str">
        <f aca="false">IF(O331="","",IFERROR(O331-AVERAGEIFS(Питание!$B$14:$B$378,Питание!$A$14:$A$378,"&gt;"&amp;$A331-14,Питание!$A$14:$A$378,"&lt;="&amp;$A331-7,Питание!$B$14:$B$378,"&gt;0"),""))</f>
        <v/>
      </c>
      <c r="S331" s="15" t="str">
        <f aca="false">IF(R331="","",R331/O331)</f>
        <v/>
      </c>
      <c r="T331" s="11" t="str">
        <f aca="false">IF(O331="","",O331-StartWeight)</f>
        <v/>
      </c>
    </row>
    <row r="332" customFormat="false" ht="15" hidden="false" customHeight="true" outlineLevel="0" collapsed="false">
      <c r="A332" s="16" t="n">
        <f aca="false">A331+1</f>
        <v>46612</v>
      </c>
      <c r="B332" s="17"/>
      <c r="C332" s="18"/>
      <c r="D332" s="18"/>
      <c r="E332" s="18"/>
      <c r="F332" s="18"/>
      <c r="G332" s="18"/>
      <c r="H332" s="17"/>
      <c r="I332" s="19"/>
      <c r="J332" s="10" t="str">
        <f aca="false">IF(C332="","",C332-TargetKcal)</f>
        <v/>
      </c>
      <c r="K332" s="10" t="str">
        <f aca="false">IF(D332="","",D332-TargetProtein)</f>
        <v/>
      </c>
      <c r="L332" s="10" t="str">
        <f aca="false">IF(E332="","",E332-TargetFat)</f>
        <v/>
      </c>
      <c r="M332" s="10" t="str">
        <f aca="false">IF(F332="","",F332-TargetCarb)</f>
        <v/>
      </c>
      <c r="N332" s="10" t="str">
        <f aca="false">IF(COUNT(C332:F332)&lt;4,"",ROUND(4*D332+9*E332+4*F332-C332,0))</f>
        <v/>
      </c>
      <c r="O332" s="13" t="str">
        <f aca="false">IF(B332="","",IFERROR(AVERAGEIFS(Питание!$B$14:$B$378,Питание!$A$14:$A$378,"&gt;"&amp;$A332-7,Питание!$A$14:$A$378,"&lt;="&amp;$A332,Питание!$B$14:$B$378,"&gt;0"),""))</f>
        <v/>
      </c>
      <c r="P332" s="8" t="str">
        <f aca="false">IF(C332="","",IFERROR(AVERAGEIFS(Питание!$C$14:$C$378,Питание!$A$14:$A$378,"&gt;"&amp;$A332-7,Питание!$A$14:$A$378,"&lt;="&amp;$A332,Питание!$C$14:$C$378,"&gt;0"),""))</f>
        <v/>
      </c>
      <c r="Q332" s="8" t="str">
        <f aca="false">IF(D332="","",IFERROR(AVERAGEIFS(Питание!$D$14:$D$378,Питание!$A$14:$A$378,"&gt;"&amp;$A332-7,Питание!$A$14:$A$378,"&lt;="&amp;$A332,Питание!$D$14:$D$378,"&gt;0"),""))</f>
        <v/>
      </c>
      <c r="R332" s="14" t="str">
        <f aca="false">IF(O332="","",IFERROR(O332-AVERAGEIFS(Питание!$B$14:$B$378,Питание!$A$14:$A$378,"&gt;"&amp;$A332-14,Питание!$A$14:$A$378,"&lt;="&amp;$A332-7,Питание!$B$14:$B$378,"&gt;0"),""))</f>
        <v/>
      </c>
      <c r="S332" s="15" t="str">
        <f aca="false">IF(R332="","",R332/O332)</f>
        <v/>
      </c>
      <c r="T332" s="11" t="str">
        <f aca="false">IF(O332="","",O332-StartWeight)</f>
        <v/>
      </c>
    </row>
    <row r="333" customFormat="false" ht="15" hidden="false" customHeight="true" outlineLevel="0" collapsed="false">
      <c r="A333" s="16" t="n">
        <f aca="false">A332+1</f>
        <v>46613</v>
      </c>
      <c r="B333" s="17"/>
      <c r="C333" s="18"/>
      <c r="D333" s="18"/>
      <c r="E333" s="18"/>
      <c r="F333" s="18"/>
      <c r="G333" s="18"/>
      <c r="H333" s="17"/>
      <c r="I333" s="19"/>
      <c r="J333" s="10" t="str">
        <f aca="false">IF(C333="","",C333-TargetKcal)</f>
        <v/>
      </c>
      <c r="K333" s="10" t="str">
        <f aca="false">IF(D333="","",D333-TargetProtein)</f>
        <v/>
      </c>
      <c r="L333" s="10" t="str">
        <f aca="false">IF(E333="","",E333-TargetFat)</f>
        <v/>
      </c>
      <c r="M333" s="10" t="str">
        <f aca="false">IF(F333="","",F333-TargetCarb)</f>
        <v/>
      </c>
      <c r="N333" s="10" t="str">
        <f aca="false">IF(COUNT(C333:F333)&lt;4,"",ROUND(4*D333+9*E333+4*F333-C333,0))</f>
        <v/>
      </c>
      <c r="O333" s="13" t="str">
        <f aca="false">IF(B333="","",IFERROR(AVERAGEIFS(Питание!$B$14:$B$378,Питание!$A$14:$A$378,"&gt;"&amp;$A333-7,Питание!$A$14:$A$378,"&lt;="&amp;$A333,Питание!$B$14:$B$378,"&gt;0"),""))</f>
        <v/>
      </c>
      <c r="P333" s="8" t="str">
        <f aca="false">IF(C333="","",IFERROR(AVERAGEIFS(Питание!$C$14:$C$378,Питание!$A$14:$A$378,"&gt;"&amp;$A333-7,Питание!$A$14:$A$378,"&lt;="&amp;$A333,Питание!$C$14:$C$378,"&gt;0"),""))</f>
        <v/>
      </c>
      <c r="Q333" s="8" t="str">
        <f aca="false">IF(D333="","",IFERROR(AVERAGEIFS(Питание!$D$14:$D$378,Питание!$A$14:$A$378,"&gt;"&amp;$A333-7,Питание!$A$14:$A$378,"&lt;="&amp;$A333,Питание!$D$14:$D$378,"&gt;0"),""))</f>
        <v/>
      </c>
      <c r="R333" s="14" t="str">
        <f aca="false">IF(O333="","",IFERROR(O333-AVERAGEIFS(Питание!$B$14:$B$378,Питание!$A$14:$A$378,"&gt;"&amp;$A333-14,Питание!$A$14:$A$378,"&lt;="&amp;$A333-7,Питание!$B$14:$B$378,"&gt;0"),""))</f>
        <v/>
      </c>
      <c r="S333" s="15" t="str">
        <f aca="false">IF(R333="","",R333/O333)</f>
        <v/>
      </c>
      <c r="T333" s="11" t="str">
        <f aca="false">IF(O333="","",O333-StartWeight)</f>
        <v/>
      </c>
    </row>
    <row r="334" customFormat="false" ht="15" hidden="false" customHeight="true" outlineLevel="0" collapsed="false">
      <c r="A334" s="16" t="n">
        <f aca="false">A333+1</f>
        <v>46614</v>
      </c>
      <c r="B334" s="17"/>
      <c r="C334" s="18"/>
      <c r="D334" s="18"/>
      <c r="E334" s="18"/>
      <c r="F334" s="18"/>
      <c r="G334" s="18"/>
      <c r="H334" s="17"/>
      <c r="I334" s="19"/>
      <c r="J334" s="10" t="str">
        <f aca="false">IF(C334="","",C334-TargetKcal)</f>
        <v/>
      </c>
      <c r="K334" s="10" t="str">
        <f aca="false">IF(D334="","",D334-TargetProtein)</f>
        <v/>
      </c>
      <c r="L334" s="10" t="str">
        <f aca="false">IF(E334="","",E334-TargetFat)</f>
        <v/>
      </c>
      <c r="M334" s="10" t="str">
        <f aca="false">IF(F334="","",F334-TargetCarb)</f>
        <v/>
      </c>
      <c r="N334" s="10" t="str">
        <f aca="false">IF(COUNT(C334:F334)&lt;4,"",ROUND(4*D334+9*E334+4*F334-C334,0))</f>
        <v/>
      </c>
      <c r="O334" s="13" t="str">
        <f aca="false">IF(B334="","",IFERROR(AVERAGEIFS(Питание!$B$14:$B$378,Питание!$A$14:$A$378,"&gt;"&amp;$A334-7,Питание!$A$14:$A$378,"&lt;="&amp;$A334,Питание!$B$14:$B$378,"&gt;0"),""))</f>
        <v/>
      </c>
      <c r="P334" s="8" t="str">
        <f aca="false">IF(C334="","",IFERROR(AVERAGEIFS(Питание!$C$14:$C$378,Питание!$A$14:$A$378,"&gt;"&amp;$A334-7,Питание!$A$14:$A$378,"&lt;="&amp;$A334,Питание!$C$14:$C$378,"&gt;0"),""))</f>
        <v/>
      </c>
      <c r="Q334" s="8" t="str">
        <f aca="false">IF(D334="","",IFERROR(AVERAGEIFS(Питание!$D$14:$D$378,Питание!$A$14:$A$378,"&gt;"&amp;$A334-7,Питание!$A$14:$A$378,"&lt;="&amp;$A334,Питание!$D$14:$D$378,"&gt;0"),""))</f>
        <v/>
      </c>
      <c r="R334" s="14" t="str">
        <f aca="false">IF(O334="","",IFERROR(O334-AVERAGEIFS(Питание!$B$14:$B$378,Питание!$A$14:$A$378,"&gt;"&amp;$A334-14,Питание!$A$14:$A$378,"&lt;="&amp;$A334-7,Питание!$B$14:$B$378,"&gt;0"),""))</f>
        <v/>
      </c>
      <c r="S334" s="15" t="str">
        <f aca="false">IF(R334="","",R334/O334)</f>
        <v/>
      </c>
      <c r="T334" s="11" t="str">
        <f aca="false">IF(O334="","",O334-StartWeight)</f>
        <v/>
      </c>
    </row>
    <row r="335" customFormat="false" ht="15" hidden="false" customHeight="true" outlineLevel="0" collapsed="false">
      <c r="A335" s="16" t="n">
        <f aca="false">A334+1</f>
        <v>46615</v>
      </c>
      <c r="B335" s="17"/>
      <c r="C335" s="18"/>
      <c r="D335" s="18"/>
      <c r="E335" s="18"/>
      <c r="F335" s="18"/>
      <c r="G335" s="18"/>
      <c r="H335" s="17"/>
      <c r="I335" s="19"/>
      <c r="J335" s="10" t="str">
        <f aca="false">IF(C335="","",C335-TargetKcal)</f>
        <v/>
      </c>
      <c r="K335" s="10" t="str">
        <f aca="false">IF(D335="","",D335-TargetProtein)</f>
        <v/>
      </c>
      <c r="L335" s="10" t="str">
        <f aca="false">IF(E335="","",E335-TargetFat)</f>
        <v/>
      </c>
      <c r="M335" s="10" t="str">
        <f aca="false">IF(F335="","",F335-TargetCarb)</f>
        <v/>
      </c>
      <c r="N335" s="10" t="str">
        <f aca="false">IF(COUNT(C335:F335)&lt;4,"",ROUND(4*D335+9*E335+4*F335-C335,0))</f>
        <v/>
      </c>
      <c r="O335" s="13" t="str">
        <f aca="false">IF(B335="","",IFERROR(AVERAGEIFS(Питание!$B$14:$B$378,Питание!$A$14:$A$378,"&gt;"&amp;$A335-7,Питание!$A$14:$A$378,"&lt;="&amp;$A335,Питание!$B$14:$B$378,"&gt;0"),""))</f>
        <v/>
      </c>
      <c r="P335" s="8" t="str">
        <f aca="false">IF(C335="","",IFERROR(AVERAGEIFS(Питание!$C$14:$C$378,Питание!$A$14:$A$378,"&gt;"&amp;$A335-7,Питание!$A$14:$A$378,"&lt;="&amp;$A335,Питание!$C$14:$C$378,"&gt;0"),""))</f>
        <v/>
      </c>
      <c r="Q335" s="8" t="str">
        <f aca="false">IF(D335="","",IFERROR(AVERAGEIFS(Питание!$D$14:$D$378,Питание!$A$14:$A$378,"&gt;"&amp;$A335-7,Питание!$A$14:$A$378,"&lt;="&amp;$A335,Питание!$D$14:$D$378,"&gt;0"),""))</f>
        <v/>
      </c>
      <c r="R335" s="14" t="str">
        <f aca="false">IF(O335="","",IFERROR(O335-AVERAGEIFS(Питание!$B$14:$B$378,Питание!$A$14:$A$378,"&gt;"&amp;$A335-14,Питание!$A$14:$A$378,"&lt;="&amp;$A335-7,Питание!$B$14:$B$378,"&gt;0"),""))</f>
        <v/>
      </c>
      <c r="S335" s="15" t="str">
        <f aca="false">IF(R335="","",R335/O335)</f>
        <v/>
      </c>
      <c r="T335" s="11" t="str">
        <f aca="false">IF(O335="","",O335-StartWeight)</f>
        <v/>
      </c>
    </row>
    <row r="336" customFormat="false" ht="15" hidden="false" customHeight="true" outlineLevel="0" collapsed="false">
      <c r="A336" s="16" t="n">
        <f aca="false">A335+1</f>
        <v>46616</v>
      </c>
      <c r="B336" s="17"/>
      <c r="C336" s="18"/>
      <c r="D336" s="18"/>
      <c r="E336" s="18"/>
      <c r="F336" s="18"/>
      <c r="G336" s="18"/>
      <c r="H336" s="17"/>
      <c r="I336" s="19"/>
      <c r="J336" s="10" t="str">
        <f aca="false">IF(C336="","",C336-TargetKcal)</f>
        <v/>
      </c>
      <c r="K336" s="10" t="str">
        <f aca="false">IF(D336="","",D336-TargetProtein)</f>
        <v/>
      </c>
      <c r="L336" s="10" t="str">
        <f aca="false">IF(E336="","",E336-TargetFat)</f>
        <v/>
      </c>
      <c r="M336" s="10" t="str">
        <f aca="false">IF(F336="","",F336-TargetCarb)</f>
        <v/>
      </c>
      <c r="N336" s="10" t="str">
        <f aca="false">IF(COUNT(C336:F336)&lt;4,"",ROUND(4*D336+9*E336+4*F336-C336,0))</f>
        <v/>
      </c>
      <c r="O336" s="13" t="str">
        <f aca="false">IF(B336="","",IFERROR(AVERAGEIFS(Питание!$B$14:$B$378,Питание!$A$14:$A$378,"&gt;"&amp;$A336-7,Питание!$A$14:$A$378,"&lt;="&amp;$A336,Питание!$B$14:$B$378,"&gt;0"),""))</f>
        <v/>
      </c>
      <c r="P336" s="8" t="str">
        <f aca="false">IF(C336="","",IFERROR(AVERAGEIFS(Питание!$C$14:$C$378,Питание!$A$14:$A$378,"&gt;"&amp;$A336-7,Питание!$A$14:$A$378,"&lt;="&amp;$A336,Питание!$C$14:$C$378,"&gt;0"),""))</f>
        <v/>
      </c>
      <c r="Q336" s="8" t="str">
        <f aca="false">IF(D336="","",IFERROR(AVERAGEIFS(Питание!$D$14:$D$378,Питание!$A$14:$A$378,"&gt;"&amp;$A336-7,Питание!$A$14:$A$378,"&lt;="&amp;$A336,Питание!$D$14:$D$378,"&gt;0"),""))</f>
        <v/>
      </c>
      <c r="R336" s="14" t="str">
        <f aca="false">IF(O336="","",IFERROR(O336-AVERAGEIFS(Питание!$B$14:$B$378,Питание!$A$14:$A$378,"&gt;"&amp;$A336-14,Питание!$A$14:$A$378,"&lt;="&amp;$A336-7,Питание!$B$14:$B$378,"&gt;0"),""))</f>
        <v/>
      </c>
      <c r="S336" s="15" t="str">
        <f aca="false">IF(R336="","",R336/O336)</f>
        <v/>
      </c>
      <c r="T336" s="11" t="str">
        <f aca="false">IF(O336="","",O336-StartWeight)</f>
        <v/>
      </c>
    </row>
    <row r="337" customFormat="false" ht="15" hidden="false" customHeight="true" outlineLevel="0" collapsed="false">
      <c r="A337" s="16" t="n">
        <f aca="false">A336+1</f>
        <v>46617</v>
      </c>
      <c r="B337" s="17"/>
      <c r="C337" s="18"/>
      <c r="D337" s="18"/>
      <c r="E337" s="18"/>
      <c r="F337" s="18"/>
      <c r="G337" s="18"/>
      <c r="H337" s="17"/>
      <c r="I337" s="19"/>
      <c r="J337" s="10" t="str">
        <f aca="false">IF(C337="","",C337-TargetKcal)</f>
        <v/>
      </c>
      <c r="K337" s="10" t="str">
        <f aca="false">IF(D337="","",D337-TargetProtein)</f>
        <v/>
      </c>
      <c r="L337" s="10" t="str">
        <f aca="false">IF(E337="","",E337-TargetFat)</f>
        <v/>
      </c>
      <c r="M337" s="10" t="str">
        <f aca="false">IF(F337="","",F337-TargetCarb)</f>
        <v/>
      </c>
      <c r="N337" s="10" t="str">
        <f aca="false">IF(COUNT(C337:F337)&lt;4,"",ROUND(4*D337+9*E337+4*F337-C337,0))</f>
        <v/>
      </c>
      <c r="O337" s="13" t="str">
        <f aca="false">IF(B337="","",IFERROR(AVERAGEIFS(Питание!$B$14:$B$378,Питание!$A$14:$A$378,"&gt;"&amp;$A337-7,Питание!$A$14:$A$378,"&lt;="&amp;$A337,Питание!$B$14:$B$378,"&gt;0"),""))</f>
        <v/>
      </c>
      <c r="P337" s="8" t="str">
        <f aca="false">IF(C337="","",IFERROR(AVERAGEIFS(Питание!$C$14:$C$378,Питание!$A$14:$A$378,"&gt;"&amp;$A337-7,Питание!$A$14:$A$378,"&lt;="&amp;$A337,Питание!$C$14:$C$378,"&gt;0"),""))</f>
        <v/>
      </c>
      <c r="Q337" s="8" t="str">
        <f aca="false">IF(D337="","",IFERROR(AVERAGEIFS(Питание!$D$14:$D$378,Питание!$A$14:$A$378,"&gt;"&amp;$A337-7,Питание!$A$14:$A$378,"&lt;="&amp;$A337,Питание!$D$14:$D$378,"&gt;0"),""))</f>
        <v/>
      </c>
      <c r="R337" s="14" t="str">
        <f aca="false">IF(O337="","",IFERROR(O337-AVERAGEIFS(Питание!$B$14:$B$378,Питание!$A$14:$A$378,"&gt;"&amp;$A337-14,Питание!$A$14:$A$378,"&lt;="&amp;$A337-7,Питание!$B$14:$B$378,"&gt;0"),""))</f>
        <v/>
      </c>
      <c r="S337" s="15" t="str">
        <f aca="false">IF(R337="","",R337/O337)</f>
        <v/>
      </c>
      <c r="T337" s="11" t="str">
        <f aca="false">IF(O337="","",O337-StartWeight)</f>
        <v/>
      </c>
    </row>
    <row r="338" customFormat="false" ht="15" hidden="false" customHeight="true" outlineLevel="0" collapsed="false">
      <c r="A338" s="16" t="n">
        <f aca="false">A337+1</f>
        <v>46618</v>
      </c>
      <c r="B338" s="17"/>
      <c r="C338" s="18"/>
      <c r="D338" s="18"/>
      <c r="E338" s="18"/>
      <c r="F338" s="18"/>
      <c r="G338" s="18"/>
      <c r="H338" s="17"/>
      <c r="I338" s="19"/>
      <c r="J338" s="10" t="str">
        <f aca="false">IF(C338="","",C338-TargetKcal)</f>
        <v/>
      </c>
      <c r="K338" s="10" t="str">
        <f aca="false">IF(D338="","",D338-TargetProtein)</f>
        <v/>
      </c>
      <c r="L338" s="10" t="str">
        <f aca="false">IF(E338="","",E338-TargetFat)</f>
        <v/>
      </c>
      <c r="M338" s="10" t="str">
        <f aca="false">IF(F338="","",F338-TargetCarb)</f>
        <v/>
      </c>
      <c r="N338" s="10" t="str">
        <f aca="false">IF(COUNT(C338:F338)&lt;4,"",ROUND(4*D338+9*E338+4*F338-C338,0))</f>
        <v/>
      </c>
      <c r="O338" s="13" t="str">
        <f aca="false">IF(B338="","",IFERROR(AVERAGEIFS(Питание!$B$14:$B$378,Питание!$A$14:$A$378,"&gt;"&amp;$A338-7,Питание!$A$14:$A$378,"&lt;="&amp;$A338,Питание!$B$14:$B$378,"&gt;0"),""))</f>
        <v/>
      </c>
      <c r="P338" s="8" t="str">
        <f aca="false">IF(C338="","",IFERROR(AVERAGEIFS(Питание!$C$14:$C$378,Питание!$A$14:$A$378,"&gt;"&amp;$A338-7,Питание!$A$14:$A$378,"&lt;="&amp;$A338,Питание!$C$14:$C$378,"&gt;0"),""))</f>
        <v/>
      </c>
      <c r="Q338" s="8" t="str">
        <f aca="false">IF(D338="","",IFERROR(AVERAGEIFS(Питание!$D$14:$D$378,Питание!$A$14:$A$378,"&gt;"&amp;$A338-7,Питание!$A$14:$A$378,"&lt;="&amp;$A338,Питание!$D$14:$D$378,"&gt;0"),""))</f>
        <v/>
      </c>
      <c r="R338" s="14" t="str">
        <f aca="false">IF(O338="","",IFERROR(O338-AVERAGEIFS(Питание!$B$14:$B$378,Питание!$A$14:$A$378,"&gt;"&amp;$A338-14,Питание!$A$14:$A$378,"&lt;="&amp;$A338-7,Питание!$B$14:$B$378,"&gt;0"),""))</f>
        <v/>
      </c>
      <c r="S338" s="15" t="str">
        <f aca="false">IF(R338="","",R338/O338)</f>
        <v/>
      </c>
      <c r="T338" s="11" t="str">
        <f aca="false">IF(O338="","",O338-StartWeight)</f>
        <v/>
      </c>
    </row>
    <row r="339" customFormat="false" ht="15" hidden="false" customHeight="true" outlineLevel="0" collapsed="false">
      <c r="A339" s="16" t="n">
        <f aca="false">A338+1</f>
        <v>46619</v>
      </c>
      <c r="B339" s="17"/>
      <c r="C339" s="18"/>
      <c r="D339" s="18"/>
      <c r="E339" s="18"/>
      <c r="F339" s="18"/>
      <c r="G339" s="18"/>
      <c r="H339" s="17"/>
      <c r="I339" s="19"/>
      <c r="J339" s="10" t="str">
        <f aca="false">IF(C339="","",C339-TargetKcal)</f>
        <v/>
      </c>
      <c r="K339" s="10" t="str">
        <f aca="false">IF(D339="","",D339-TargetProtein)</f>
        <v/>
      </c>
      <c r="L339" s="10" t="str">
        <f aca="false">IF(E339="","",E339-TargetFat)</f>
        <v/>
      </c>
      <c r="M339" s="10" t="str">
        <f aca="false">IF(F339="","",F339-TargetCarb)</f>
        <v/>
      </c>
      <c r="N339" s="10" t="str">
        <f aca="false">IF(COUNT(C339:F339)&lt;4,"",ROUND(4*D339+9*E339+4*F339-C339,0))</f>
        <v/>
      </c>
      <c r="O339" s="13" t="str">
        <f aca="false">IF(B339="","",IFERROR(AVERAGEIFS(Питание!$B$14:$B$378,Питание!$A$14:$A$378,"&gt;"&amp;$A339-7,Питание!$A$14:$A$378,"&lt;="&amp;$A339,Питание!$B$14:$B$378,"&gt;0"),""))</f>
        <v/>
      </c>
      <c r="P339" s="8" t="str">
        <f aca="false">IF(C339="","",IFERROR(AVERAGEIFS(Питание!$C$14:$C$378,Питание!$A$14:$A$378,"&gt;"&amp;$A339-7,Питание!$A$14:$A$378,"&lt;="&amp;$A339,Питание!$C$14:$C$378,"&gt;0"),""))</f>
        <v/>
      </c>
      <c r="Q339" s="8" t="str">
        <f aca="false">IF(D339="","",IFERROR(AVERAGEIFS(Питание!$D$14:$D$378,Питание!$A$14:$A$378,"&gt;"&amp;$A339-7,Питание!$A$14:$A$378,"&lt;="&amp;$A339,Питание!$D$14:$D$378,"&gt;0"),""))</f>
        <v/>
      </c>
      <c r="R339" s="14" t="str">
        <f aca="false">IF(O339="","",IFERROR(O339-AVERAGEIFS(Питание!$B$14:$B$378,Питание!$A$14:$A$378,"&gt;"&amp;$A339-14,Питание!$A$14:$A$378,"&lt;="&amp;$A339-7,Питание!$B$14:$B$378,"&gt;0"),""))</f>
        <v/>
      </c>
      <c r="S339" s="15" t="str">
        <f aca="false">IF(R339="","",R339/O339)</f>
        <v/>
      </c>
      <c r="T339" s="11" t="str">
        <f aca="false">IF(O339="","",O339-StartWeight)</f>
        <v/>
      </c>
    </row>
    <row r="340" customFormat="false" ht="15" hidden="false" customHeight="true" outlineLevel="0" collapsed="false">
      <c r="A340" s="16" t="n">
        <f aca="false">A339+1</f>
        <v>46620</v>
      </c>
      <c r="B340" s="17"/>
      <c r="C340" s="18"/>
      <c r="D340" s="18"/>
      <c r="E340" s="18"/>
      <c r="F340" s="18"/>
      <c r="G340" s="18"/>
      <c r="H340" s="17"/>
      <c r="I340" s="19"/>
      <c r="J340" s="10" t="str">
        <f aca="false">IF(C340="","",C340-TargetKcal)</f>
        <v/>
      </c>
      <c r="K340" s="10" t="str">
        <f aca="false">IF(D340="","",D340-TargetProtein)</f>
        <v/>
      </c>
      <c r="L340" s="10" t="str">
        <f aca="false">IF(E340="","",E340-TargetFat)</f>
        <v/>
      </c>
      <c r="M340" s="10" t="str">
        <f aca="false">IF(F340="","",F340-TargetCarb)</f>
        <v/>
      </c>
      <c r="N340" s="10" t="str">
        <f aca="false">IF(COUNT(C340:F340)&lt;4,"",ROUND(4*D340+9*E340+4*F340-C340,0))</f>
        <v/>
      </c>
      <c r="O340" s="13" t="str">
        <f aca="false">IF(B340="","",IFERROR(AVERAGEIFS(Питание!$B$14:$B$378,Питание!$A$14:$A$378,"&gt;"&amp;$A340-7,Питание!$A$14:$A$378,"&lt;="&amp;$A340,Питание!$B$14:$B$378,"&gt;0"),""))</f>
        <v/>
      </c>
      <c r="P340" s="8" t="str">
        <f aca="false">IF(C340="","",IFERROR(AVERAGEIFS(Питание!$C$14:$C$378,Питание!$A$14:$A$378,"&gt;"&amp;$A340-7,Питание!$A$14:$A$378,"&lt;="&amp;$A340,Питание!$C$14:$C$378,"&gt;0"),""))</f>
        <v/>
      </c>
      <c r="Q340" s="8" t="str">
        <f aca="false">IF(D340="","",IFERROR(AVERAGEIFS(Питание!$D$14:$D$378,Питание!$A$14:$A$378,"&gt;"&amp;$A340-7,Питание!$A$14:$A$378,"&lt;="&amp;$A340,Питание!$D$14:$D$378,"&gt;0"),""))</f>
        <v/>
      </c>
      <c r="R340" s="14" t="str">
        <f aca="false">IF(O340="","",IFERROR(O340-AVERAGEIFS(Питание!$B$14:$B$378,Питание!$A$14:$A$378,"&gt;"&amp;$A340-14,Питание!$A$14:$A$378,"&lt;="&amp;$A340-7,Питание!$B$14:$B$378,"&gt;0"),""))</f>
        <v/>
      </c>
      <c r="S340" s="15" t="str">
        <f aca="false">IF(R340="","",R340/O340)</f>
        <v/>
      </c>
      <c r="T340" s="11" t="str">
        <f aca="false">IF(O340="","",O340-StartWeight)</f>
        <v/>
      </c>
    </row>
    <row r="341" customFormat="false" ht="15" hidden="false" customHeight="true" outlineLevel="0" collapsed="false">
      <c r="A341" s="16" t="n">
        <f aca="false">A340+1</f>
        <v>46621</v>
      </c>
      <c r="B341" s="17"/>
      <c r="C341" s="18"/>
      <c r="D341" s="18"/>
      <c r="E341" s="18"/>
      <c r="F341" s="18"/>
      <c r="G341" s="18"/>
      <c r="H341" s="17"/>
      <c r="I341" s="19"/>
      <c r="J341" s="10" t="str">
        <f aca="false">IF(C341="","",C341-TargetKcal)</f>
        <v/>
      </c>
      <c r="K341" s="10" t="str">
        <f aca="false">IF(D341="","",D341-TargetProtein)</f>
        <v/>
      </c>
      <c r="L341" s="10" t="str">
        <f aca="false">IF(E341="","",E341-TargetFat)</f>
        <v/>
      </c>
      <c r="M341" s="10" t="str">
        <f aca="false">IF(F341="","",F341-TargetCarb)</f>
        <v/>
      </c>
      <c r="N341" s="10" t="str">
        <f aca="false">IF(COUNT(C341:F341)&lt;4,"",ROUND(4*D341+9*E341+4*F341-C341,0))</f>
        <v/>
      </c>
      <c r="O341" s="13" t="str">
        <f aca="false">IF(B341="","",IFERROR(AVERAGEIFS(Питание!$B$14:$B$378,Питание!$A$14:$A$378,"&gt;"&amp;$A341-7,Питание!$A$14:$A$378,"&lt;="&amp;$A341,Питание!$B$14:$B$378,"&gt;0"),""))</f>
        <v/>
      </c>
      <c r="P341" s="8" t="str">
        <f aca="false">IF(C341="","",IFERROR(AVERAGEIFS(Питание!$C$14:$C$378,Питание!$A$14:$A$378,"&gt;"&amp;$A341-7,Питание!$A$14:$A$378,"&lt;="&amp;$A341,Питание!$C$14:$C$378,"&gt;0"),""))</f>
        <v/>
      </c>
      <c r="Q341" s="8" t="str">
        <f aca="false">IF(D341="","",IFERROR(AVERAGEIFS(Питание!$D$14:$D$378,Питание!$A$14:$A$378,"&gt;"&amp;$A341-7,Питание!$A$14:$A$378,"&lt;="&amp;$A341,Питание!$D$14:$D$378,"&gt;0"),""))</f>
        <v/>
      </c>
      <c r="R341" s="14" t="str">
        <f aca="false">IF(O341="","",IFERROR(O341-AVERAGEIFS(Питание!$B$14:$B$378,Питание!$A$14:$A$378,"&gt;"&amp;$A341-14,Питание!$A$14:$A$378,"&lt;="&amp;$A341-7,Питание!$B$14:$B$378,"&gt;0"),""))</f>
        <v/>
      </c>
      <c r="S341" s="15" t="str">
        <f aca="false">IF(R341="","",R341/O341)</f>
        <v/>
      </c>
      <c r="T341" s="11" t="str">
        <f aca="false">IF(O341="","",O341-StartWeight)</f>
        <v/>
      </c>
    </row>
    <row r="342" customFormat="false" ht="15" hidden="false" customHeight="true" outlineLevel="0" collapsed="false">
      <c r="A342" s="16" t="n">
        <f aca="false">A341+1</f>
        <v>46622</v>
      </c>
      <c r="B342" s="17"/>
      <c r="C342" s="18"/>
      <c r="D342" s="18"/>
      <c r="E342" s="18"/>
      <c r="F342" s="18"/>
      <c r="G342" s="18"/>
      <c r="H342" s="17"/>
      <c r="I342" s="19"/>
      <c r="J342" s="10" t="str">
        <f aca="false">IF(C342="","",C342-TargetKcal)</f>
        <v/>
      </c>
      <c r="K342" s="10" t="str">
        <f aca="false">IF(D342="","",D342-TargetProtein)</f>
        <v/>
      </c>
      <c r="L342" s="10" t="str">
        <f aca="false">IF(E342="","",E342-TargetFat)</f>
        <v/>
      </c>
      <c r="M342" s="10" t="str">
        <f aca="false">IF(F342="","",F342-TargetCarb)</f>
        <v/>
      </c>
      <c r="N342" s="10" t="str">
        <f aca="false">IF(COUNT(C342:F342)&lt;4,"",ROUND(4*D342+9*E342+4*F342-C342,0))</f>
        <v/>
      </c>
      <c r="O342" s="13" t="str">
        <f aca="false">IF(B342="","",IFERROR(AVERAGEIFS(Питание!$B$14:$B$378,Питание!$A$14:$A$378,"&gt;"&amp;$A342-7,Питание!$A$14:$A$378,"&lt;="&amp;$A342,Питание!$B$14:$B$378,"&gt;0"),""))</f>
        <v/>
      </c>
      <c r="P342" s="8" t="str">
        <f aca="false">IF(C342="","",IFERROR(AVERAGEIFS(Питание!$C$14:$C$378,Питание!$A$14:$A$378,"&gt;"&amp;$A342-7,Питание!$A$14:$A$378,"&lt;="&amp;$A342,Питание!$C$14:$C$378,"&gt;0"),""))</f>
        <v/>
      </c>
      <c r="Q342" s="8" t="str">
        <f aca="false">IF(D342="","",IFERROR(AVERAGEIFS(Питание!$D$14:$D$378,Питание!$A$14:$A$378,"&gt;"&amp;$A342-7,Питание!$A$14:$A$378,"&lt;="&amp;$A342,Питание!$D$14:$D$378,"&gt;0"),""))</f>
        <v/>
      </c>
      <c r="R342" s="14" t="str">
        <f aca="false">IF(O342="","",IFERROR(O342-AVERAGEIFS(Питание!$B$14:$B$378,Питание!$A$14:$A$378,"&gt;"&amp;$A342-14,Питание!$A$14:$A$378,"&lt;="&amp;$A342-7,Питание!$B$14:$B$378,"&gt;0"),""))</f>
        <v/>
      </c>
      <c r="S342" s="15" t="str">
        <f aca="false">IF(R342="","",R342/O342)</f>
        <v/>
      </c>
      <c r="T342" s="11" t="str">
        <f aca="false">IF(O342="","",O342-StartWeight)</f>
        <v/>
      </c>
    </row>
    <row r="343" customFormat="false" ht="15" hidden="false" customHeight="true" outlineLevel="0" collapsed="false">
      <c r="A343" s="16" t="n">
        <f aca="false">A342+1</f>
        <v>46623</v>
      </c>
      <c r="B343" s="17"/>
      <c r="C343" s="18"/>
      <c r="D343" s="18"/>
      <c r="E343" s="18"/>
      <c r="F343" s="18"/>
      <c r="G343" s="18"/>
      <c r="H343" s="17"/>
      <c r="I343" s="19"/>
      <c r="J343" s="10" t="str">
        <f aca="false">IF(C343="","",C343-TargetKcal)</f>
        <v/>
      </c>
      <c r="K343" s="10" t="str">
        <f aca="false">IF(D343="","",D343-TargetProtein)</f>
        <v/>
      </c>
      <c r="L343" s="10" t="str">
        <f aca="false">IF(E343="","",E343-TargetFat)</f>
        <v/>
      </c>
      <c r="M343" s="10" t="str">
        <f aca="false">IF(F343="","",F343-TargetCarb)</f>
        <v/>
      </c>
      <c r="N343" s="10" t="str">
        <f aca="false">IF(COUNT(C343:F343)&lt;4,"",ROUND(4*D343+9*E343+4*F343-C343,0))</f>
        <v/>
      </c>
      <c r="O343" s="13" t="str">
        <f aca="false">IF(B343="","",IFERROR(AVERAGEIFS(Питание!$B$14:$B$378,Питание!$A$14:$A$378,"&gt;"&amp;$A343-7,Питание!$A$14:$A$378,"&lt;="&amp;$A343,Питание!$B$14:$B$378,"&gt;0"),""))</f>
        <v/>
      </c>
      <c r="P343" s="8" t="str">
        <f aca="false">IF(C343="","",IFERROR(AVERAGEIFS(Питание!$C$14:$C$378,Питание!$A$14:$A$378,"&gt;"&amp;$A343-7,Питание!$A$14:$A$378,"&lt;="&amp;$A343,Питание!$C$14:$C$378,"&gt;0"),""))</f>
        <v/>
      </c>
      <c r="Q343" s="8" t="str">
        <f aca="false">IF(D343="","",IFERROR(AVERAGEIFS(Питание!$D$14:$D$378,Питание!$A$14:$A$378,"&gt;"&amp;$A343-7,Питание!$A$14:$A$378,"&lt;="&amp;$A343,Питание!$D$14:$D$378,"&gt;0"),""))</f>
        <v/>
      </c>
      <c r="R343" s="14" t="str">
        <f aca="false">IF(O343="","",IFERROR(O343-AVERAGEIFS(Питание!$B$14:$B$378,Питание!$A$14:$A$378,"&gt;"&amp;$A343-14,Питание!$A$14:$A$378,"&lt;="&amp;$A343-7,Питание!$B$14:$B$378,"&gt;0"),""))</f>
        <v/>
      </c>
      <c r="S343" s="15" t="str">
        <f aca="false">IF(R343="","",R343/O343)</f>
        <v/>
      </c>
      <c r="T343" s="11" t="str">
        <f aca="false">IF(O343="","",O343-StartWeight)</f>
        <v/>
      </c>
    </row>
    <row r="344" customFormat="false" ht="15" hidden="false" customHeight="true" outlineLevel="0" collapsed="false">
      <c r="A344" s="16" t="n">
        <f aca="false">A343+1</f>
        <v>46624</v>
      </c>
      <c r="B344" s="17"/>
      <c r="C344" s="18"/>
      <c r="D344" s="18"/>
      <c r="E344" s="18"/>
      <c r="F344" s="18"/>
      <c r="G344" s="18"/>
      <c r="H344" s="17"/>
      <c r="I344" s="19"/>
      <c r="J344" s="10" t="str">
        <f aca="false">IF(C344="","",C344-TargetKcal)</f>
        <v/>
      </c>
      <c r="K344" s="10" t="str">
        <f aca="false">IF(D344="","",D344-TargetProtein)</f>
        <v/>
      </c>
      <c r="L344" s="10" t="str">
        <f aca="false">IF(E344="","",E344-TargetFat)</f>
        <v/>
      </c>
      <c r="M344" s="10" t="str">
        <f aca="false">IF(F344="","",F344-TargetCarb)</f>
        <v/>
      </c>
      <c r="N344" s="10" t="str">
        <f aca="false">IF(COUNT(C344:F344)&lt;4,"",ROUND(4*D344+9*E344+4*F344-C344,0))</f>
        <v/>
      </c>
      <c r="O344" s="13" t="str">
        <f aca="false">IF(B344="","",IFERROR(AVERAGEIFS(Питание!$B$14:$B$378,Питание!$A$14:$A$378,"&gt;"&amp;$A344-7,Питание!$A$14:$A$378,"&lt;="&amp;$A344,Питание!$B$14:$B$378,"&gt;0"),""))</f>
        <v/>
      </c>
      <c r="P344" s="8" t="str">
        <f aca="false">IF(C344="","",IFERROR(AVERAGEIFS(Питание!$C$14:$C$378,Питание!$A$14:$A$378,"&gt;"&amp;$A344-7,Питание!$A$14:$A$378,"&lt;="&amp;$A344,Питание!$C$14:$C$378,"&gt;0"),""))</f>
        <v/>
      </c>
      <c r="Q344" s="8" t="str">
        <f aca="false">IF(D344="","",IFERROR(AVERAGEIFS(Питание!$D$14:$D$378,Питание!$A$14:$A$378,"&gt;"&amp;$A344-7,Питание!$A$14:$A$378,"&lt;="&amp;$A344,Питание!$D$14:$D$378,"&gt;0"),""))</f>
        <v/>
      </c>
      <c r="R344" s="14" t="str">
        <f aca="false">IF(O344="","",IFERROR(O344-AVERAGEIFS(Питание!$B$14:$B$378,Питание!$A$14:$A$378,"&gt;"&amp;$A344-14,Питание!$A$14:$A$378,"&lt;="&amp;$A344-7,Питание!$B$14:$B$378,"&gt;0"),""))</f>
        <v/>
      </c>
      <c r="S344" s="15" t="str">
        <f aca="false">IF(R344="","",R344/O344)</f>
        <v/>
      </c>
      <c r="T344" s="11" t="str">
        <f aca="false">IF(O344="","",O344-StartWeight)</f>
        <v/>
      </c>
    </row>
    <row r="345" customFormat="false" ht="15" hidden="false" customHeight="true" outlineLevel="0" collapsed="false">
      <c r="A345" s="16" t="n">
        <f aca="false">A344+1</f>
        <v>46625</v>
      </c>
      <c r="B345" s="17"/>
      <c r="C345" s="18"/>
      <c r="D345" s="18"/>
      <c r="E345" s="18"/>
      <c r="F345" s="18"/>
      <c r="G345" s="18"/>
      <c r="H345" s="17"/>
      <c r="I345" s="19"/>
      <c r="J345" s="10" t="str">
        <f aca="false">IF(C345="","",C345-TargetKcal)</f>
        <v/>
      </c>
      <c r="K345" s="10" t="str">
        <f aca="false">IF(D345="","",D345-TargetProtein)</f>
        <v/>
      </c>
      <c r="L345" s="10" t="str">
        <f aca="false">IF(E345="","",E345-TargetFat)</f>
        <v/>
      </c>
      <c r="M345" s="10" t="str">
        <f aca="false">IF(F345="","",F345-TargetCarb)</f>
        <v/>
      </c>
      <c r="N345" s="10" t="str">
        <f aca="false">IF(COUNT(C345:F345)&lt;4,"",ROUND(4*D345+9*E345+4*F345-C345,0))</f>
        <v/>
      </c>
      <c r="O345" s="13" t="str">
        <f aca="false">IF(B345="","",IFERROR(AVERAGEIFS(Питание!$B$14:$B$378,Питание!$A$14:$A$378,"&gt;"&amp;$A345-7,Питание!$A$14:$A$378,"&lt;="&amp;$A345,Питание!$B$14:$B$378,"&gt;0"),""))</f>
        <v/>
      </c>
      <c r="P345" s="8" t="str">
        <f aca="false">IF(C345="","",IFERROR(AVERAGEIFS(Питание!$C$14:$C$378,Питание!$A$14:$A$378,"&gt;"&amp;$A345-7,Питание!$A$14:$A$378,"&lt;="&amp;$A345,Питание!$C$14:$C$378,"&gt;0"),""))</f>
        <v/>
      </c>
      <c r="Q345" s="8" t="str">
        <f aca="false">IF(D345="","",IFERROR(AVERAGEIFS(Питание!$D$14:$D$378,Питание!$A$14:$A$378,"&gt;"&amp;$A345-7,Питание!$A$14:$A$378,"&lt;="&amp;$A345,Питание!$D$14:$D$378,"&gt;0"),""))</f>
        <v/>
      </c>
      <c r="R345" s="14" t="str">
        <f aca="false">IF(O345="","",IFERROR(O345-AVERAGEIFS(Питание!$B$14:$B$378,Питание!$A$14:$A$378,"&gt;"&amp;$A345-14,Питание!$A$14:$A$378,"&lt;="&amp;$A345-7,Питание!$B$14:$B$378,"&gt;0"),""))</f>
        <v/>
      </c>
      <c r="S345" s="15" t="str">
        <f aca="false">IF(R345="","",R345/O345)</f>
        <v/>
      </c>
      <c r="T345" s="11" t="str">
        <f aca="false">IF(O345="","",O345-StartWeight)</f>
        <v/>
      </c>
    </row>
    <row r="346" customFormat="false" ht="15" hidden="false" customHeight="true" outlineLevel="0" collapsed="false">
      <c r="A346" s="16" t="n">
        <f aca="false">A345+1</f>
        <v>46626</v>
      </c>
      <c r="B346" s="17"/>
      <c r="C346" s="18"/>
      <c r="D346" s="18"/>
      <c r="E346" s="18"/>
      <c r="F346" s="18"/>
      <c r="G346" s="18"/>
      <c r="H346" s="17"/>
      <c r="I346" s="19"/>
      <c r="J346" s="10" t="str">
        <f aca="false">IF(C346="","",C346-TargetKcal)</f>
        <v/>
      </c>
      <c r="K346" s="10" t="str">
        <f aca="false">IF(D346="","",D346-TargetProtein)</f>
        <v/>
      </c>
      <c r="L346" s="10" t="str">
        <f aca="false">IF(E346="","",E346-TargetFat)</f>
        <v/>
      </c>
      <c r="M346" s="10" t="str">
        <f aca="false">IF(F346="","",F346-TargetCarb)</f>
        <v/>
      </c>
      <c r="N346" s="10" t="str">
        <f aca="false">IF(COUNT(C346:F346)&lt;4,"",ROUND(4*D346+9*E346+4*F346-C346,0))</f>
        <v/>
      </c>
      <c r="O346" s="13" t="str">
        <f aca="false">IF(B346="","",IFERROR(AVERAGEIFS(Питание!$B$14:$B$378,Питание!$A$14:$A$378,"&gt;"&amp;$A346-7,Питание!$A$14:$A$378,"&lt;="&amp;$A346,Питание!$B$14:$B$378,"&gt;0"),""))</f>
        <v/>
      </c>
      <c r="P346" s="8" t="str">
        <f aca="false">IF(C346="","",IFERROR(AVERAGEIFS(Питание!$C$14:$C$378,Питание!$A$14:$A$378,"&gt;"&amp;$A346-7,Питание!$A$14:$A$378,"&lt;="&amp;$A346,Питание!$C$14:$C$378,"&gt;0"),""))</f>
        <v/>
      </c>
      <c r="Q346" s="8" t="str">
        <f aca="false">IF(D346="","",IFERROR(AVERAGEIFS(Питание!$D$14:$D$378,Питание!$A$14:$A$378,"&gt;"&amp;$A346-7,Питание!$A$14:$A$378,"&lt;="&amp;$A346,Питание!$D$14:$D$378,"&gt;0"),""))</f>
        <v/>
      </c>
      <c r="R346" s="14" t="str">
        <f aca="false">IF(O346="","",IFERROR(O346-AVERAGEIFS(Питание!$B$14:$B$378,Питание!$A$14:$A$378,"&gt;"&amp;$A346-14,Питание!$A$14:$A$378,"&lt;="&amp;$A346-7,Питание!$B$14:$B$378,"&gt;0"),""))</f>
        <v/>
      </c>
      <c r="S346" s="15" t="str">
        <f aca="false">IF(R346="","",R346/O346)</f>
        <v/>
      </c>
      <c r="T346" s="11" t="str">
        <f aca="false">IF(O346="","",O346-StartWeight)</f>
        <v/>
      </c>
    </row>
    <row r="347" customFormat="false" ht="15" hidden="false" customHeight="true" outlineLevel="0" collapsed="false">
      <c r="A347" s="16" t="n">
        <f aca="false">A346+1</f>
        <v>46627</v>
      </c>
      <c r="B347" s="17"/>
      <c r="C347" s="18"/>
      <c r="D347" s="18"/>
      <c r="E347" s="18"/>
      <c r="F347" s="18"/>
      <c r="G347" s="18"/>
      <c r="H347" s="17"/>
      <c r="I347" s="19"/>
      <c r="J347" s="10" t="str">
        <f aca="false">IF(C347="","",C347-TargetKcal)</f>
        <v/>
      </c>
      <c r="K347" s="10" t="str">
        <f aca="false">IF(D347="","",D347-TargetProtein)</f>
        <v/>
      </c>
      <c r="L347" s="10" t="str">
        <f aca="false">IF(E347="","",E347-TargetFat)</f>
        <v/>
      </c>
      <c r="M347" s="10" t="str">
        <f aca="false">IF(F347="","",F347-TargetCarb)</f>
        <v/>
      </c>
      <c r="N347" s="10" t="str">
        <f aca="false">IF(COUNT(C347:F347)&lt;4,"",ROUND(4*D347+9*E347+4*F347-C347,0))</f>
        <v/>
      </c>
      <c r="O347" s="13" t="str">
        <f aca="false">IF(B347="","",IFERROR(AVERAGEIFS(Питание!$B$14:$B$378,Питание!$A$14:$A$378,"&gt;"&amp;$A347-7,Питание!$A$14:$A$378,"&lt;="&amp;$A347,Питание!$B$14:$B$378,"&gt;0"),""))</f>
        <v/>
      </c>
      <c r="P347" s="8" t="str">
        <f aca="false">IF(C347="","",IFERROR(AVERAGEIFS(Питание!$C$14:$C$378,Питание!$A$14:$A$378,"&gt;"&amp;$A347-7,Питание!$A$14:$A$378,"&lt;="&amp;$A347,Питание!$C$14:$C$378,"&gt;0"),""))</f>
        <v/>
      </c>
      <c r="Q347" s="8" t="str">
        <f aca="false">IF(D347="","",IFERROR(AVERAGEIFS(Питание!$D$14:$D$378,Питание!$A$14:$A$378,"&gt;"&amp;$A347-7,Питание!$A$14:$A$378,"&lt;="&amp;$A347,Питание!$D$14:$D$378,"&gt;0"),""))</f>
        <v/>
      </c>
      <c r="R347" s="14" t="str">
        <f aca="false">IF(O347="","",IFERROR(O347-AVERAGEIFS(Питание!$B$14:$B$378,Питание!$A$14:$A$378,"&gt;"&amp;$A347-14,Питание!$A$14:$A$378,"&lt;="&amp;$A347-7,Питание!$B$14:$B$378,"&gt;0"),""))</f>
        <v/>
      </c>
      <c r="S347" s="15" t="str">
        <f aca="false">IF(R347="","",R347/O347)</f>
        <v/>
      </c>
      <c r="T347" s="11" t="str">
        <f aca="false">IF(O347="","",O347-StartWeight)</f>
        <v/>
      </c>
    </row>
    <row r="348" customFormat="false" ht="15" hidden="false" customHeight="true" outlineLevel="0" collapsed="false">
      <c r="A348" s="16" t="n">
        <f aca="false">A347+1</f>
        <v>46628</v>
      </c>
      <c r="B348" s="17"/>
      <c r="C348" s="18"/>
      <c r="D348" s="18"/>
      <c r="E348" s="18"/>
      <c r="F348" s="18"/>
      <c r="G348" s="18"/>
      <c r="H348" s="17"/>
      <c r="I348" s="19"/>
      <c r="J348" s="10" t="str">
        <f aca="false">IF(C348="","",C348-TargetKcal)</f>
        <v/>
      </c>
      <c r="K348" s="10" t="str">
        <f aca="false">IF(D348="","",D348-TargetProtein)</f>
        <v/>
      </c>
      <c r="L348" s="10" t="str">
        <f aca="false">IF(E348="","",E348-TargetFat)</f>
        <v/>
      </c>
      <c r="M348" s="10" t="str">
        <f aca="false">IF(F348="","",F348-TargetCarb)</f>
        <v/>
      </c>
      <c r="N348" s="10" t="str">
        <f aca="false">IF(COUNT(C348:F348)&lt;4,"",ROUND(4*D348+9*E348+4*F348-C348,0))</f>
        <v/>
      </c>
      <c r="O348" s="13" t="str">
        <f aca="false">IF(B348="","",IFERROR(AVERAGEIFS(Питание!$B$14:$B$378,Питание!$A$14:$A$378,"&gt;"&amp;$A348-7,Питание!$A$14:$A$378,"&lt;="&amp;$A348,Питание!$B$14:$B$378,"&gt;0"),""))</f>
        <v/>
      </c>
      <c r="P348" s="8" t="str">
        <f aca="false">IF(C348="","",IFERROR(AVERAGEIFS(Питание!$C$14:$C$378,Питание!$A$14:$A$378,"&gt;"&amp;$A348-7,Питание!$A$14:$A$378,"&lt;="&amp;$A348,Питание!$C$14:$C$378,"&gt;0"),""))</f>
        <v/>
      </c>
      <c r="Q348" s="8" t="str">
        <f aca="false">IF(D348="","",IFERROR(AVERAGEIFS(Питание!$D$14:$D$378,Питание!$A$14:$A$378,"&gt;"&amp;$A348-7,Питание!$A$14:$A$378,"&lt;="&amp;$A348,Питание!$D$14:$D$378,"&gt;0"),""))</f>
        <v/>
      </c>
      <c r="R348" s="14" t="str">
        <f aca="false">IF(O348="","",IFERROR(O348-AVERAGEIFS(Питание!$B$14:$B$378,Питание!$A$14:$A$378,"&gt;"&amp;$A348-14,Питание!$A$14:$A$378,"&lt;="&amp;$A348-7,Питание!$B$14:$B$378,"&gt;0"),""))</f>
        <v/>
      </c>
      <c r="S348" s="15" t="str">
        <f aca="false">IF(R348="","",R348/O348)</f>
        <v/>
      </c>
      <c r="T348" s="11" t="str">
        <f aca="false">IF(O348="","",O348-StartWeight)</f>
        <v/>
      </c>
    </row>
    <row r="349" customFormat="false" ht="15" hidden="false" customHeight="true" outlineLevel="0" collapsed="false">
      <c r="A349" s="16" t="n">
        <f aca="false">A348+1</f>
        <v>46629</v>
      </c>
      <c r="B349" s="17"/>
      <c r="C349" s="18"/>
      <c r="D349" s="18"/>
      <c r="E349" s="18"/>
      <c r="F349" s="18"/>
      <c r="G349" s="18"/>
      <c r="H349" s="17"/>
      <c r="I349" s="19"/>
      <c r="J349" s="10" t="str">
        <f aca="false">IF(C349="","",C349-TargetKcal)</f>
        <v/>
      </c>
      <c r="K349" s="10" t="str">
        <f aca="false">IF(D349="","",D349-TargetProtein)</f>
        <v/>
      </c>
      <c r="L349" s="10" t="str">
        <f aca="false">IF(E349="","",E349-TargetFat)</f>
        <v/>
      </c>
      <c r="M349" s="10" t="str">
        <f aca="false">IF(F349="","",F349-TargetCarb)</f>
        <v/>
      </c>
      <c r="N349" s="10" t="str">
        <f aca="false">IF(COUNT(C349:F349)&lt;4,"",ROUND(4*D349+9*E349+4*F349-C349,0))</f>
        <v/>
      </c>
      <c r="O349" s="13" t="str">
        <f aca="false">IF(B349="","",IFERROR(AVERAGEIFS(Питание!$B$14:$B$378,Питание!$A$14:$A$378,"&gt;"&amp;$A349-7,Питание!$A$14:$A$378,"&lt;="&amp;$A349,Питание!$B$14:$B$378,"&gt;0"),""))</f>
        <v/>
      </c>
      <c r="P349" s="8" t="str">
        <f aca="false">IF(C349="","",IFERROR(AVERAGEIFS(Питание!$C$14:$C$378,Питание!$A$14:$A$378,"&gt;"&amp;$A349-7,Питание!$A$14:$A$378,"&lt;="&amp;$A349,Питание!$C$14:$C$378,"&gt;0"),""))</f>
        <v/>
      </c>
      <c r="Q349" s="8" t="str">
        <f aca="false">IF(D349="","",IFERROR(AVERAGEIFS(Питание!$D$14:$D$378,Питание!$A$14:$A$378,"&gt;"&amp;$A349-7,Питание!$A$14:$A$378,"&lt;="&amp;$A349,Питание!$D$14:$D$378,"&gt;0"),""))</f>
        <v/>
      </c>
      <c r="R349" s="14" t="str">
        <f aca="false">IF(O349="","",IFERROR(O349-AVERAGEIFS(Питание!$B$14:$B$378,Питание!$A$14:$A$378,"&gt;"&amp;$A349-14,Питание!$A$14:$A$378,"&lt;="&amp;$A349-7,Питание!$B$14:$B$378,"&gt;0"),""))</f>
        <v/>
      </c>
      <c r="S349" s="15" t="str">
        <f aca="false">IF(R349="","",R349/O349)</f>
        <v/>
      </c>
      <c r="T349" s="11" t="str">
        <f aca="false">IF(O349="","",O349-StartWeight)</f>
        <v/>
      </c>
    </row>
    <row r="350" customFormat="false" ht="15" hidden="false" customHeight="true" outlineLevel="0" collapsed="false">
      <c r="A350" s="16" t="n">
        <f aca="false">A349+1</f>
        <v>46630</v>
      </c>
      <c r="B350" s="17"/>
      <c r="C350" s="18"/>
      <c r="D350" s="18"/>
      <c r="E350" s="18"/>
      <c r="F350" s="18"/>
      <c r="G350" s="18"/>
      <c r="H350" s="17"/>
      <c r="I350" s="19"/>
      <c r="J350" s="10" t="str">
        <f aca="false">IF(C350="","",C350-TargetKcal)</f>
        <v/>
      </c>
      <c r="K350" s="10" t="str">
        <f aca="false">IF(D350="","",D350-TargetProtein)</f>
        <v/>
      </c>
      <c r="L350" s="10" t="str">
        <f aca="false">IF(E350="","",E350-TargetFat)</f>
        <v/>
      </c>
      <c r="M350" s="10" t="str">
        <f aca="false">IF(F350="","",F350-TargetCarb)</f>
        <v/>
      </c>
      <c r="N350" s="10" t="str">
        <f aca="false">IF(COUNT(C350:F350)&lt;4,"",ROUND(4*D350+9*E350+4*F350-C350,0))</f>
        <v/>
      </c>
      <c r="O350" s="13" t="str">
        <f aca="false">IF(B350="","",IFERROR(AVERAGEIFS(Питание!$B$14:$B$378,Питание!$A$14:$A$378,"&gt;"&amp;$A350-7,Питание!$A$14:$A$378,"&lt;="&amp;$A350,Питание!$B$14:$B$378,"&gt;0"),""))</f>
        <v/>
      </c>
      <c r="P350" s="8" t="str">
        <f aca="false">IF(C350="","",IFERROR(AVERAGEIFS(Питание!$C$14:$C$378,Питание!$A$14:$A$378,"&gt;"&amp;$A350-7,Питание!$A$14:$A$378,"&lt;="&amp;$A350,Питание!$C$14:$C$378,"&gt;0"),""))</f>
        <v/>
      </c>
      <c r="Q350" s="8" t="str">
        <f aca="false">IF(D350="","",IFERROR(AVERAGEIFS(Питание!$D$14:$D$378,Питание!$A$14:$A$378,"&gt;"&amp;$A350-7,Питание!$A$14:$A$378,"&lt;="&amp;$A350,Питание!$D$14:$D$378,"&gt;0"),""))</f>
        <v/>
      </c>
      <c r="R350" s="14" t="str">
        <f aca="false">IF(O350="","",IFERROR(O350-AVERAGEIFS(Питание!$B$14:$B$378,Питание!$A$14:$A$378,"&gt;"&amp;$A350-14,Питание!$A$14:$A$378,"&lt;="&amp;$A350-7,Питание!$B$14:$B$378,"&gt;0"),""))</f>
        <v/>
      </c>
      <c r="S350" s="15" t="str">
        <f aca="false">IF(R350="","",R350/O350)</f>
        <v/>
      </c>
      <c r="T350" s="11" t="str">
        <f aca="false">IF(O350="","",O350-StartWeight)</f>
        <v/>
      </c>
    </row>
    <row r="351" customFormat="false" ht="15" hidden="false" customHeight="true" outlineLevel="0" collapsed="false">
      <c r="A351" s="16" t="n">
        <f aca="false">A350+1</f>
        <v>46631</v>
      </c>
      <c r="B351" s="17"/>
      <c r="C351" s="18"/>
      <c r="D351" s="18"/>
      <c r="E351" s="18"/>
      <c r="F351" s="18"/>
      <c r="G351" s="18"/>
      <c r="H351" s="17"/>
      <c r="I351" s="19"/>
      <c r="J351" s="10" t="str">
        <f aca="false">IF(C351="","",C351-TargetKcal)</f>
        <v/>
      </c>
      <c r="K351" s="10" t="str">
        <f aca="false">IF(D351="","",D351-TargetProtein)</f>
        <v/>
      </c>
      <c r="L351" s="10" t="str">
        <f aca="false">IF(E351="","",E351-TargetFat)</f>
        <v/>
      </c>
      <c r="M351" s="10" t="str">
        <f aca="false">IF(F351="","",F351-TargetCarb)</f>
        <v/>
      </c>
      <c r="N351" s="10" t="str">
        <f aca="false">IF(COUNT(C351:F351)&lt;4,"",ROUND(4*D351+9*E351+4*F351-C351,0))</f>
        <v/>
      </c>
      <c r="O351" s="13" t="str">
        <f aca="false">IF(B351="","",IFERROR(AVERAGEIFS(Питание!$B$14:$B$378,Питание!$A$14:$A$378,"&gt;"&amp;$A351-7,Питание!$A$14:$A$378,"&lt;="&amp;$A351,Питание!$B$14:$B$378,"&gt;0"),""))</f>
        <v/>
      </c>
      <c r="P351" s="8" t="str">
        <f aca="false">IF(C351="","",IFERROR(AVERAGEIFS(Питание!$C$14:$C$378,Питание!$A$14:$A$378,"&gt;"&amp;$A351-7,Питание!$A$14:$A$378,"&lt;="&amp;$A351,Питание!$C$14:$C$378,"&gt;0"),""))</f>
        <v/>
      </c>
      <c r="Q351" s="8" t="str">
        <f aca="false">IF(D351="","",IFERROR(AVERAGEIFS(Питание!$D$14:$D$378,Питание!$A$14:$A$378,"&gt;"&amp;$A351-7,Питание!$A$14:$A$378,"&lt;="&amp;$A351,Питание!$D$14:$D$378,"&gt;0"),""))</f>
        <v/>
      </c>
      <c r="R351" s="14" t="str">
        <f aca="false">IF(O351="","",IFERROR(O351-AVERAGEIFS(Питание!$B$14:$B$378,Питание!$A$14:$A$378,"&gt;"&amp;$A351-14,Питание!$A$14:$A$378,"&lt;="&amp;$A351-7,Питание!$B$14:$B$378,"&gt;0"),""))</f>
        <v/>
      </c>
      <c r="S351" s="15" t="str">
        <f aca="false">IF(R351="","",R351/O351)</f>
        <v/>
      </c>
      <c r="T351" s="11" t="str">
        <f aca="false">IF(O351="","",O351-StartWeight)</f>
        <v/>
      </c>
    </row>
    <row r="352" customFormat="false" ht="15" hidden="false" customHeight="true" outlineLevel="0" collapsed="false">
      <c r="A352" s="16" t="n">
        <f aca="false">A351+1</f>
        <v>46632</v>
      </c>
      <c r="B352" s="17"/>
      <c r="C352" s="18"/>
      <c r="D352" s="18"/>
      <c r="E352" s="18"/>
      <c r="F352" s="18"/>
      <c r="G352" s="18"/>
      <c r="H352" s="17"/>
      <c r="I352" s="19"/>
      <c r="J352" s="10" t="str">
        <f aca="false">IF(C352="","",C352-TargetKcal)</f>
        <v/>
      </c>
      <c r="K352" s="10" t="str">
        <f aca="false">IF(D352="","",D352-TargetProtein)</f>
        <v/>
      </c>
      <c r="L352" s="10" t="str">
        <f aca="false">IF(E352="","",E352-TargetFat)</f>
        <v/>
      </c>
      <c r="M352" s="10" t="str">
        <f aca="false">IF(F352="","",F352-TargetCarb)</f>
        <v/>
      </c>
      <c r="N352" s="10" t="str">
        <f aca="false">IF(COUNT(C352:F352)&lt;4,"",ROUND(4*D352+9*E352+4*F352-C352,0))</f>
        <v/>
      </c>
      <c r="O352" s="13" t="str">
        <f aca="false">IF(B352="","",IFERROR(AVERAGEIFS(Питание!$B$14:$B$378,Питание!$A$14:$A$378,"&gt;"&amp;$A352-7,Питание!$A$14:$A$378,"&lt;="&amp;$A352,Питание!$B$14:$B$378,"&gt;0"),""))</f>
        <v/>
      </c>
      <c r="P352" s="8" t="str">
        <f aca="false">IF(C352="","",IFERROR(AVERAGEIFS(Питание!$C$14:$C$378,Питание!$A$14:$A$378,"&gt;"&amp;$A352-7,Питание!$A$14:$A$378,"&lt;="&amp;$A352,Питание!$C$14:$C$378,"&gt;0"),""))</f>
        <v/>
      </c>
      <c r="Q352" s="8" t="str">
        <f aca="false">IF(D352="","",IFERROR(AVERAGEIFS(Питание!$D$14:$D$378,Питание!$A$14:$A$378,"&gt;"&amp;$A352-7,Питание!$A$14:$A$378,"&lt;="&amp;$A352,Питание!$D$14:$D$378,"&gt;0"),""))</f>
        <v/>
      </c>
      <c r="R352" s="14" t="str">
        <f aca="false">IF(O352="","",IFERROR(O352-AVERAGEIFS(Питание!$B$14:$B$378,Питание!$A$14:$A$378,"&gt;"&amp;$A352-14,Питание!$A$14:$A$378,"&lt;="&amp;$A352-7,Питание!$B$14:$B$378,"&gt;0"),""))</f>
        <v/>
      </c>
      <c r="S352" s="15" t="str">
        <f aca="false">IF(R352="","",R352/O352)</f>
        <v/>
      </c>
      <c r="T352" s="11" t="str">
        <f aca="false">IF(O352="","",O352-StartWeight)</f>
        <v/>
      </c>
    </row>
    <row r="353" customFormat="false" ht="15" hidden="false" customHeight="true" outlineLevel="0" collapsed="false">
      <c r="A353" s="16" t="n">
        <f aca="false">A352+1</f>
        <v>46633</v>
      </c>
      <c r="B353" s="17"/>
      <c r="C353" s="18"/>
      <c r="D353" s="18"/>
      <c r="E353" s="18"/>
      <c r="F353" s="18"/>
      <c r="G353" s="18"/>
      <c r="H353" s="17"/>
      <c r="I353" s="19"/>
      <c r="J353" s="10" t="str">
        <f aca="false">IF(C353="","",C353-TargetKcal)</f>
        <v/>
      </c>
      <c r="K353" s="10" t="str">
        <f aca="false">IF(D353="","",D353-TargetProtein)</f>
        <v/>
      </c>
      <c r="L353" s="10" t="str">
        <f aca="false">IF(E353="","",E353-TargetFat)</f>
        <v/>
      </c>
      <c r="M353" s="10" t="str">
        <f aca="false">IF(F353="","",F353-TargetCarb)</f>
        <v/>
      </c>
      <c r="N353" s="10" t="str">
        <f aca="false">IF(COUNT(C353:F353)&lt;4,"",ROUND(4*D353+9*E353+4*F353-C353,0))</f>
        <v/>
      </c>
      <c r="O353" s="13" t="str">
        <f aca="false">IF(B353="","",IFERROR(AVERAGEIFS(Питание!$B$14:$B$378,Питание!$A$14:$A$378,"&gt;"&amp;$A353-7,Питание!$A$14:$A$378,"&lt;="&amp;$A353,Питание!$B$14:$B$378,"&gt;0"),""))</f>
        <v/>
      </c>
      <c r="P353" s="8" t="str">
        <f aca="false">IF(C353="","",IFERROR(AVERAGEIFS(Питание!$C$14:$C$378,Питание!$A$14:$A$378,"&gt;"&amp;$A353-7,Питание!$A$14:$A$378,"&lt;="&amp;$A353,Питание!$C$14:$C$378,"&gt;0"),""))</f>
        <v/>
      </c>
      <c r="Q353" s="8" t="str">
        <f aca="false">IF(D353="","",IFERROR(AVERAGEIFS(Питание!$D$14:$D$378,Питание!$A$14:$A$378,"&gt;"&amp;$A353-7,Питание!$A$14:$A$378,"&lt;="&amp;$A353,Питание!$D$14:$D$378,"&gt;0"),""))</f>
        <v/>
      </c>
      <c r="R353" s="14" t="str">
        <f aca="false">IF(O353="","",IFERROR(O353-AVERAGEIFS(Питание!$B$14:$B$378,Питание!$A$14:$A$378,"&gt;"&amp;$A353-14,Питание!$A$14:$A$378,"&lt;="&amp;$A353-7,Питание!$B$14:$B$378,"&gt;0"),""))</f>
        <v/>
      </c>
      <c r="S353" s="15" t="str">
        <f aca="false">IF(R353="","",R353/O353)</f>
        <v/>
      </c>
      <c r="T353" s="11" t="str">
        <f aca="false">IF(O353="","",O353-StartWeight)</f>
        <v/>
      </c>
    </row>
    <row r="354" customFormat="false" ht="15" hidden="false" customHeight="true" outlineLevel="0" collapsed="false">
      <c r="A354" s="16" t="n">
        <f aca="false">A353+1</f>
        <v>46634</v>
      </c>
      <c r="B354" s="17"/>
      <c r="C354" s="18"/>
      <c r="D354" s="18"/>
      <c r="E354" s="18"/>
      <c r="F354" s="18"/>
      <c r="G354" s="18"/>
      <c r="H354" s="17"/>
      <c r="I354" s="19"/>
      <c r="J354" s="10" t="str">
        <f aca="false">IF(C354="","",C354-TargetKcal)</f>
        <v/>
      </c>
      <c r="K354" s="10" t="str">
        <f aca="false">IF(D354="","",D354-TargetProtein)</f>
        <v/>
      </c>
      <c r="L354" s="10" t="str">
        <f aca="false">IF(E354="","",E354-TargetFat)</f>
        <v/>
      </c>
      <c r="M354" s="10" t="str">
        <f aca="false">IF(F354="","",F354-TargetCarb)</f>
        <v/>
      </c>
      <c r="N354" s="10" t="str">
        <f aca="false">IF(COUNT(C354:F354)&lt;4,"",ROUND(4*D354+9*E354+4*F354-C354,0))</f>
        <v/>
      </c>
      <c r="O354" s="13" t="str">
        <f aca="false">IF(B354="","",IFERROR(AVERAGEIFS(Питание!$B$14:$B$378,Питание!$A$14:$A$378,"&gt;"&amp;$A354-7,Питание!$A$14:$A$378,"&lt;="&amp;$A354,Питание!$B$14:$B$378,"&gt;0"),""))</f>
        <v/>
      </c>
      <c r="P354" s="8" t="str">
        <f aca="false">IF(C354="","",IFERROR(AVERAGEIFS(Питание!$C$14:$C$378,Питание!$A$14:$A$378,"&gt;"&amp;$A354-7,Питание!$A$14:$A$378,"&lt;="&amp;$A354,Питание!$C$14:$C$378,"&gt;0"),""))</f>
        <v/>
      </c>
      <c r="Q354" s="8" t="str">
        <f aca="false">IF(D354="","",IFERROR(AVERAGEIFS(Питание!$D$14:$D$378,Питание!$A$14:$A$378,"&gt;"&amp;$A354-7,Питание!$A$14:$A$378,"&lt;="&amp;$A354,Питание!$D$14:$D$378,"&gt;0"),""))</f>
        <v/>
      </c>
      <c r="R354" s="14" t="str">
        <f aca="false">IF(O354="","",IFERROR(O354-AVERAGEIFS(Питание!$B$14:$B$378,Питание!$A$14:$A$378,"&gt;"&amp;$A354-14,Питание!$A$14:$A$378,"&lt;="&amp;$A354-7,Питание!$B$14:$B$378,"&gt;0"),""))</f>
        <v/>
      </c>
      <c r="S354" s="15" t="str">
        <f aca="false">IF(R354="","",R354/O354)</f>
        <v/>
      </c>
      <c r="T354" s="11" t="str">
        <f aca="false">IF(O354="","",O354-StartWeight)</f>
        <v/>
      </c>
    </row>
    <row r="355" customFormat="false" ht="15" hidden="false" customHeight="true" outlineLevel="0" collapsed="false">
      <c r="A355" s="16" t="n">
        <f aca="false">A354+1</f>
        <v>46635</v>
      </c>
      <c r="B355" s="17"/>
      <c r="C355" s="18"/>
      <c r="D355" s="18"/>
      <c r="E355" s="18"/>
      <c r="F355" s="18"/>
      <c r="G355" s="18"/>
      <c r="H355" s="17"/>
      <c r="I355" s="19"/>
      <c r="J355" s="10" t="str">
        <f aca="false">IF(C355="","",C355-TargetKcal)</f>
        <v/>
      </c>
      <c r="K355" s="10" t="str">
        <f aca="false">IF(D355="","",D355-TargetProtein)</f>
        <v/>
      </c>
      <c r="L355" s="10" t="str">
        <f aca="false">IF(E355="","",E355-TargetFat)</f>
        <v/>
      </c>
      <c r="M355" s="10" t="str">
        <f aca="false">IF(F355="","",F355-TargetCarb)</f>
        <v/>
      </c>
      <c r="N355" s="10" t="str">
        <f aca="false">IF(COUNT(C355:F355)&lt;4,"",ROUND(4*D355+9*E355+4*F355-C355,0))</f>
        <v/>
      </c>
      <c r="O355" s="13" t="str">
        <f aca="false">IF(B355="","",IFERROR(AVERAGEIFS(Питание!$B$14:$B$378,Питание!$A$14:$A$378,"&gt;"&amp;$A355-7,Питание!$A$14:$A$378,"&lt;="&amp;$A355,Питание!$B$14:$B$378,"&gt;0"),""))</f>
        <v/>
      </c>
      <c r="P355" s="8" t="str">
        <f aca="false">IF(C355="","",IFERROR(AVERAGEIFS(Питание!$C$14:$C$378,Питание!$A$14:$A$378,"&gt;"&amp;$A355-7,Питание!$A$14:$A$378,"&lt;="&amp;$A355,Питание!$C$14:$C$378,"&gt;0"),""))</f>
        <v/>
      </c>
      <c r="Q355" s="8" t="str">
        <f aca="false">IF(D355="","",IFERROR(AVERAGEIFS(Питание!$D$14:$D$378,Питание!$A$14:$A$378,"&gt;"&amp;$A355-7,Питание!$A$14:$A$378,"&lt;="&amp;$A355,Питание!$D$14:$D$378,"&gt;0"),""))</f>
        <v/>
      </c>
      <c r="R355" s="14" t="str">
        <f aca="false">IF(O355="","",IFERROR(O355-AVERAGEIFS(Питание!$B$14:$B$378,Питание!$A$14:$A$378,"&gt;"&amp;$A355-14,Питание!$A$14:$A$378,"&lt;="&amp;$A355-7,Питание!$B$14:$B$378,"&gt;0"),""))</f>
        <v/>
      </c>
      <c r="S355" s="15" t="str">
        <f aca="false">IF(R355="","",R355/O355)</f>
        <v/>
      </c>
      <c r="T355" s="11" t="str">
        <f aca="false">IF(O355="","",O355-StartWeight)</f>
        <v/>
      </c>
    </row>
    <row r="356" customFormat="false" ht="15" hidden="false" customHeight="true" outlineLevel="0" collapsed="false">
      <c r="A356" s="16" t="n">
        <f aca="false">A355+1</f>
        <v>46636</v>
      </c>
      <c r="B356" s="17"/>
      <c r="C356" s="18"/>
      <c r="D356" s="18"/>
      <c r="E356" s="18"/>
      <c r="F356" s="18"/>
      <c r="G356" s="18"/>
      <c r="H356" s="17"/>
      <c r="I356" s="19"/>
      <c r="J356" s="10" t="str">
        <f aca="false">IF(C356="","",C356-TargetKcal)</f>
        <v/>
      </c>
      <c r="K356" s="10" t="str">
        <f aca="false">IF(D356="","",D356-TargetProtein)</f>
        <v/>
      </c>
      <c r="L356" s="10" t="str">
        <f aca="false">IF(E356="","",E356-TargetFat)</f>
        <v/>
      </c>
      <c r="M356" s="10" t="str">
        <f aca="false">IF(F356="","",F356-TargetCarb)</f>
        <v/>
      </c>
      <c r="N356" s="10" t="str">
        <f aca="false">IF(COUNT(C356:F356)&lt;4,"",ROUND(4*D356+9*E356+4*F356-C356,0))</f>
        <v/>
      </c>
      <c r="O356" s="13" t="str">
        <f aca="false">IF(B356="","",IFERROR(AVERAGEIFS(Питание!$B$14:$B$378,Питание!$A$14:$A$378,"&gt;"&amp;$A356-7,Питание!$A$14:$A$378,"&lt;="&amp;$A356,Питание!$B$14:$B$378,"&gt;0"),""))</f>
        <v/>
      </c>
      <c r="P356" s="8" t="str">
        <f aca="false">IF(C356="","",IFERROR(AVERAGEIFS(Питание!$C$14:$C$378,Питание!$A$14:$A$378,"&gt;"&amp;$A356-7,Питание!$A$14:$A$378,"&lt;="&amp;$A356,Питание!$C$14:$C$378,"&gt;0"),""))</f>
        <v/>
      </c>
      <c r="Q356" s="8" t="str">
        <f aca="false">IF(D356="","",IFERROR(AVERAGEIFS(Питание!$D$14:$D$378,Питание!$A$14:$A$378,"&gt;"&amp;$A356-7,Питание!$A$14:$A$378,"&lt;="&amp;$A356,Питание!$D$14:$D$378,"&gt;0"),""))</f>
        <v/>
      </c>
      <c r="R356" s="14" t="str">
        <f aca="false">IF(O356="","",IFERROR(O356-AVERAGEIFS(Питание!$B$14:$B$378,Питание!$A$14:$A$378,"&gt;"&amp;$A356-14,Питание!$A$14:$A$378,"&lt;="&amp;$A356-7,Питание!$B$14:$B$378,"&gt;0"),""))</f>
        <v/>
      </c>
      <c r="S356" s="15" t="str">
        <f aca="false">IF(R356="","",R356/O356)</f>
        <v/>
      </c>
      <c r="T356" s="11" t="str">
        <f aca="false">IF(O356="","",O356-StartWeight)</f>
        <v/>
      </c>
    </row>
    <row r="357" customFormat="false" ht="15" hidden="false" customHeight="true" outlineLevel="0" collapsed="false">
      <c r="A357" s="16" t="n">
        <f aca="false">A356+1</f>
        <v>46637</v>
      </c>
      <c r="B357" s="17"/>
      <c r="C357" s="18"/>
      <c r="D357" s="18"/>
      <c r="E357" s="18"/>
      <c r="F357" s="18"/>
      <c r="G357" s="18"/>
      <c r="H357" s="17"/>
      <c r="I357" s="19"/>
      <c r="J357" s="10" t="str">
        <f aca="false">IF(C357="","",C357-TargetKcal)</f>
        <v/>
      </c>
      <c r="K357" s="10" t="str">
        <f aca="false">IF(D357="","",D357-TargetProtein)</f>
        <v/>
      </c>
      <c r="L357" s="10" t="str">
        <f aca="false">IF(E357="","",E357-TargetFat)</f>
        <v/>
      </c>
      <c r="M357" s="10" t="str">
        <f aca="false">IF(F357="","",F357-TargetCarb)</f>
        <v/>
      </c>
      <c r="N357" s="10" t="str">
        <f aca="false">IF(COUNT(C357:F357)&lt;4,"",ROUND(4*D357+9*E357+4*F357-C357,0))</f>
        <v/>
      </c>
      <c r="O357" s="13" t="str">
        <f aca="false">IF(B357="","",IFERROR(AVERAGEIFS(Питание!$B$14:$B$378,Питание!$A$14:$A$378,"&gt;"&amp;$A357-7,Питание!$A$14:$A$378,"&lt;="&amp;$A357,Питание!$B$14:$B$378,"&gt;0"),""))</f>
        <v/>
      </c>
      <c r="P357" s="8" t="str">
        <f aca="false">IF(C357="","",IFERROR(AVERAGEIFS(Питание!$C$14:$C$378,Питание!$A$14:$A$378,"&gt;"&amp;$A357-7,Питание!$A$14:$A$378,"&lt;="&amp;$A357,Питание!$C$14:$C$378,"&gt;0"),""))</f>
        <v/>
      </c>
      <c r="Q357" s="8" t="str">
        <f aca="false">IF(D357="","",IFERROR(AVERAGEIFS(Питание!$D$14:$D$378,Питание!$A$14:$A$378,"&gt;"&amp;$A357-7,Питание!$A$14:$A$378,"&lt;="&amp;$A357,Питание!$D$14:$D$378,"&gt;0"),""))</f>
        <v/>
      </c>
      <c r="R357" s="14" t="str">
        <f aca="false">IF(O357="","",IFERROR(O357-AVERAGEIFS(Питание!$B$14:$B$378,Питание!$A$14:$A$378,"&gt;"&amp;$A357-14,Питание!$A$14:$A$378,"&lt;="&amp;$A357-7,Питание!$B$14:$B$378,"&gt;0"),""))</f>
        <v/>
      </c>
      <c r="S357" s="15" t="str">
        <f aca="false">IF(R357="","",R357/O357)</f>
        <v/>
      </c>
      <c r="T357" s="11" t="str">
        <f aca="false">IF(O357="","",O357-StartWeight)</f>
        <v/>
      </c>
    </row>
    <row r="358" customFormat="false" ht="15" hidden="false" customHeight="true" outlineLevel="0" collapsed="false">
      <c r="A358" s="16" t="n">
        <f aca="false">A357+1</f>
        <v>46638</v>
      </c>
      <c r="B358" s="17"/>
      <c r="C358" s="18"/>
      <c r="D358" s="18"/>
      <c r="E358" s="18"/>
      <c r="F358" s="18"/>
      <c r="G358" s="18"/>
      <c r="H358" s="17"/>
      <c r="I358" s="19"/>
      <c r="J358" s="10" t="str">
        <f aca="false">IF(C358="","",C358-TargetKcal)</f>
        <v/>
      </c>
      <c r="K358" s="10" t="str">
        <f aca="false">IF(D358="","",D358-TargetProtein)</f>
        <v/>
      </c>
      <c r="L358" s="10" t="str">
        <f aca="false">IF(E358="","",E358-TargetFat)</f>
        <v/>
      </c>
      <c r="M358" s="10" t="str">
        <f aca="false">IF(F358="","",F358-TargetCarb)</f>
        <v/>
      </c>
      <c r="N358" s="10" t="str">
        <f aca="false">IF(COUNT(C358:F358)&lt;4,"",ROUND(4*D358+9*E358+4*F358-C358,0))</f>
        <v/>
      </c>
      <c r="O358" s="13" t="str">
        <f aca="false">IF(B358="","",IFERROR(AVERAGEIFS(Питание!$B$14:$B$378,Питание!$A$14:$A$378,"&gt;"&amp;$A358-7,Питание!$A$14:$A$378,"&lt;="&amp;$A358,Питание!$B$14:$B$378,"&gt;0"),""))</f>
        <v/>
      </c>
      <c r="P358" s="8" t="str">
        <f aca="false">IF(C358="","",IFERROR(AVERAGEIFS(Питание!$C$14:$C$378,Питание!$A$14:$A$378,"&gt;"&amp;$A358-7,Питание!$A$14:$A$378,"&lt;="&amp;$A358,Питание!$C$14:$C$378,"&gt;0"),""))</f>
        <v/>
      </c>
      <c r="Q358" s="8" t="str">
        <f aca="false">IF(D358="","",IFERROR(AVERAGEIFS(Питание!$D$14:$D$378,Питание!$A$14:$A$378,"&gt;"&amp;$A358-7,Питание!$A$14:$A$378,"&lt;="&amp;$A358,Питание!$D$14:$D$378,"&gt;0"),""))</f>
        <v/>
      </c>
      <c r="R358" s="14" t="str">
        <f aca="false">IF(O358="","",IFERROR(O358-AVERAGEIFS(Питание!$B$14:$B$378,Питание!$A$14:$A$378,"&gt;"&amp;$A358-14,Питание!$A$14:$A$378,"&lt;="&amp;$A358-7,Питание!$B$14:$B$378,"&gt;0"),""))</f>
        <v/>
      </c>
      <c r="S358" s="15" t="str">
        <f aca="false">IF(R358="","",R358/O358)</f>
        <v/>
      </c>
      <c r="T358" s="11" t="str">
        <f aca="false">IF(O358="","",O358-StartWeight)</f>
        <v/>
      </c>
    </row>
    <row r="359" customFormat="false" ht="15" hidden="false" customHeight="true" outlineLevel="0" collapsed="false">
      <c r="A359" s="16" t="n">
        <f aca="false">A358+1</f>
        <v>46639</v>
      </c>
      <c r="B359" s="17"/>
      <c r="C359" s="18"/>
      <c r="D359" s="18"/>
      <c r="E359" s="18"/>
      <c r="F359" s="18"/>
      <c r="G359" s="18"/>
      <c r="H359" s="17"/>
      <c r="I359" s="19"/>
      <c r="J359" s="10" t="str">
        <f aca="false">IF(C359="","",C359-TargetKcal)</f>
        <v/>
      </c>
      <c r="K359" s="10" t="str">
        <f aca="false">IF(D359="","",D359-TargetProtein)</f>
        <v/>
      </c>
      <c r="L359" s="10" t="str">
        <f aca="false">IF(E359="","",E359-TargetFat)</f>
        <v/>
      </c>
      <c r="M359" s="10" t="str">
        <f aca="false">IF(F359="","",F359-TargetCarb)</f>
        <v/>
      </c>
      <c r="N359" s="10" t="str">
        <f aca="false">IF(COUNT(C359:F359)&lt;4,"",ROUND(4*D359+9*E359+4*F359-C359,0))</f>
        <v/>
      </c>
      <c r="O359" s="13" t="str">
        <f aca="false">IF(B359="","",IFERROR(AVERAGEIFS(Питание!$B$14:$B$378,Питание!$A$14:$A$378,"&gt;"&amp;$A359-7,Питание!$A$14:$A$378,"&lt;="&amp;$A359,Питание!$B$14:$B$378,"&gt;0"),""))</f>
        <v/>
      </c>
      <c r="P359" s="8" t="str">
        <f aca="false">IF(C359="","",IFERROR(AVERAGEIFS(Питание!$C$14:$C$378,Питание!$A$14:$A$378,"&gt;"&amp;$A359-7,Питание!$A$14:$A$378,"&lt;="&amp;$A359,Питание!$C$14:$C$378,"&gt;0"),""))</f>
        <v/>
      </c>
      <c r="Q359" s="8" t="str">
        <f aca="false">IF(D359="","",IFERROR(AVERAGEIFS(Питание!$D$14:$D$378,Питание!$A$14:$A$378,"&gt;"&amp;$A359-7,Питание!$A$14:$A$378,"&lt;="&amp;$A359,Питание!$D$14:$D$378,"&gt;0"),""))</f>
        <v/>
      </c>
      <c r="R359" s="14" t="str">
        <f aca="false">IF(O359="","",IFERROR(O359-AVERAGEIFS(Питание!$B$14:$B$378,Питание!$A$14:$A$378,"&gt;"&amp;$A359-14,Питание!$A$14:$A$378,"&lt;="&amp;$A359-7,Питание!$B$14:$B$378,"&gt;0"),""))</f>
        <v/>
      </c>
      <c r="S359" s="15" t="str">
        <f aca="false">IF(R359="","",R359/O359)</f>
        <v/>
      </c>
      <c r="T359" s="11" t="str">
        <f aca="false">IF(O359="","",O359-StartWeight)</f>
        <v/>
      </c>
    </row>
    <row r="360" customFormat="false" ht="15" hidden="false" customHeight="true" outlineLevel="0" collapsed="false">
      <c r="A360" s="16" t="n">
        <f aca="false">A359+1</f>
        <v>46640</v>
      </c>
      <c r="B360" s="17"/>
      <c r="C360" s="18"/>
      <c r="D360" s="18"/>
      <c r="E360" s="18"/>
      <c r="F360" s="18"/>
      <c r="G360" s="18"/>
      <c r="H360" s="17"/>
      <c r="I360" s="19"/>
      <c r="J360" s="10" t="str">
        <f aca="false">IF(C360="","",C360-TargetKcal)</f>
        <v/>
      </c>
      <c r="K360" s="10" t="str">
        <f aca="false">IF(D360="","",D360-TargetProtein)</f>
        <v/>
      </c>
      <c r="L360" s="10" t="str">
        <f aca="false">IF(E360="","",E360-TargetFat)</f>
        <v/>
      </c>
      <c r="M360" s="10" t="str">
        <f aca="false">IF(F360="","",F360-TargetCarb)</f>
        <v/>
      </c>
      <c r="N360" s="10" t="str">
        <f aca="false">IF(COUNT(C360:F360)&lt;4,"",ROUND(4*D360+9*E360+4*F360-C360,0))</f>
        <v/>
      </c>
      <c r="O360" s="13" t="str">
        <f aca="false">IF(B360="","",IFERROR(AVERAGEIFS(Питание!$B$14:$B$378,Питание!$A$14:$A$378,"&gt;"&amp;$A360-7,Питание!$A$14:$A$378,"&lt;="&amp;$A360,Питание!$B$14:$B$378,"&gt;0"),""))</f>
        <v/>
      </c>
      <c r="P360" s="8" t="str">
        <f aca="false">IF(C360="","",IFERROR(AVERAGEIFS(Питание!$C$14:$C$378,Питание!$A$14:$A$378,"&gt;"&amp;$A360-7,Питание!$A$14:$A$378,"&lt;="&amp;$A360,Питание!$C$14:$C$378,"&gt;0"),""))</f>
        <v/>
      </c>
      <c r="Q360" s="8" t="str">
        <f aca="false">IF(D360="","",IFERROR(AVERAGEIFS(Питание!$D$14:$D$378,Питание!$A$14:$A$378,"&gt;"&amp;$A360-7,Питание!$A$14:$A$378,"&lt;="&amp;$A360,Питание!$D$14:$D$378,"&gt;0"),""))</f>
        <v/>
      </c>
      <c r="R360" s="14" t="str">
        <f aca="false">IF(O360="","",IFERROR(O360-AVERAGEIFS(Питание!$B$14:$B$378,Питание!$A$14:$A$378,"&gt;"&amp;$A360-14,Питание!$A$14:$A$378,"&lt;="&amp;$A360-7,Питание!$B$14:$B$378,"&gt;0"),""))</f>
        <v/>
      </c>
      <c r="S360" s="15" t="str">
        <f aca="false">IF(R360="","",R360/O360)</f>
        <v/>
      </c>
      <c r="T360" s="11" t="str">
        <f aca="false">IF(O360="","",O360-StartWeight)</f>
        <v/>
      </c>
    </row>
    <row r="361" customFormat="false" ht="15" hidden="false" customHeight="true" outlineLevel="0" collapsed="false">
      <c r="A361" s="16" t="n">
        <f aca="false">A360+1</f>
        <v>46641</v>
      </c>
      <c r="B361" s="17"/>
      <c r="C361" s="18"/>
      <c r="D361" s="18"/>
      <c r="E361" s="18"/>
      <c r="F361" s="18"/>
      <c r="G361" s="18"/>
      <c r="H361" s="17"/>
      <c r="I361" s="19"/>
      <c r="J361" s="10" t="str">
        <f aca="false">IF(C361="","",C361-TargetKcal)</f>
        <v/>
      </c>
      <c r="K361" s="10" t="str">
        <f aca="false">IF(D361="","",D361-TargetProtein)</f>
        <v/>
      </c>
      <c r="L361" s="10" t="str">
        <f aca="false">IF(E361="","",E361-TargetFat)</f>
        <v/>
      </c>
      <c r="M361" s="10" t="str">
        <f aca="false">IF(F361="","",F361-TargetCarb)</f>
        <v/>
      </c>
      <c r="N361" s="10" t="str">
        <f aca="false">IF(COUNT(C361:F361)&lt;4,"",ROUND(4*D361+9*E361+4*F361-C361,0))</f>
        <v/>
      </c>
      <c r="O361" s="13" t="str">
        <f aca="false">IF(B361="","",IFERROR(AVERAGEIFS(Питание!$B$14:$B$378,Питание!$A$14:$A$378,"&gt;"&amp;$A361-7,Питание!$A$14:$A$378,"&lt;="&amp;$A361,Питание!$B$14:$B$378,"&gt;0"),""))</f>
        <v/>
      </c>
      <c r="P361" s="8" t="str">
        <f aca="false">IF(C361="","",IFERROR(AVERAGEIFS(Питание!$C$14:$C$378,Питание!$A$14:$A$378,"&gt;"&amp;$A361-7,Питание!$A$14:$A$378,"&lt;="&amp;$A361,Питание!$C$14:$C$378,"&gt;0"),""))</f>
        <v/>
      </c>
      <c r="Q361" s="8" t="str">
        <f aca="false">IF(D361="","",IFERROR(AVERAGEIFS(Питание!$D$14:$D$378,Питание!$A$14:$A$378,"&gt;"&amp;$A361-7,Питание!$A$14:$A$378,"&lt;="&amp;$A361,Питание!$D$14:$D$378,"&gt;0"),""))</f>
        <v/>
      </c>
      <c r="R361" s="14" t="str">
        <f aca="false">IF(O361="","",IFERROR(O361-AVERAGEIFS(Питание!$B$14:$B$378,Питание!$A$14:$A$378,"&gt;"&amp;$A361-14,Питание!$A$14:$A$378,"&lt;="&amp;$A361-7,Питание!$B$14:$B$378,"&gt;0"),""))</f>
        <v/>
      </c>
      <c r="S361" s="15" t="str">
        <f aca="false">IF(R361="","",R361/O361)</f>
        <v/>
      </c>
      <c r="T361" s="11" t="str">
        <f aca="false">IF(O361="","",O361-StartWeight)</f>
        <v/>
      </c>
    </row>
    <row r="362" customFormat="false" ht="15" hidden="false" customHeight="true" outlineLevel="0" collapsed="false">
      <c r="A362" s="16" t="n">
        <f aca="false">A361+1</f>
        <v>46642</v>
      </c>
      <c r="B362" s="17"/>
      <c r="C362" s="18"/>
      <c r="D362" s="18"/>
      <c r="E362" s="18"/>
      <c r="F362" s="18"/>
      <c r="G362" s="18"/>
      <c r="H362" s="17"/>
      <c r="I362" s="19"/>
      <c r="J362" s="10" t="str">
        <f aca="false">IF(C362="","",C362-TargetKcal)</f>
        <v/>
      </c>
      <c r="K362" s="10" t="str">
        <f aca="false">IF(D362="","",D362-TargetProtein)</f>
        <v/>
      </c>
      <c r="L362" s="10" t="str">
        <f aca="false">IF(E362="","",E362-TargetFat)</f>
        <v/>
      </c>
      <c r="M362" s="10" t="str">
        <f aca="false">IF(F362="","",F362-TargetCarb)</f>
        <v/>
      </c>
      <c r="N362" s="10" t="str">
        <f aca="false">IF(COUNT(C362:F362)&lt;4,"",ROUND(4*D362+9*E362+4*F362-C362,0))</f>
        <v/>
      </c>
      <c r="O362" s="13" t="str">
        <f aca="false">IF(B362="","",IFERROR(AVERAGEIFS(Питание!$B$14:$B$378,Питание!$A$14:$A$378,"&gt;"&amp;$A362-7,Питание!$A$14:$A$378,"&lt;="&amp;$A362,Питание!$B$14:$B$378,"&gt;0"),""))</f>
        <v/>
      </c>
      <c r="P362" s="8" t="str">
        <f aca="false">IF(C362="","",IFERROR(AVERAGEIFS(Питание!$C$14:$C$378,Питание!$A$14:$A$378,"&gt;"&amp;$A362-7,Питание!$A$14:$A$378,"&lt;="&amp;$A362,Питание!$C$14:$C$378,"&gt;0"),""))</f>
        <v/>
      </c>
      <c r="Q362" s="8" t="str">
        <f aca="false">IF(D362="","",IFERROR(AVERAGEIFS(Питание!$D$14:$D$378,Питание!$A$14:$A$378,"&gt;"&amp;$A362-7,Питание!$A$14:$A$378,"&lt;="&amp;$A362,Питание!$D$14:$D$378,"&gt;0"),""))</f>
        <v/>
      </c>
      <c r="R362" s="14" t="str">
        <f aca="false">IF(O362="","",IFERROR(O362-AVERAGEIFS(Питание!$B$14:$B$378,Питание!$A$14:$A$378,"&gt;"&amp;$A362-14,Питание!$A$14:$A$378,"&lt;="&amp;$A362-7,Питание!$B$14:$B$378,"&gt;0"),""))</f>
        <v/>
      </c>
      <c r="S362" s="15" t="str">
        <f aca="false">IF(R362="","",R362/O362)</f>
        <v/>
      </c>
      <c r="T362" s="11" t="str">
        <f aca="false">IF(O362="","",O362-StartWeight)</f>
        <v/>
      </c>
    </row>
    <row r="363" customFormat="false" ht="15" hidden="false" customHeight="true" outlineLevel="0" collapsed="false">
      <c r="A363" s="16" t="n">
        <f aca="false">A362+1</f>
        <v>46643</v>
      </c>
      <c r="B363" s="17"/>
      <c r="C363" s="18"/>
      <c r="D363" s="18"/>
      <c r="E363" s="18"/>
      <c r="F363" s="18"/>
      <c r="G363" s="18"/>
      <c r="H363" s="17"/>
      <c r="I363" s="19"/>
      <c r="J363" s="10" t="str">
        <f aca="false">IF(C363="","",C363-TargetKcal)</f>
        <v/>
      </c>
      <c r="K363" s="10" t="str">
        <f aca="false">IF(D363="","",D363-TargetProtein)</f>
        <v/>
      </c>
      <c r="L363" s="10" t="str">
        <f aca="false">IF(E363="","",E363-TargetFat)</f>
        <v/>
      </c>
      <c r="M363" s="10" t="str">
        <f aca="false">IF(F363="","",F363-TargetCarb)</f>
        <v/>
      </c>
      <c r="N363" s="10" t="str">
        <f aca="false">IF(COUNT(C363:F363)&lt;4,"",ROUND(4*D363+9*E363+4*F363-C363,0))</f>
        <v/>
      </c>
      <c r="O363" s="13" t="str">
        <f aca="false">IF(B363="","",IFERROR(AVERAGEIFS(Питание!$B$14:$B$378,Питание!$A$14:$A$378,"&gt;"&amp;$A363-7,Питание!$A$14:$A$378,"&lt;="&amp;$A363,Питание!$B$14:$B$378,"&gt;0"),""))</f>
        <v/>
      </c>
      <c r="P363" s="8" t="str">
        <f aca="false">IF(C363="","",IFERROR(AVERAGEIFS(Питание!$C$14:$C$378,Питание!$A$14:$A$378,"&gt;"&amp;$A363-7,Питание!$A$14:$A$378,"&lt;="&amp;$A363,Питание!$C$14:$C$378,"&gt;0"),""))</f>
        <v/>
      </c>
      <c r="Q363" s="8" t="str">
        <f aca="false">IF(D363="","",IFERROR(AVERAGEIFS(Питание!$D$14:$D$378,Питание!$A$14:$A$378,"&gt;"&amp;$A363-7,Питание!$A$14:$A$378,"&lt;="&amp;$A363,Питание!$D$14:$D$378,"&gt;0"),""))</f>
        <v/>
      </c>
      <c r="R363" s="14" t="str">
        <f aca="false">IF(O363="","",IFERROR(O363-AVERAGEIFS(Питание!$B$14:$B$378,Питание!$A$14:$A$378,"&gt;"&amp;$A363-14,Питание!$A$14:$A$378,"&lt;="&amp;$A363-7,Питание!$B$14:$B$378,"&gt;0"),""))</f>
        <v/>
      </c>
      <c r="S363" s="15" t="str">
        <f aca="false">IF(R363="","",R363/O363)</f>
        <v/>
      </c>
      <c r="T363" s="11" t="str">
        <f aca="false">IF(O363="","",O363-StartWeight)</f>
        <v/>
      </c>
    </row>
    <row r="364" customFormat="false" ht="15" hidden="false" customHeight="true" outlineLevel="0" collapsed="false">
      <c r="A364" s="16" t="n">
        <f aca="false">A363+1</f>
        <v>46644</v>
      </c>
      <c r="B364" s="17"/>
      <c r="C364" s="18"/>
      <c r="D364" s="18"/>
      <c r="E364" s="18"/>
      <c r="F364" s="18"/>
      <c r="G364" s="18"/>
      <c r="H364" s="17"/>
      <c r="I364" s="19"/>
      <c r="J364" s="10" t="str">
        <f aca="false">IF(C364="","",C364-TargetKcal)</f>
        <v/>
      </c>
      <c r="K364" s="10" t="str">
        <f aca="false">IF(D364="","",D364-TargetProtein)</f>
        <v/>
      </c>
      <c r="L364" s="10" t="str">
        <f aca="false">IF(E364="","",E364-TargetFat)</f>
        <v/>
      </c>
      <c r="M364" s="10" t="str">
        <f aca="false">IF(F364="","",F364-TargetCarb)</f>
        <v/>
      </c>
      <c r="N364" s="10" t="str">
        <f aca="false">IF(COUNT(C364:F364)&lt;4,"",ROUND(4*D364+9*E364+4*F364-C364,0))</f>
        <v/>
      </c>
      <c r="O364" s="13" t="str">
        <f aca="false">IF(B364="","",IFERROR(AVERAGEIFS(Питание!$B$14:$B$378,Питание!$A$14:$A$378,"&gt;"&amp;$A364-7,Питание!$A$14:$A$378,"&lt;="&amp;$A364,Питание!$B$14:$B$378,"&gt;0"),""))</f>
        <v/>
      </c>
      <c r="P364" s="8" t="str">
        <f aca="false">IF(C364="","",IFERROR(AVERAGEIFS(Питание!$C$14:$C$378,Питание!$A$14:$A$378,"&gt;"&amp;$A364-7,Питание!$A$14:$A$378,"&lt;="&amp;$A364,Питание!$C$14:$C$378,"&gt;0"),""))</f>
        <v/>
      </c>
      <c r="Q364" s="8" t="str">
        <f aca="false">IF(D364="","",IFERROR(AVERAGEIFS(Питание!$D$14:$D$378,Питание!$A$14:$A$378,"&gt;"&amp;$A364-7,Питание!$A$14:$A$378,"&lt;="&amp;$A364,Питание!$D$14:$D$378,"&gt;0"),""))</f>
        <v/>
      </c>
      <c r="R364" s="14" t="str">
        <f aca="false">IF(O364="","",IFERROR(O364-AVERAGEIFS(Питание!$B$14:$B$378,Питание!$A$14:$A$378,"&gt;"&amp;$A364-14,Питание!$A$14:$A$378,"&lt;="&amp;$A364-7,Питание!$B$14:$B$378,"&gt;0"),""))</f>
        <v/>
      </c>
      <c r="S364" s="15" t="str">
        <f aca="false">IF(R364="","",R364/O364)</f>
        <v/>
      </c>
      <c r="T364" s="11" t="str">
        <f aca="false">IF(O364="","",O364-StartWeight)</f>
        <v/>
      </c>
    </row>
    <row r="365" customFormat="false" ht="15" hidden="false" customHeight="true" outlineLevel="0" collapsed="false">
      <c r="A365" s="16" t="n">
        <f aca="false">A364+1</f>
        <v>46645</v>
      </c>
      <c r="B365" s="17"/>
      <c r="C365" s="18"/>
      <c r="D365" s="18"/>
      <c r="E365" s="18"/>
      <c r="F365" s="18"/>
      <c r="G365" s="18"/>
      <c r="H365" s="17"/>
      <c r="I365" s="19"/>
      <c r="J365" s="10" t="str">
        <f aca="false">IF(C365="","",C365-TargetKcal)</f>
        <v/>
      </c>
      <c r="K365" s="10" t="str">
        <f aca="false">IF(D365="","",D365-TargetProtein)</f>
        <v/>
      </c>
      <c r="L365" s="10" t="str">
        <f aca="false">IF(E365="","",E365-TargetFat)</f>
        <v/>
      </c>
      <c r="M365" s="10" t="str">
        <f aca="false">IF(F365="","",F365-TargetCarb)</f>
        <v/>
      </c>
      <c r="N365" s="10" t="str">
        <f aca="false">IF(COUNT(C365:F365)&lt;4,"",ROUND(4*D365+9*E365+4*F365-C365,0))</f>
        <v/>
      </c>
      <c r="O365" s="13" t="str">
        <f aca="false">IF(B365="","",IFERROR(AVERAGEIFS(Питание!$B$14:$B$378,Питание!$A$14:$A$378,"&gt;"&amp;$A365-7,Питание!$A$14:$A$378,"&lt;="&amp;$A365,Питание!$B$14:$B$378,"&gt;0"),""))</f>
        <v/>
      </c>
      <c r="P365" s="8" t="str">
        <f aca="false">IF(C365="","",IFERROR(AVERAGEIFS(Питание!$C$14:$C$378,Питание!$A$14:$A$378,"&gt;"&amp;$A365-7,Питание!$A$14:$A$378,"&lt;="&amp;$A365,Питание!$C$14:$C$378,"&gt;0"),""))</f>
        <v/>
      </c>
      <c r="Q365" s="8" t="str">
        <f aca="false">IF(D365="","",IFERROR(AVERAGEIFS(Питание!$D$14:$D$378,Питание!$A$14:$A$378,"&gt;"&amp;$A365-7,Питание!$A$14:$A$378,"&lt;="&amp;$A365,Питание!$D$14:$D$378,"&gt;0"),""))</f>
        <v/>
      </c>
      <c r="R365" s="14" t="str">
        <f aca="false">IF(O365="","",IFERROR(O365-AVERAGEIFS(Питание!$B$14:$B$378,Питание!$A$14:$A$378,"&gt;"&amp;$A365-14,Питание!$A$14:$A$378,"&lt;="&amp;$A365-7,Питание!$B$14:$B$378,"&gt;0"),""))</f>
        <v/>
      </c>
      <c r="S365" s="15" t="str">
        <f aca="false">IF(R365="","",R365/O365)</f>
        <v/>
      </c>
      <c r="T365" s="11" t="str">
        <f aca="false">IF(O365="","",O365-StartWeight)</f>
        <v/>
      </c>
    </row>
    <row r="366" customFormat="false" ht="15" hidden="false" customHeight="true" outlineLevel="0" collapsed="false">
      <c r="A366" s="16" t="n">
        <f aca="false">A365+1</f>
        <v>46646</v>
      </c>
      <c r="B366" s="17"/>
      <c r="C366" s="18"/>
      <c r="D366" s="18"/>
      <c r="E366" s="18"/>
      <c r="F366" s="18"/>
      <c r="G366" s="18"/>
      <c r="H366" s="17"/>
      <c r="I366" s="19"/>
      <c r="J366" s="10" t="str">
        <f aca="false">IF(C366="","",C366-TargetKcal)</f>
        <v/>
      </c>
      <c r="K366" s="10" t="str">
        <f aca="false">IF(D366="","",D366-TargetProtein)</f>
        <v/>
      </c>
      <c r="L366" s="10" t="str">
        <f aca="false">IF(E366="","",E366-TargetFat)</f>
        <v/>
      </c>
      <c r="M366" s="10" t="str">
        <f aca="false">IF(F366="","",F366-TargetCarb)</f>
        <v/>
      </c>
      <c r="N366" s="10" t="str">
        <f aca="false">IF(COUNT(C366:F366)&lt;4,"",ROUND(4*D366+9*E366+4*F366-C366,0))</f>
        <v/>
      </c>
      <c r="O366" s="13" t="str">
        <f aca="false">IF(B366="","",IFERROR(AVERAGEIFS(Питание!$B$14:$B$378,Питание!$A$14:$A$378,"&gt;"&amp;$A366-7,Питание!$A$14:$A$378,"&lt;="&amp;$A366,Питание!$B$14:$B$378,"&gt;0"),""))</f>
        <v/>
      </c>
      <c r="P366" s="8" t="str">
        <f aca="false">IF(C366="","",IFERROR(AVERAGEIFS(Питание!$C$14:$C$378,Питание!$A$14:$A$378,"&gt;"&amp;$A366-7,Питание!$A$14:$A$378,"&lt;="&amp;$A366,Питание!$C$14:$C$378,"&gt;0"),""))</f>
        <v/>
      </c>
      <c r="Q366" s="8" t="str">
        <f aca="false">IF(D366="","",IFERROR(AVERAGEIFS(Питание!$D$14:$D$378,Питание!$A$14:$A$378,"&gt;"&amp;$A366-7,Питание!$A$14:$A$378,"&lt;="&amp;$A366,Питание!$D$14:$D$378,"&gt;0"),""))</f>
        <v/>
      </c>
      <c r="R366" s="14" t="str">
        <f aca="false">IF(O366="","",IFERROR(O366-AVERAGEIFS(Питание!$B$14:$B$378,Питание!$A$14:$A$378,"&gt;"&amp;$A366-14,Питание!$A$14:$A$378,"&lt;="&amp;$A366-7,Питание!$B$14:$B$378,"&gt;0"),""))</f>
        <v/>
      </c>
      <c r="S366" s="15" t="str">
        <f aca="false">IF(R366="","",R366/O366)</f>
        <v/>
      </c>
      <c r="T366" s="11" t="str">
        <f aca="false">IF(O366="","",O366-StartWeight)</f>
        <v/>
      </c>
    </row>
    <row r="367" customFormat="false" ht="15" hidden="false" customHeight="true" outlineLevel="0" collapsed="false">
      <c r="A367" s="16" t="n">
        <f aca="false">A366+1</f>
        <v>46647</v>
      </c>
      <c r="B367" s="17"/>
      <c r="C367" s="18"/>
      <c r="D367" s="18"/>
      <c r="E367" s="18"/>
      <c r="F367" s="18"/>
      <c r="G367" s="18"/>
      <c r="H367" s="17"/>
      <c r="I367" s="19"/>
      <c r="J367" s="10" t="str">
        <f aca="false">IF(C367="","",C367-TargetKcal)</f>
        <v/>
      </c>
      <c r="K367" s="10" t="str">
        <f aca="false">IF(D367="","",D367-TargetProtein)</f>
        <v/>
      </c>
      <c r="L367" s="10" t="str">
        <f aca="false">IF(E367="","",E367-TargetFat)</f>
        <v/>
      </c>
      <c r="M367" s="10" t="str">
        <f aca="false">IF(F367="","",F367-TargetCarb)</f>
        <v/>
      </c>
      <c r="N367" s="10" t="str">
        <f aca="false">IF(COUNT(C367:F367)&lt;4,"",ROUND(4*D367+9*E367+4*F367-C367,0))</f>
        <v/>
      </c>
      <c r="O367" s="13" t="str">
        <f aca="false">IF(B367="","",IFERROR(AVERAGEIFS(Питание!$B$14:$B$378,Питание!$A$14:$A$378,"&gt;"&amp;$A367-7,Питание!$A$14:$A$378,"&lt;="&amp;$A367,Питание!$B$14:$B$378,"&gt;0"),""))</f>
        <v/>
      </c>
      <c r="P367" s="8" t="str">
        <f aca="false">IF(C367="","",IFERROR(AVERAGEIFS(Питание!$C$14:$C$378,Питание!$A$14:$A$378,"&gt;"&amp;$A367-7,Питание!$A$14:$A$378,"&lt;="&amp;$A367,Питание!$C$14:$C$378,"&gt;0"),""))</f>
        <v/>
      </c>
      <c r="Q367" s="8" t="str">
        <f aca="false">IF(D367="","",IFERROR(AVERAGEIFS(Питание!$D$14:$D$378,Питание!$A$14:$A$378,"&gt;"&amp;$A367-7,Питание!$A$14:$A$378,"&lt;="&amp;$A367,Питание!$D$14:$D$378,"&gt;0"),""))</f>
        <v/>
      </c>
      <c r="R367" s="14" t="str">
        <f aca="false">IF(O367="","",IFERROR(O367-AVERAGEIFS(Питание!$B$14:$B$378,Питание!$A$14:$A$378,"&gt;"&amp;$A367-14,Питание!$A$14:$A$378,"&lt;="&amp;$A367-7,Питание!$B$14:$B$378,"&gt;0"),""))</f>
        <v/>
      </c>
      <c r="S367" s="15" t="str">
        <f aca="false">IF(R367="","",R367/O367)</f>
        <v/>
      </c>
      <c r="T367" s="11" t="str">
        <f aca="false">IF(O367="","",O367-StartWeight)</f>
        <v/>
      </c>
    </row>
    <row r="368" customFormat="false" ht="15" hidden="false" customHeight="true" outlineLevel="0" collapsed="false">
      <c r="A368" s="16" t="n">
        <f aca="false">A367+1</f>
        <v>46648</v>
      </c>
      <c r="B368" s="17"/>
      <c r="C368" s="18"/>
      <c r="D368" s="18"/>
      <c r="E368" s="18"/>
      <c r="F368" s="18"/>
      <c r="G368" s="18"/>
      <c r="H368" s="17"/>
      <c r="I368" s="19"/>
      <c r="J368" s="10" t="str">
        <f aca="false">IF(C368="","",C368-TargetKcal)</f>
        <v/>
      </c>
      <c r="K368" s="10" t="str">
        <f aca="false">IF(D368="","",D368-TargetProtein)</f>
        <v/>
      </c>
      <c r="L368" s="10" t="str">
        <f aca="false">IF(E368="","",E368-TargetFat)</f>
        <v/>
      </c>
      <c r="M368" s="10" t="str">
        <f aca="false">IF(F368="","",F368-TargetCarb)</f>
        <v/>
      </c>
      <c r="N368" s="10" t="str">
        <f aca="false">IF(COUNT(C368:F368)&lt;4,"",ROUND(4*D368+9*E368+4*F368-C368,0))</f>
        <v/>
      </c>
      <c r="O368" s="13" t="str">
        <f aca="false">IF(B368="","",IFERROR(AVERAGEIFS(Питание!$B$14:$B$378,Питание!$A$14:$A$378,"&gt;"&amp;$A368-7,Питание!$A$14:$A$378,"&lt;="&amp;$A368,Питание!$B$14:$B$378,"&gt;0"),""))</f>
        <v/>
      </c>
      <c r="P368" s="8" t="str">
        <f aca="false">IF(C368="","",IFERROR(AVERAGEIFS(Питание!$C$14:$C$378,Питание!$A$14:$A$378,"&gt;"&amp;$A368-7,Питание!$A$14:$A$378,"&lt;="&amp;$A368,Питание!$C$14:$C$378,"&gt;0"),""))</f>
        <v/>
      </c>
      <c r="Q368" s="8" t="str">
        <f aca="false">IF(D368="","",IFERROR(AVERAGEIFS(Питание!$D$14:$D$378,Питание!$A$14:$A$378,"&gt;"&amp;$A368-7,Питание!$A$14:$A$378,"&lt;="&amp;$A368,Питание!$D$14:$D$378,"&gt;0"),""))</f>
        <v/>
      </c>
      <c r="R368" s="14" t="str">
        <f aca="false">IF(O368="","",IFERROR(O368-AVERAGEIFS(Питание!$B$14:$B$378,Питание!$A$14:$A$378,"&gt;"&amp;$A368-14,Питание!$A$14:$A$378,"&lt;="&amp;$A368-7,Питание!$B$14:$B$378,"&gt;0"),""))</f>
        <v/>
      </c>
      <c r="S368" s="15" t="str">
        <f aca="false">IF(R368="","",R368/O368)</f>
        <v/>
      </c>
      <c r="T368" s="11" t="str">
        <f aca="false">IF(O368="","",O368-StartWeight)</f>
        <v/>
      </c>
    </row>
    <row r="369" customFormat="false" ht="15" hidden="false" customHeight="true" outlineLevel="0" collapsed="false">
      <c r="A369" s="16" t="n">
        <f aca="false">A368+1</f>
        <v>46649</v>
      </c>
      <c r="B369" s="17"/>
      <c r="C369" s="18"/>
      <c r="D369" s="18"/>
      <c r="E369" s="18"/>
      <c r="F369" s="18"/>
      <c r="G369" s="18"/>
      <c r="H369" s="17"/>
      <c r="I369" s="19"/>
      <c r="J369" s="10" t="str">
        <f aca="false">IF(C369="","",C369-TargetKcal)</f>
        <v/>
      </c>
      <c r="K369" s="10" t="str">
        <f aca="false">IF(D369="","",D369-TargetProtein)</f>
        <v/>
      </c>
      <c r="L369" s="10" t="str">
        <f aca="false">IF(E369="","",E369-TargetFat)</f>
        <v/>
      </c>
      <c r="M369" s="10" t="str">
        <f aca="false">IF(F369="","",F369-TargetCarb)</f>
        <v/>
      </c>
      <c r="N369" s="10" t="str">
        <f aca="false">IF(COUNT(C369:F369)&lt;4,"",ROUND(4*D369+9*E369+4*F369-C369,0))</f>
        <v/>
      </c>
      <c r="O369" s="13" t="str">
        <f aca="false">IF(B369="","",IFERROR(AVERAGEIFS(Питание!$B$14:$B$378,Питание!$A$14:$A$378,"&gt;"&amp;$A369-7,Питание!$A$14:$A$378,"&lt;="&amp;$A369,Питание!$B$14:$B$378,"&gt;0"),""))</f>
        <v/>
      </c>
      <c r="P369" s="8" t="str">
        <f aca="false">IF(C369="","",IFERROR(AVERAGEIFS(Питание!$C$14:$C$378,Питание!$A$14:$A$378,"&gt;"&amp;$A369-7,Питание!$A$14:$A$378,"&lt;="&amp;$A369,Питание!$C$14:$C$378,"&gt;0"),""))</f>
        <v/>
      </c>
      <c r="Q369" s="8" t="str">
        <f aca="false">IF(D369="","",IFERROR(AVERAGEIFS(Питание!$D$14:$D$378,Питание!$A$14:$A$378,"&gt;"&amp;$A369-7,Питание!$A$14:$A$378,"&lt;="&amp;$A369,Питание!$D$14:$D$378,"&gt;0"),""))</f>
        <v/>
      </c>
      <c r="R369" s="14" t="str">
        <f aca="false">IF(O369="","",IFERROR(O369-AVERAGEIFS(Питание!$B$14:$B$378,Питание!$A$14:$A$378,"&gt;"&amp;$A369-14,Питание!$A$14:$A$378,"&lt;="&amp;$A369-7,Питание!$B$14:$B$378,"&gt;0"),""))</f>
        <v/>
      </c>
      <c r="S369" s="15" t="str">
        <f aca="false">IF(R369="","",R369/O369)</f>
        <v/>
      </c>
      <c r="T369" s="11" t="str">
        <f aca="false">IF(O369="","",O369-StartWeight)</f>
        <v/>
      </c>
    </row>
    <row r="370" customFormat="false" ht="15" hidden="false" customHeight="true" outlineLevel="0" collapsed="false">
      <c r="A370" s="16" t="n">
        <f aca="false">A369+1</f>
        <v>46650</v>
      </c>
      <c r="B370" s="17"/>
      <c r="C370" s="18"/>
      <c r="D370" s="18"/>
      <c r="E370" s="18"/>
      <c r="F370" s="18"/>
      <c r="G370" s="18"/>
      <c r="H370" s="17"/>
      <c r="I370" s="19"/>
      <c r="J370" s="10" t="str">
        <f aca="false">IF(C370="","",C370-TargetKcal)</f>
        <v/>
      </c>
      <c r="K370" s="10" t="str">
        <f aca="false">IF(D370="","",D370-TargetProtein)</f>
        <v/>
      </c>
      <c r="L370" s="10" t="str">
        <f aca="false">IF(E370="","",E370-TargetFat)</f>
        <v/>
      </c>
      <c r="M370" s="10" t="str">
        <f aca="false">IF(F370="","",F370-TargetCarb)</f>
        <v/>
      </c>
      <c r="N370" s="10" t="str">
        <f aca="false">IF(COUNT(C370:F370)&lt;4,"",ROUND(4*D370+9*E370+4*F370-C370,0))</f>
        <v/>
      </c>
      <c r="O370" s="13" t="str">
        <f aca="false">IF(B370="","",IFERROR(AVERAGEIFS(Питание!$B$14:$B$378,Питание!$A$14:$A$378,"&gt;"&amp;$A370-7,Питание!$A$14:$A$378,"&lt;="&amp;$A370,Питание!$B$14:$B$378,"&gt;0"),""))</f>
        <v/>
      </c>
      <c r="P370" s="8" t="str">
        <f aca="false">IF(C370="","",IFERROR(AVERAGEIFS(Питание!$C$14:$C$378,Питание!$A$14:$A$378,"&gt;"&amp;$A370-7,Питание!$A$14:$A$378,"&lt;="&amp;$A370,Питание!$C$14:$C$378,"&gt;0"),""))</f>
        <v/>
      </c>
      <c r="Q370" s="8" t="str">
        <f aca="false">IF(D370="","",IFERROR(AVERAGEIFS(Питание!$D$14:$D$378,Питание!$A$14:$A$378,"&gt;"&amp;$A370-7,Питание!$A$14:$A$378,"&lt;="&amp;$A370,Питание!$D$14:$D$378,"&gt;0"),""))</f>
        <v/>
      </c>
      <c r="R370" s="14" t="str">
        <f aca="false">IF(O370="","",IFERROR(O370-AVERAGEIFS(Питание!$B$14:$B$378,Питание!$A$14:$A$378,"&gt;"&amp;$A370-14,Питание!$A$14:$A$378,"&lt;="&amp;$A370-7,Питание!$B$14:$B$378,"&gt;0"),""))</f>
        <v/>
      </c>
      <c r="S370" s="15" t="str">
        <f aca="false">IF(R370="","",R370/O370)</f>
        <v/>
      </c>
      <c r="T370" s="11" t="str">
        <f aca="false">IF(O370="","",O370-StartWeight)</f>
        <v/>
      </c>
    </row>
    <row r="371" customFormat="false" ht="15" hidden="false" customHeight="true" outlineLevel="0" collapsed="false">
      <c r="A371" s="16" t="n">
        <f aca="false">A370+1</f>
        <v>46651</v>
      </c>
      <c r="B371" s="17"/>
      <c r="C371" s="18"/>
      <c r="D371" s="18"/>
      <c r="E371" s="18"/>
      <c r="F371" s="18"/>
      <c r="G371" s="18"/>
      <c r="H371" s="17"/>
      <c r="I371" s="19"/>
      <c r="J371" s="10" t="str">
        <f aca="false">IF(C371="","",C371-TargetKcal)</f>
        <v/>
      </c>
      <c r="K371" s="10" t="str">
        <f aca="false">IF(D371="","",D371-TargetProtein)</f>
        <v/>
      </c>
      <c r="L371" s="10" t="str">
        <f aca="false">IF(E371="","",E371-TargetFat)</f>
        <v/>
      </c>
      <c r="M371" s="10" t="str">
        <f aca="false">IF(F371="","",F371-TargetCarb)</f>
        <v/>
      </c>
      <c r="N371" s="10" t="str">
        <f aca="false">IF(COUNT(C371:F371)&lt;4,"",ROUND(4*D371+9*E371+4*F371-C371,0))</f>
        <v/>
      </c>
      <c r="O371" s="13" t="str">
        <f aca="false">IF(B371="","",IFERROR(AVERAGEIFS(Питание!$B$14:$B$378,Питание!$A$14:$A$378,"&gt;"&amp;$A371-7,Питание!$A$14:$A$378,"&lt;="&amp;$A371,Питание!$B$14:$B$378,"&gt;0"),""))</f>
        <v/>
      </c>
      <c r="P371" s="8" t="str">
        <f aca="false">IF(C371="","",IFERROR(AVERAGEIFS(Питание!$C$14:$C$378,Питание!$A$14:$A$378,"&gt;"&amp;$A371-7,Питание!$A$14:$A$378,"&lt;="&amp;$A371,Питание!$C$14:$C$378,"&gt;0"),""))</f>
        <v/>
      </c>
      <c r="Q371" s="8" t="str">
        <f aca="false">IF(D371="","",IFERROR(AVERAGEIFS(Питание!$D$14:$D$378,Питание!$A$14:$A$378,"&gt;"&amp;$A371-7,Питание!$A$14:$A$378,"&lt;="&amp;$A371,Питание!$D$14:$D$378,"&gt;0"),""))</f>
        <v/>
      </c>
      <c r="R371" s="14" t="str">
        <f aca="false">IF(O371="","",IFERROR(O371-AVERAGEIFS(Питание!$B$14:$B$378,Питание!$A$14:$A$378,"&gt;"&amp;$A371-14,Питание!$A$14:$A$378,"&lt;="&amp;$A371-7,Питание!$B$14:$B$378,"&gt;0"),""))</f>
        <v/>
      </c>
      <c r="S371" s="15" t="str">
        <f aca="false">IF(R371="","",R371/O371)</f>
        <v/>
      </c>
      <c r="T371" s="11" t="str">
        <f aca="false">IF(O371="","",O371-StartWeight)</f>
        <v/>
      </c>
    </row>
    <row r="372" customFormat="false" ht="15" hidden="false" customHeight="true" outlineLevel="0" collapsed="false">
      <c r="A372" s="16" t="n">
        <f aca="false">A371+1</f>
        <v>46652</v>
      </c>
      <c r="B372" s="17"/>
      <c r="C372" s="18"/>
      <c r="D372" s="18"/>
      <c r="E372" s="18"/>
      <c r="F372" s="18"/>
      <c r="G372" s="18"/>
      <c r="H372" s="17"/>
      <c r="I372" s="19"/>
      <c r="J372" s="10" t="str">
        <f aca="false">IF(C372="","",C372-TargetKcal)</f>
        <v/>
      </c>
      <c r="K372" s="10" t="str">
        <f aca="false">IF(D372="","",D372-TargetProtein)</f>
        <v/>
      </c>
      <c r="L372" s="10" t="str">
        <f aca="false">IF(E372="","",E372-TargetFat)</f>
        <v/>
      </c>
      <c r="M372" s="10" t="str">
        <f aca="false">IF(F372="","",F372-TargetCarb)</f>
        <v/>
      </c>
      <c r="N372" s="10" t="str">
        <f aca="false">IF(COUNT(C372:F372)&lt;4,"",ROUND(4*D372+9*E372+4*F372-C372,0))</f>
        <v/>
      </c>
      <c r="O372" s="13" t="str">
        <f aca="false">IF(B372="","",IFERROR(AVERAGEIFS(Питание!$B$14:$B$378,Питание!$A$14:$A$378,"&gt;"&amp;$A372-7,Питание!$A$14:$A$378,"&lt;="&amp;$A372,Питание!$B$14:$B$378,"&gt;0"),""))</f>
        <v/>
      </c>
      <c r="P372" s="8" t="str">
        <f aca="false">IF(C372="","",IFERROR(AVERAGEIFS(Питание!$C$14:$C$378,Питание!$A$14:$A$378,"&gt;"&amp;$A372-7,Питание!$A$14:$A$378,"&lt;="&amp;$A372,Питание!$C$14:$C$378,"&gt;0"),""))</f>
        <v/>
      </c>
      <c r="Q372" s="8" t="str">
        <f aca="false">IF(D372="","",IFERROR(AVERAGEIFS(Питание!$D$14:$D$378,Питание!$A$14:$A$378,"&gt;"&amp;$A372-7,Питание!$A$14:$A$378,"&lt;="&amp;$A372,Питание!$D$14:$D$378,"&gt;0"),""))</f>
        <v/>
      </c>
      <c r="R372" s="14" t="str">
        <f aca="false">IF(O372="","",IFERROR(O372-AVERAGEIFS(Питание!$B$14:$B$378,Питание!$A$14:$A$378,"&gt;"&amp;$A372-14,Питание!$A$14:$A$378,"&lt;="&amp;$A372-7,Питание!$B$14:$B$378,"&gt;0"),""))</f>
        <v/>
      </c>
      <c r="S372" s="15" t="str">
        <f aca="false">IF(R372="","",R372/O372)</f>
        <v/>
      </c>
      <c r="T372" s="11" t="str">
        <f aca="false">IF(O372="","",O372-StartWeight)</f>
        <v/>
      </c>
    </row>
    <row r="373" customFormat="false" ht="15" hidden="false" customHeight="true" outlineLevel="0" collapsed="false">
      <c r="A373" s="16" t="n">
        <f aca="false">A372+1</f>
        <v>46653</v>
      </c>
      <c r="B373" s="17"/>
      <c r="C373" s="18"/>
      <c r="D373" s="18"/>
      <c r="E373" s="18"/>
      <c r="F373" s="18"/>
      <c r="G373" s="18"/>
      <c r="H373" s="17"/>
      <c r="I373" s="19"/>
      <c r="J373" s="10" t="str">
        <f aca="false">IF(C373="","",C373-TargetKcal)</f>
        <v/>
      </c>
      <c r="K373" s="10" t="str">
        <f aca="false">IF(D373="","",D373-TargetProtein)</f>
        <v/>
      </c>
      <c r="L373" s="10" t="str">
        <f aca="false">IF(E373="","",E373-TargetFat)</f>
        <v/>
      </c>
      <c r="M373" s="10" t="str">
        <f aca="false">IF(F373="","",F373-TargetCarb)</f>
        <v/>
      </c>
      <c r="N373" s="10" t="str">
        <f aca="false">IF(COUNT(C373:F373)&lt;4,"",ROUND(4*D373+9*E373+4*F373-C373,0))</f>
        <v/>
      </c>
      <c r="O373" s="13" t="str">
        <f aca="false">IF(B373="","",IFERROR(AVERAGEIFS(Питание!$B$14:$B$378,Питание!$A$14:$A$378,"&gt;"&amp;$A373-7,Питание!$A$14:$A$378,"&lt;="&amp;$A373,Питание!$B$14:$B$378,"&gt;0"),""))</f>
        <v/>
      </c>
      <c r="P373" s="8" t="str">
        <f aca="false">IF(C373="","",IFERROR(AVERAGEIFS(Питание!$C$14:$C$378,Питание!$A$14:$A$378,"&gt;"&amp;$A373-7,Питание!$A$14:$A$378,"&lt;="&amp;$A373,Питание!$C$14:$C$378,"&gt;0"),""))</f>
        <v/>
      </c>
      <c r="Q373" s="8" t="str">
        <f aca="false">IF(D373="","",IFERROR(AVERAGEIFS(Питание!$D$14:$D$378,Питание!$A$14:$A$378,"&gt;"&amp;$A373-7,Питание!$A$14:$A$378,"&lt;="&amp;$A373,Питание!$D$14:$D$378,"&gt;0"),""))</f>
        <v/>
      </c>
      <c r="R373" s="14" t="str">
        <f aca="false">IF(O373="","",IFERROR(O373-AVERAGEIFS(Питание!$B$14:$B$378,Питание!$A$14:$A$378,"&gt;"&amp;$A373-14,Питание!$A$14:$A$378,"&lt;="&amp;$A373-7,Питание!$B$14:$B$378,"&gt;0"),""))</f>
        <v/>
      </c>
      <c r="S373" s="15" t="str">
        <f aca="false">IF(R373="","",R373/O373)</f>
        <v/>
      </c>
      <c r="T373" s="11" t="str">
        <f aca="false">IF(O373="","",O373-StartWeight)</f>
        <v/>
      </c>
    </row>
    <row r="374" customFormat="false" ht="15" hidden="false" customHeight="true" outlineLevel="0" collapsed="false">
      <c r="A374" s="16" t="n">
        <f aca="false">A373+1</f>
        <v>46654</v>
      </c>
      <c r="B374" s="17"/>
      <c r="C374" s="18"/>
      <c r="D374" s="18"/>
      <c r="E374" s="18"/>
      <c r="F374" s="18"/>
      <c r="G374" s="18"/>
      <c r="H374" s="17"/>
      <c r="I374" s="19"/>
      <c r="J374" s="10" t="str">
        <f aca="false">IF(C374="","",C374-TargetKcal)</f>
        <v/>
      </c>
      <c r="K374" s="10" t="str">
        <f aca="false">IF(D374="","",D374-TargetProtein)</f>
        <v/>
      </c>
      <c r="L374" s="10" t="str">
        <f aca="false">IF(E374="","",E374-TargetFat)</f>
        <v/>
      </c>
      <c r="M374" s="10" t="str">
        <f aca="false">IF(F374="","",F374-TargetCarb)</f>
        <v/>
      </c>
      <c r="N374" s="10" t="str">
        <f aca="false">IF(COUNT(C374:F374)&lt;4,"",ROUND(4*D374+9*E374+4*F374-C374,0))</f>
        <v/>
      </c>
      <c r="O374" s="13" t="str">
        <f aca="false">IF(B374="","",IFERROR(AVERAGEIFS(Питание!$B$14:$B$378,Питание!$A$14:$A$378,"&gt;"&amp;$A374-7,Питание!$A$14:$A$378,"&lt;="&amp;$A374,Питание!$B$14:$B$378,"&gt;0"),""))</f>
        <v/>
      </c>
      <c r="P374" s="8" t="str">
        <f aca="false">IF(C374="","",IFERROR(AVERAGEIFS(Питание!$C$14:$C$378,Питание!$A$14:$A$378,"&gt;"&amp;$A374-7,Питание!$A$14:$A$378,"&lt;="&amp;$A374,Питание!$C$14:$C$378,"&gt;0"),""))</f>
        <v/>
      </c>
      <c r="Q374" s="8" t="str">
        <f aca="false">IF(D374="","",IFERROR(AVERAGEIFS(Питание!$D$14:$D$378,Питание!$A$14:$A$378,"&gt;"&amp;$A374-7,Питание!$A$14:$A$378,"&lt;="&amp;$A374,Питание!$D$14:$D$378,"&gt;0"),""))</f>
        <v/>
      </c>
      <c r="R374" s="14" t="str">
        <f aca="false">IF(O374="","",IFERROR(O374-AVERAGEIFS(Питание!$B$14:$B$378,Питание!$A$14:$A$378,"&gt;"&amp;$A374-14,Питание!$A$14:$A$378,"&lt;="&amp;$A374-7,Питание!$B$14:$B$378,"&gt;0"),""))</f>
        <v/>
      </c>
      <c r="S374" s="15" t="str">
        <f aca="false">IF(R374="","",R374/O374)</f>
        <v/>
      </c>
      <c r="T374" s="11" t="str">
        <f aca="false">IF(O374="","",O374-StartWeight)</f>
        <v/>
      </c>
    </row>
    <row r="375" customFormat="false" ht="15" hidden="false" customHeight="true" outlineLevel="0" collapsed="false">
      <c r="A375" s="16" t="n">
        <f aca="false">A374+1</f>
        <v>46655</v>
      </c>
      <c r="B375" s="17"/>
      <c r="C375" s="18"/>
      <c r="D375" s="18"/>
      <c r="E375" s="18"/>
      <c r="F375" s="18"/>
      <c r="G375" s="18"/>
      <c r="H375" s="17"/>
      <c r="I375" s="19"/>
      <c r="J375" s="10" t="str">
        <f aca="false">IF(C375="","",C375-TargetKcal)</f>
        <v/>
      </c>
      <c r="K375" s="10" t="str">
        <f aca="false">IF(D375="","",D375-TargetProtein)</f>
        <v/>
      </c>
      <c r="L375" s="10" t="str">
        <f aca="false">IF(E375="","",E375-TargetFat)</f>
        <v/>
      </c>
      <c r="M375" s="10" t="str">
        <f aca="false">IF(F375="","",F375-TargetCarb)</f>
        <v/>
      </c>
      <c r="N375" s="10" t="str">
        <f aca="false">IF(COUNT(C375:F375)&lt;4,"",ROUND(4*D375+9*E375+4*F375-C375,0))</f>
        <v/>
      </c>
      <c r="O375" s="13" t="str">
        <f aca="false">IF(B375="","",IFERROR(AVERAGEIFS(Питание!$B$14:$B$378,Питание!$A$14:$A$378,"&gt;"&amp;$A375-7,Питание!$A$14:$A$378,"&lt;="&amp;$A375,Питание!$B$14:$B$378,"&gt;0"),""))</f>
        <v/>
      </c>
      <c r="P375" s="8" t="str">
        <f aca="false">IF(C375="","",IFERROR(AVERAGEIFS(Питание!$C$14:$C$378,Питание!$A$14:$A$378,"&gt;"&amp;$A375-7,Питание!$A$14:$A$378,"&lt;="&amp;$A375,Питание!$C$14:$C$378,"&gt;0"),""))</f>
        <v/>
      </c>
      <c r="Q375" s="8" t="str">
        <f aca="false">IF(D375="","",IFERROR(AVERAGEIFS(Питание!$D$14:$D$378,Питание!$A$14:$A$378,"&gt;"&amp;$A375-7,Питание!$A$14:$A$378,"&lt;="&amp;$A375,Питание!$D$14:$D$378,"&gt;0"),""))</f>
        <v/>
      </c>
      <c r="R375" s="14" t="str">
        <f aca="false">IF(O375="","",IFERROR(O375-AVERAGEIFS(Питание!$B$14:$B$378,Питание!$A$14:$A$378,"&gt;"&amp;$A375-14,Питание!$A$14:$A$378,"&lt;="&amp;$A375-7,Питание!$B$14:$B$378,"&gt;0"),""))</f>
        <v/>
      </c>
      <c r="S375" s="15" t="str">
        <f aca="false">IF(R375="","",R375/O375)</f>
        <v/>
      </c>
      <c r="T375" s="11" t="str">
        <f aca="false">IF(O375="","",O375-StartWeight)</f>
        <v/>
      </c>
    </row>
    <row r="376" customFormat="false" ht="15" hidden="false" customHeight="true" outlineLevel="0" collapsed="false">
      <c r="A376" s="16" t="n">
        <f aca="false">A375+1</f>
        <v>46656</v>
      </c>
      <c r="B376" s="17"/>
      <c r="C376" s="18"/>
      <c r="D376" s="18"/>
      <c r="E376" s="18"/>
      <c r="F376" s="18"/>
      <c r="G376" s="18"/>
      <c r="H376" s="17"/>
      <c r="I376" s="19"/>
      <c r="J376" s="10" t="str">
        <f aca="false">IF(C376="","",C376-TargetKcal)</f>
        <v/>
      </c>
      <c r="K376" s="10" t="str">
        <f aca="false">IF(D376="","",D376-TargetProtein)</f>
        <v/>
      </c>
      <c r="L376" s="10" t="str">
        <f aca="false">IF(E376="","",E376-TargetFat)</f>
        <v/>
      </c>
      <c r="M376" s="10" t="str">
        <f aca="false">IF(F376="","",F376-TargetCarb)</f>
        <v/>
      </c>
      <c r="N376" s="10" t="str">
        <f aca="false">IF(COUNT(C376:F376)&lt;4,"",ROUND(4*D376+9*E376+4*F376-C376,0))</f>
        <v/>
      </c>
      <c r="O376" s="13" t="str">
        <f aca="false">IF(B376="","",IFERROR(AVERAGEIFS(Питание!$B$14:$B$378,Питание!$A$14:$A$378,"&gt;"&amp;$A376-7,Питание!$A$14:$A$378,"&lt;="&amp;$A376,Питание!$B$14:$B$378,"&gt;0"),""))</f>
        <v/>
      </c>
      <c r="P376" s="8" t="str">
        <f aca="false">IF(C376="","",IFERROR(AVERAGEIFS(Питание!$C$14:$C$378,Питание!$A$14:$A$378,"&gt;"&amp;$A376-7,Питание!$A$14:$A$378,"&lt;="&amp;$A376,Питание!$C$14:$C$378,"&gt;0"),""))</f>
        <v/>
      </c>
      <c r="Q376" s="8" t="str">
        <f aca="false">IF(D376="","",IFERROR(AVERAGEIFS(Питание!$D$14:$D$378,Питание!$A$14:$A$378,"&gt;"&amp;$A376-7,Питание!$A$14:$A$378,"&lt;="&amp;$A376,Питание!$D$14:$D$378,"&gt;0"),""))</f>
        <v/>
      </c>
      <c r="R376" s="14" t="str">
        <f aca="false">IF(O376="","",IFERROR(O376-AVERAGEIFS(Питание!$B$14:$B$378,Питание!$A$14:$A$378,"&gt;"&amp;$A376-14,Питание!$A$14:$A$378,"&lt;="&amp;$A376-7,Питание!$B$14:$B$378,"&gt;0"),""))</f>
        <v/>
      </c>
      <c r="S376" s="15" t="str">
        <f aca="false">IF(R376="","",R376/O376)</f>
        <v/>
      </c>
      <c r="T376" s="11" t="str">
        <f aca="false">IF(O376="","",O376-StartWeight)</f>
        <v/>
      </c>
    </row>
    <row r="377" customFormat="false" ht="15" hidden="false" customHeight="true" outlineLevel="0" collapsed="false">
      <c r="A377" s="16" t="n">
        <f aca="false">A376+1</f>
        <v>46657</v>
      </c>
      <c r="B377" s="17"/>
      <c r="C377" s="18"/>
      <c r="D377" s="18"/>
      <c r="E377" s="18"/>
      <c r="F377" s="18"/>
      <c r="G377" s="18"/>
      <c r="H377" s="17"/>
      <c r="I377" s="19"/>
      <c r="J377" s="10" t="str">
        <f aca="false">IF(C377="","",C377-TargetKcal)</f>
        <v/>
      </c>
      <c r="K377" s="10" t="str">
        <f aca="false">IF(D377="","",D377-TargetProtein)</f>
        <v/>
      </c>
      <c r="L377" s="10" t="str">
        <f aca="false">IF(E377="","",E377-TargetFat)</f>
        <v/>
      </c>
      <c r="M377" s="10" t="str">
        <f aca="false">IF(F377="","",F377-TargetCarb)</f>
        <v/>
      </c>
      <c r="N377" s="10" t="str">
        <f aca="false">IF(COUNT(C377:F377)&lt;4,"",ROUND(4*D377+9*E377+4*F377-C377,0))</f>
        <v/>
      </c>
      <c r="O377" s="13" t="str">
        <f aca="false">IF(B377="","",IFERROR(AVERAGEIFS(Питание!$B$14:$B$378,Питание!$A$14:$A$378,"&gt;"&amp;$A377-7,Питание!$A$14:$A$378,"&lt;="&amp;$A377,Питание!$B$14:$B$378,"&gt;0"),""))</f>
        <v/>
      </c>
      <c r="P377" s="8" t="str">
        <f aca="false">IF(C377="","",IFERROR(AVERAGEIFS(Питание!$C$14:$C$378,Питание!$A$14:$A$378,"&gt;"&amp;$A377-7,Питание!$A$14:$A$378,"&lt;="&amp;$A377,Питание!$C$14:$C$378,"&gt;0"),""))</f>
        <v/>
      </c>
      <c r="Q377" s="8" t="str">
        <f aca="false">IF(D377="","",IFERROR(AVERAGEIFS(Питание!$D$14:$D$378,Питание!$A$14:$A$378,"&gt;"&amp;$A377-7,Питание!$A$14:$A$378,"&lt;="&amp;$A377,Питание!$D$14:$D$378,"&gt;0"),""))</f>
        <v/>
      </c>
      <c r="R377" s="14" t="str">
        <f aca="false">IF(O377="","",IFERROR(O377-AVERAGEIFS(Питание!$B$14:$B$378,Питание!$A$14:$A$378,"&gt;"&amp;$A377-14,Питание!$A$14:$A$378,"&lt;="&amp;$A377-7,Питание!$B$14:$B$378,"&gt;0"),""))</f>
        <v/>
      </c>
      <c r="S377" s="15" t="str">
        <f aca="false">IF(R377="","",R377/O377)</f>
        <v/>
      </c>
      <c r="T377" s="11" t="str">
        <f aca="false">IF(O377="","",O377-StartWeight)</f>
        <v/>
      </c>
    </row>
    <row r="378" customFormat="false" ht="15" hidden="false" customHeight="true" outlineLevel="0" collapsed="false">
      <c r="A378" s="16" t="n">
        <f aca="false">A377+1</f>
        <v>46658</v>
      </c>
      <c r="B378" s="17"/>
      <c r="C378" s="18"/>
      <c r="D378" s="18"/>
      <c r="E378" s="18"/>
      <c r="F378" s="18"/>
      <c r="G378" s="18"/>
      <c r="H378" s="17"/>
      <c r="I378" s="19"/>
      <c r="J378" s="10" t="str">
        <f aca="false">IF(C378="","",C378-TargetKcal)</f>
        <v/>
      </c>
      <c r="K378" s="10" t="str">
        <f aca="false">IF(D378="","",D378-TargetProtein)</f>
        <v/>
      </c>
      <c r="L378" s="10" t="str">
        <f aca="false">IF(E378="","",E378-TargetFat)</f>
        <v/>
      </c>
      <c r="M378" s="10" t="str">
        <f aca="false">IF(F378="","",F378-TargetCarb)</f>
        <v/>
      </c>
      <c r="N378" s="10" t="str">
        <f aca="false">IF(COUNT(C378:F378)&lt;4,"",ROUND(4*D378+9*E378+4*F378-C378,0))</f>
        <v/>
      </c>
      <c r="O378" s="13" t="str">
        <f aca="false">IF(B378="","",IFERROR(AVERAGEIFS(Питание!$B$14:$B$378,Питание!$A$14:$A$378,"&gt;"&amp;$A378-7,Питание!$A$14:$A$378,"&lt;="&amp;$A378,Питание!$B$14:$B$378,"&gt;0"),""))</f>
        <v/>
      </c>
      <c r="P378" s="8" t="str">
        <f aca="false">IF(C378="","",IFERROR(AVERAGEIFS(Питание!$C$14:$C$378,Питание!$A$14:$A$378,"&gt;"&amp;$A378-7,Питание!$A$14:$A$378,"&lt;="&amp;$A378,Питание!$C$14:$C$378,"&gt;0"),""))</f>
        <v/>
      </c>
      <c r="Q378" s="8" t="str">
        <f aca="false">IF(D378="","",IFERROR(AVERAGEIFS(Питание!$D$14:$D$378,Питание!$A$14:$A$378,"&gt;"&amp;$A378-7,Питание!$A$14:$A$378,"&lt;="&amp;$A378,Питание!$D$14:$D$378,"&gt;0"),""))</f>
        <v/>
      </c>
      <c r="R378" s="14" t="str">
        <f aca="false">IF(O378="","",IFERROR(O378-AVERAGEIFS(Питание!$B$14:$B$378,Питание!$A$14:$A$378,"&gt;"&amp;$A378-14,Питание!$A$14:$A$378,"&lt;="&amp;$A378-7,Питание!$B$14:$B$378,"&gt;0"),""))</f>
        <v/>
      </c>
      <c r="S378" s="15" t="str">
        <f aca="false">IF(R378="","",R378/O378)</f>
        <v/>
      </c>
      <c r="T378" s="11" t="str">
        <f aca="false">IF(O378="","",O378-StartWeight)</f>
        <v/>
      </c>
    </row>
  </sheetData>
  <sheetProtection sheet="true" formatCells="false" formatColumns="false" formatRows="false" sort="false" autoFilter="false"/>
  <autoFilter ref="A13:T378"/>
  <mergeCells count="8">
    <mergeCell ref="A2:L2"/>
    <mergeCell ref="A5:B5"/>
    <mergeCell ref="A6:B6"/>
    <mergeCell ref="A7:B7"/>
    <mergeCell ref="A8:B8"/>
    <mergeCell ref="A9:B9"/>
    <mergeCell ref="A11:B11"/>
    <mergeCell ref="A12:B12"/>
  </mergeCells>
  <conditionalFormatting sqref="J14:J378">
    <cfRule type="expression" priority="2" aboveAverage="0" equalAverage="0" bottom="0" percent="0" rank="0" text="" dxfId="7">
      <formula>AND($J14&lt;&gt;"",ABS($J14)&lt;=AdhTol*TargetKcal)</formula>
    </cfRule>
    <cfRule type="expression" priority="3" aboveAverage="0" equalAverage="0" bottom="0" percent="0" rank="0" text="" dxfId="8">
      <formula>AND($J14&lt;&gt;"",ABS($J14)&lt;=2*AdhTol*TargetKcal)</formula>
    </cfRule>
    <cfRule type="expression" priority="4" aboveAverage="0" equalAverage="0" bottom="0" percent="0" rank="0" text="" dxfId="9">
      <formula>$J14&lt;&gt;""</formula>
    </cfRule>
  </conditionalFormatting>
  <conditionalFormatting sqref="K14:K378">
    <cfRule type="expression" priority="5" aboveAverage="0" equalAverage="0" bottom="0" percent="0" rank="0" text="" dxfId="7">
      <formula>AND($K14&lt;&gt;"",$K14&gt;=-0.1*TargetProtein)</formula>
    </cfRule>
    <cfRule type="expression" priority="6" aboveAverage="0" equalAverage="0" bottom="0" percent="0" rank="0" text="" dxfId="9">
      <formula>$K14&lt;&gt;""</formula>
    </cfRule>
  </conditionalFormatting>
  <conditionalFormatting sqref="S14:S378">
    <cfRule type="expression" priority="7" aboveAverage="0" equalAverage="0" bottom="0" percent="0" rank="0" text="" dxfId="9">
      <formula>AND($S14&lt;&gt;"",$S14&lt;FastRate)</formula>
    </cfRule>
    <cfRule type="expression" priority="8" aboveAverage="0" equalAverage="0" bottom="0" percent="0" rank="0" text="" dxfId="8">
      <formula>AND($S14&lt;&gt;"",$S14&gt;=SlowStop)</formula>
    </cfRule>
  </conditionalFormatting>
  <dataValidations count="3">
    <dataValidation allowBlank="true" error="Введи вес в кг (40–250)." errorStyle="stop" errorTitle="Вес" operator="between" showDropDown="false" showErrorMessage="true" showInputMessage="false" sqref="B14:B378" type="decimal">
      <formula1>40</formula1>
      <formula2>250</formula2>
    </dataValidation>
    <dataValidation allowBlank="true" errorStyle="stop" operator="between" showDropDown="false" showErrorMessage="false" showInputMessage="false" sqref="C14:G378" type="decimal">
      <formula1>0</formula1>
      <formula2>10000</formula2>
    </dataValidation>
    <dataValidation allowBlank="true" errorStyle="stop" operator="between" showDropDown="false" showErrorMessage="false" showInputMessage="false" sqref="H14:H378" type="decimal">
      <formula1>0</formula1>
      <formula2>15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44"/>
    <col collapsed="false" customWidth="true" hidden="false" outlineLevel="0" max="5" min="4" style="1" width="9"/>
    <col collapsed="false" customWidth="true" hidden="false" outlineLevel="0" max="6" min="6" style="1" width="11"/>
    <col collapsed="false" customWidth="true" hidden="false" outlineLevel="0" max="7" min="7" style="1" width="6"/>
    <col collapsed="false" customWidth="true" hidden="false" outlineLevel="0" max="8" min="8" style="1" width="13"/>
    <col collapsed="false" customWidth="true" hidden="false" outlineLevel="0" max="9" min="9" style="1" width="30"/>
    <col collapsed="false" customWidth="true" hidden="false" outlineLevel="0" max="11" min="10" style="1" width="13"/>
    <col collapsed="false" customWidth="true" hidden="false" outlineLevel="0" max="12" min="12" style="1" width="34"/>
    <col collapsed="false" customWidth="true" hidden="true" outlineLevel="0" max="13" min="13" style="1" width="5"/>
  </cols>
  <sheetData>
    <row r="1" customFormat="false" ht="17.25" hidden="false" customHeight="true" outlineLevel="0" collapsed="false">
      <c r="A1" s="2" t="s">
        <v>35</v>
      </c>
    </row>
    <row r="2" customFormat="false" ht="37.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" t="n">
        <v>46294</v>
      </c>
      <c r="B3" s="5" t="s">
        <v>37</v>
      </c>
      <c r="C3" s="5" t="s">
        <v>38</v>
      </c>
      <c r="D3" s="5" t="n">
        <v>1</v>
      </c>
      <c r="E3" s="5" t="n">
        <v>80</v>
      </c>
      <c r="F3" s="5" t="n">
        <v>12</v>
      </c>
      <c r="G3" s="5" t="n">
        <v>2</v>
      </c>
      <c r="H3" s="5" t="s">
        <v>39</v>
      </c>
      <c r="I3" s="5" t="s">
        <v>40</v>
      </c>
    </row>
    <row r="5" customFormat="false" ht="31.5" hidden="false" customHeight="true" outlineLevel="0" collapsed="false">
      <c r="A5" s="6" t="s">
        <v>22</v>
      </c>
      <c r="B5" s="6" t="s">
        <v>41</v>
      </c>
      <c r="C5" s="6" t="s">
        <v>42</v>
      </c>
      <c r="D5" s="6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24</v>
      </c>
      <c r="J5" s="6" t="s">
        <v>48</v>
      </c>
      <c r="K5" s="6" t="s">
        <v>49</v>
      </c>
      <c r="L5" s="6" t="s">
        <v>50</v>
      </c>
    </row>
    <row r="6" customFormat="false" ht="15" hidden="false" customHeight="true" outlineLevel="0" collapsed="false">
      <c r="A6" s="20" t="n">
        <v>46193</v>
      </c>
      <c r="B6" s="21" t="s">
        <v>51</v>
      </c>
      <c r="C6" s="19" t="s">
        <v>52</v>
      </c>
      <c r="D6" s="18" t="n">
        <v>1</v>
      </c>
      <c r="E6" s="17" t="n">
        <v>30</v>
      </c>
      <c r="F6" s="18" t="n">
        <v>15</v>
      </c>
      <c r="G6" s="18"/>
      <c r="H6" s="21" t="s">
        <v>39</v>
      </c>
      <c r="I6" s="19"/>
      <c r="J6" s="8" t="n">
        <f aca="false">IF(OR(E6="",F6=""),"",E6*F6)</f>
        <v>450</v>
      </c>
      <c r="K6" s="22" t="str">
        <f aca="false">IF($M6="","",INDEX('Программа тренировок'!$G$6:$G$25,$M6))</f>
        <v/>
      </c>
      <c r="L6" s="23" t="str">
        <f aca="false">IF(OR($M6="",$F6="",$G6=""),"",IF($H6="Разминка","Разминка",IF($F6&lt;INDEX('Программа тренировок'!$E$6:$E$25,$M6),"Ниже диапазона",IF(AND($F6&gt;=INDEX('Программа тренировок'!$F$6:$F$25,$M6),$G6&gt;=INDEX('Программа тренировок'!$L$6:$L$25,$M6)),"Верх диапазона: пора добавлять вес",IF($G6&lt;INDEX('Программа тренировок'!$L$6:$L$25,$M6),"RIR ниже цели","В диапазоне")))))</f>
        <v/>
      </c>
      <c r="M6" s="23" t="str">
        <f aca="false">IF($C6="","",IFERROR(MATCH($C6,'Программа тренировок'!$C$6:$C$25,0),""))</f>
        <v/>
      </c>
    </row>
    <row r="7" customFormat="false" ht="15" hidden="false" customHeight="true" outlineLevel="0" collapsed="false">
      <c r="A7" s="20" t="n">
        <v>46193</v>
      </c>
      <c r="B7" s="21" t="s">
        <v>51</v>
      </c>
      <c r="C7" s="19" t="s">
        <v>52</v>
      </c>
      <c r="D7" s="18" t="n">
        <v>2</v>
      </c>
      <c r="E7" s="17" t="n">
        <v>30</v>
      </c>
      <c r="F7" s="18" t="n">
        <v>15</v>
      </c>
      <c r="G7" s="18"/>
      <c r="H7" s="21" t="s">
        <v>39</v>
      </c>
      <c r="I7" s="19"/>
      <c r="J7" s="8" t="n">
        <f aca="false">IF(OR(E7="",F7=""),"",E7*F7)</f>
        <v>450</v>
      </c>
      <c r="K7" s="22" t="str">
        <f aca="false">IF($M7="","",INDEX('Программа тренировок'!$G$6:$G$25,$M7))</f>
        <v/>
      </c>
      <c r="L7" s="23" t="str">
        <f aca="false">IF(OR($M7="",$F7="",$G7=""),"",IF($H7="Разминка","Разминка",IF($F7&lt;INDEX('Программа тренировок'!$E$6:$E$25,$M7),"Ниже диапазона",IF(AND($F7&gt;=INDEX('Программа тренировок'!$F$6:$F$25,$M7),$G7&gt;=INDEX('Программа тренировок'!$L$6:$L$25,$M7)),"Верх диапазона: пора добавлять вес",IF($G7&lt;INDEX('Программа тренировок'!$L$6:$L$25,$M7),"RIR ниже цели","В диапазоне")))))</f>
        <v/>
      </c>
      <c r="M7" s="23" t="str">
        <f aca="false">IF($C7="","",IFERROR(MATCH($C7,'Программа тренировок'!$C$6:$C$25,0),""))</f>
        <v/>
      </c>
    </row>
    <row r="8" customFormat="false" ht="15" hidden="false" customHeight="true" outlineLevel="0" collapsed="false">
      <c r="A8" s="20" t="n">
        <v>46193</v>
      </c>
      <c r="B8" s="21" t="s">
        <v>51</v>
      </c>
      <c r="C8" s="19" t="s">
        <v>52</v>
      </c>
      <c r="D8" s="18" t="n">
        <v>3</v>
      </c>
      <c r="E8" s="17" t="n">
        <v>30</v>
      </c>
      <c r="F8" s="18" t="n">
        <v>15</v>
      </c>
      <c r="G8" s="18"/>
      <c r="H8" s="21" t="s">
        <v>39</v>
      </c>
      <c r="I8" s="19"/>
      <c r="J8" s="8" t="n">
        <f aca="false">IF(OR(E8="",F8=""),"",E8*F8)</f>
        <v>450</v>
      </c>
      <c r="K8" s="22" t="str">
        <f aca="false">IF($M8="","",INDEX('Программа тренировок'!$G$6:$G$25,$M8))</f>
        <v/>
      </c>
      <c r="L8" s="23" t="str">
        <f aca="false">IF(OR($M8="",$F8="",$G8=""),"",IF($H8="Разминка","Разминка",IF($F8&lt;INDEX('Программа тренировок'!$E$6:$E$25,$M8),"Ниже диапазона",IF(AND($F8&gt;=INDEX('Программа тренировок'!$F$6:$F$25,$M8),$G8&gt;=INDEX('Программа тренировок'!$L$6:$L$25,$M8)),"Верх диапазона: пора добавлять вес",IF($G8&lt;INDEX('Программа тренировок'!$L$6:$L$25,$M8),"RIR ниже цели","В диапазоне")))))</f>
        <v/>
      </c>
      <c r="M8" s="23" t="str">
        <f aca="false">IF($C8="","",IFERROR(MATCH($C8,'Программа тренировок'!$C$6:$C$25,0),""))</f>
        <v/>
      </c>
    </row>
    <row r="9" customFormat="false" ht="15" hidden="false" customHeight="true" outlineLevel="0" collapsed="false">
      <c r="A9" s="20" t="n">
        <v>46193</v>
      </c>
      <c r="B9" s="21" t="s">
        <v>51</v>
      </c>
      <c r="C9" s="19" t="s">
        <v>52</v>
      </c>
      <c r="D9" s="18" t="n">
        <v>4</v>
      </c>
      <c r="E9" s="17" t="n">
        <v>30</v>
      </c>
      <c r="F9" s="18" t="n">
        <v>15</v>
      </c>
      <c r="G9" s="18"/>
      <c r="H9" s="21" t="s">
        <v>39</v>
      </c>
      <c r="I9" s="19"/>
      <c r="J9" s="8" t="n">
        <f aca="false">IF(OR(E9="",F9=""),"",E9*F9)</f>
        <v>450</v>
      </c>
      <c r="K9" s="22" t="str">
        <f aca="false">IF($M9="","",INDEX('Программа тренировок'!$G$6:$G$25,$M9))</f>
        <v/>
      </c>
      <c r="L9" s="23" t="str">
        <f aca="false">IF(OR($M9="",$F9="",$G9=""),"",IF($H9="Разминка","Разминка",IF($F9&lt;INDEX('Программа тренировок'!$E$6:$E$25,$M9),"Ниже диапазона",IF(AND($F9&gt;=INDEX('Программа тренировок'!$F$6:$F$25,$M9),$G9&gt;=INDEX('Программа тренировок'!$L$6:$L$25,$M9)),"Верх диапазона: пора добавлять вес",IF($G9&lt;INDEX('Программа тренировок'!$L$6:$L$25,$M9),"RIR ниже цели","В диапазоне")))))</f>
        <v/>
      </c>
      <c r="M9" s="23" t="str">
        <f aca="false">IF($C9="","",IFERROR(MATCH($C9,'Программа тренировок'!$C$6:$C$25,0),""))</f>
        <v/>
      </c>
    </row>
    <row r="10" customFormat="false" ht="15" hidden="false" customHeight="true" outlineLevel="0" collapsed="false">
      <c r="A10" s="20" t="n">
        <v>46193</v>
      </c>
      <c r="B10" s="21" t="s">
        <v>51</v>
      </c>
      <c r="C10" s="19" t="s">
        <v>38</v>
      </c>
      <c r="D10" s="18" t="n">
        <v>1</v>
      </c>
      <c r="E10" s="17" t="n">
        <v>70</v>
      </c>
      <c r="F10" s="18" t="n">
        <v>15</v>
      </c>
      <c r="G10" s="18"/>
      <c r="H10" s="21" t="s">
        <v>39</v>
      </c>
      <c r="I10" s="19"/>
      <c r="J10" s="8" t="n">
        <f aca="false">IF(OR(E10="",F10=""),"",E10*F10)</f>
        <v>1050</v>
      </c>
      <c r="K10" s="22" t="str">
        <f aca="false">IF($M10="","",INDEX('Программа тренировок'!$G$6:$G$25,$M10))</f>
        <v>10–12</v>
      </c>
      <c r="L10" s="23" t="str">
        <f aca="false">IF(OR($M10="",$F10="",$G10=""),"",IF($H10="Разминка","Разминка",IF($F10&lt;INDEX('Программа тренировок'!$E$6:$E$25,$M10),"Ниже диапазона",IF(AND($F10&gt;=INDEX('Программа тренировок'!$F$6:$F$25,$M10),$G10&gt;=INDEX('Программа тренировок'!$L$6:$L$25,$M10)),"Верх диапазона: пора добавлять вес",IF($G10&lt;INDEX('Программа тренировок'!$L$6:$L$25,$M10),"RIR ниже цели","В диапазоне")))))</f>
        <v/>
      </c>
      <c r="M10" s="23" t="n">
        <f aca="false">IF($C10="","",IFERROR(MATCH($C10,'Программа тренировок'!$C$6:$C$25,0),""))</f>
        <v>1</v>
      </c>
    </row>
    <row r="11" customFormat="false" ht="15" hidden="false" customHeight="true" outlineLevel="0" collapsed="false">
      <c r="A11" s="20" t="n">
        <v>46193</v>
      </c>
      <c r="B11" s="21" t="s">
        <v>51</v>
      </c>
      <c r="C11" s="19" t="s">
        <v>38</v>
      </c>
      <c r="D11" s="18" t="n">
        <v>2</v>
      </c>
      <c r="E11" s="17" t="n">
        <v>70</v>
      </c>
      <c r="F11" s="18" t="n">
        <v>15</v>
      </c>
      <c r="G11" s="18"/>
      <c r="H11" s="21" t="s">
        <v>39</v>
      </c>
      <c r="I11" s="19"/>
      <c r="J11" s="8" t="n">
        <f aca="false">IF(OR(E11="",F11=""),"",E11*F11)</f>
        <v>1050</v>
      </c>
      <c r="K11" s="22" t="str">
        <f aca="false">IF($M11="","",INDEX('Программа тренировок'!$G$6:$G$25,$M11))</f>
        <v>10–12</v>
      </c>
      <c r="L11" s="23" t="str">
        <f aca="false">IF(OR($M11="",$F11="",$G11=""),"",IF($H11="Разминка","Разминка",IF($F11&lt;INDEX('Программа тренировок'!$E$6:$E$25,$M11),"Ниже диапазона",IF(AND($F11&gt;=INDEX('Программа тренировок'!$F$6:$F$25,$M11),$G11&gt;=INDEX('Программа тренировок'!$L$6:$L$25,$M11)),"Верх диапазона: пора добавлять вес",IF($G11&lt;INDEX('Программа тренировок'!$L$6:$L$25,$M11),"RIR ниже цели","В диапазоне")))))</f>
        <v/>
      </c>
      <c r="M11" s="23" t="n">
        <f aca="false">IF($C11="","",IFERROR(MATCH($C11,'Программа тренировок'!$C$6:$C$25,0),""))</f>
        <v>1</v>
      </c>
    </row>
    <row r="12" customFormat="false" ht="15" hidden="false" customHeight="true" outlineLevel="0" collapsed="false">
      <c r="A12" s="20" t="n">
        <v>46193</v>
      </c>
      <c r="B12" s="21" t="s">
        <v>51</v>
      </c>
      <c r="C12" s="19" t="s">
        <v>38</v>
      </c>
      <c r="D12" s="18" t="n">
        <v>3</v>
      </c>
      <c r="E12" s="17" t="n">
        <v>70</v>
      </c>
      <c r="F12" s="18" t="n">
        <v>15</v>
      </c>
      <c r="G12" s="18"/>
      <c r="H12" s="21" t="s">
        <v>39</v>
      </c>
      <c r="I12" s="19"/>
      <c r="J12" s="8" t="n">
        <f aca="false">IF(OR(E12="",F12=""),"",E12*F12)</f>
        <v>1050</v>
      </c>
      <c r="K12" s="22" t="str">
        <f aca="false">IF($M12="","",INDEX('Программа тренировок'!$G$6:$G$25,$M12))</f>
        <v>10–12</v>
      </c>
      <c r="L12" s="23" t="str">
        <f aca="false">IF(OR($M12="",$F12="",$G12=""),"",IF($H12="Разминка","Разминка",IF($F12&lt;INDEX('Программа тренировок'!$E$6:$E$25,$M12),"Ниже диапазона",IF(AND($F12&gt;=INDEX('Программа тренировок'!$F$6:$F$25,$M12),$G12&gt;=INDEX('Программа тренировок'!$L$6:$L$25,$M12)),"Верх диапазона: пора добавлять вес",IF($G12&lt;INDEX('Программа тренировок'!$L$6:$L$25,$M12),"RIR ниже цели","В диапазоне")))))</f>
        <v/>
      </c>
      <c r="M12" s="23" t="n">
        <f aca="false">IF($C12="","",IFERROR(MATCH($C12,'Программа тренировок'!$C$6:$C$25,0),""))</f>
        <v>1</v>
      </c>
    </row>
    <row r="13" customFormat="false" ht="15" hidden="false" customHeight="true" outlineLevel="0" collapsed="false">
      <c r="A13" s="20" t="n">
        <v>46193</v>
      </c>
      <c r="B13" s="21" t="s">
        <v>51</v>
      </c>
      <c r="C13" s="19" t="s">
        <v>38</v>
      </c>
      <c r="D13" s="18" t="n">
        <v>4</v>
      </c>
      <c r="E13" s="17" t="n">
        <v>70</v>
      </c>
      <c r="F13" s="18" t="n">
        <v>15</v>
      </c>
      <c r="G13" s="18"/>
      <c r="H13" s="21" t="s">
        <v>39</v>
      </c>
      <c r="I13" s="19"/>
      <c r="J13" s="8" t="n">
        <f aca="false">IF(OR(E13="",F13=""),"",E13*F13)</f>
        <v>1050</v>
      </c>
      <c r="K13" s="22" t="str">
        <f aca="false">IF($M13="","",INDEX('Программа тренировок'!$G$6:$G$25,$M13))</f>
        <v>10–12</v>
      </c>
      <c r="L13" s="23" t="str">
        <f aca="false">IF(OR($M13="",$F13="",$G13=""),"",IF($H13="Разминка","Разминка",IF($F13&lt;INDEX('Программа тренировок'!$E$6:$E$25,$M13),"Ниже диапазона",IF(AND($F13&gt;=INDEX('Программа тренировок'!$F$6:$F$25,$M13),$G13&gt;=INDEX('Программа тренировок'!$L$6:$L$25,$M13)),"Верх диапазона: пора добавлять вес",IF($G13&lt;INDEX('Программа тренировок'!$L$6:$L$25,$M13),"RIR ниже цели","В диапазоне")))))</f>
        <v/>
      </c>
      <c r="M13" s="23" t="n">
        <f aca="false">IF($C13="","",IFERROR(MATCH($C13,'Программа тренировок'!$C$6:$C$25,0),""))</f>
        <v>1</v>
      </c>
    </row>
    <row r="14" customFormat="false" ht="15" hidden="false" customHeight="true" outlineLevel="0" collapsed="false">
      <c r="A14" s="20" t="n">
        <v>46193</v>
      </c>
      <c r="B14" s="21" t="s">
        <v>51</v>
      </c>
      <c r="C14" s="19" t="s">
        <v>53</v>
      </c>
      <c r="D14" s="18" t="n">
        <v>1</v>
      </c>
      <c r="E14" s="17" t="n">
        <v>50</v>
      </c>
      <c r="F14" s="18" t="n">
        <v>15</v>
      </c>
      <c r="G14" s="18"/>
      <c r="H14" s="21" t="s">
        <v>39</v>
      </c>
      <c r="I14" s="19"/>
      <c r="J14" s="8" t="n">
        <f aca="false">IF(OR(E14="",F14=""),"",E14*F14)</f>
        <v>750</v>
      </c>
      <c r="K14" s="22" t="str">
        <f aca="false">IF($M14="","",INDEX('Программа тренировок'!$G$6:$G$25,$M14))</f>
        <v/>
      </c>
      <c r="L14" s="23" t="str">
        <f aca="false">IF(OR($M14="",$F14="",$G14=""),"",IF($H14="Разминка","Разминка",IF($F14&lt;INDEX('Программа тренировок'!$E$6:$E$25,$M14),"Ниже диапазона",IF(AND($F14&gt;=INDEX('Программа тренировок'!$F$6:$F$25,$M14),$G14&gt;=INDEX('Программа тренировок'!$L$6:$L$25,$M14)),"Верх диапазона: пора добавлять вес",IF($G14&lt;INDEX('Программа тренировок'!$L$6:$L$25,$M14),"RIR ниже цели","В диапазоне")))))</f>
        <v/>
      </c>
      <c r="M14" s="23" t="str">
        <f aca="false">IF($C14="","",IFERROR(MATCH($C14,'Программа тренировок'!$C$6:$C$25,0),""))</f>
        <v/>
      </c>
    </row>
    <row r="15" customFormat="false" ht="15" hidden="false" customHeight="true" outlineLevel="0" collapsed="false">
      <c r="A15" s="20" t="n">
        <v>46193</v>
      </c>
      <c r="B15" s="21" t="s">
        <v>51</v>
      </c>
      <c r="C15" s="19" t="s">
        <v>53</v>
      </c>
      <c r="D15" s="18" t="n">
        <v>2</v>
      </c>
      <c r="E15" s="17" t="n">
        <v>50</v>
      </c>
      <c r="F15" s="18" t="n">
        <v>15</v>
      </c>
      <c r="G15" s="18"/>
      <c r="H15" s="21" t="s">
        <v>39</v>
      </c>
      <c r="I15" s="19"/>
      <c r="J15" s="8" t="n">
        <f aca="false">IF(OR(E15="",F15=""),"",E15*F15)</f>
        <v>750</v>
      </c>
      <c r="K15" s="22" t="str">
        <f aca="false">IF($M15="","",INDEX('Программа тренировок'!$G$6:$G$25,$M15))</f>
        <v/>
      </c>
      <c r="L15" s="23" t="str">
        <f aca="false">IF(OR($M15="",$F15="",$G15=""),"",IF($H15="Разминка","Разминка",IF($F15&lt;INDEX('Программа тренировок'!$E$6:$E$25,$M15),"Ниже диапазона",IF(AND($F15&gt;=INDEX('Программа тренировок'!$F$6:$F$25,$M15),$G15&gt;=INDEX('Программа тренировок'!$L$6:$L$25,$M15)),"Верх диапазона: пора добавлять вес",IF($G15&lt;INDEX('Программа тренировок'!$L$6:$L$25,$M15),"RIR ниже цели","В диапазоне")))))</f>
        <v/>
      </c>
      <c r="M15" s="23" t="str">
        <f aca="false">IF($C15="","",IFERROR(MATCH($C15,'Программа тренировок'!$C$6:$C$25,0),""))</f>
        <v/>
      </c>
    </row>
    <row r="16" customFormat="false" ht="15" hidden="false" customHeight="true" outlineLevel="0" collapsed="false">
      <c r="A16" s="20" t="n">
        <v>46193</v>
      </c>
      <c r="B16" s="21" t="s">
        <v>51</v>
      </c>
      <c r="C16" s="19" t="s">
        <v>53</v>
      </c>
      <c r="D16" s="18" t="n">
        <v>3</v>
      </c>
      <c r="E16" s="17" t="n">
        <v>55</v>
      </c>
      <c r="F16" s="18" t="n">
        <v>15</v>
      </c>
      <c r="G16" s="18"/>
      <c r="H16" s="21" t="s">
        <v>39</v>
      </c>
      <c r="I16" s="19"/>
      <c r="J16" s="8" t="n">
        <f aca="false">IF(OR(E16="",F16=""),"",E16*F16)</f>
        <v>825</v>
      </c>
      <c r="K16" s="22" t="str">
        <f aca="false">IF($M16="","",INDEX('Программа тренировок'!$G$6:$G$25,$M16))</f>
        <v/>
      </c>
      <c r="L16" s="23" t="str">
        <f aca="false">IF(OR($M16="",$F16="",$G16=""),"",IF($H16="Разминка","Разминка",IF($F16&lt;INDEX('Программа тренировок'!$E$6:$E$25,$M16),"Ниже диапазона",IF(AND($F16&gt;=INDEX('Программа тренировок'!$F$6:$F$25,$M16),$G16&gt;=INDEX('Программа тренировок'!$L$6:$L$25,$M16)),"Верх диапазона: пора добавлять вес",IF($G16&lt;INDEX('Программа тренировок'!$L$6:$L$25,$M16),"RIR ниже цели","В диапазоне")))))</f>
        <v/>
      </c>
      <c r="M16" s="23" t="str">
        <f aca="false">IF($C16="","",IFERROR(MATCH($C16,'Программа тренировок'!$C$6:$C$25,0),""))</f>
        <v/>
      </c>
    </row>
    <row r="17" customFormat="false" ht="15" hidden="false" customHeight="true" outlineLevel="0" collapsed="false">
      <c r="A17" s="20" t="n">
        <v>46193</v>
      </c>
      <c r="B17" s="21" t="s">
        <v>51</v>
      </c>
      <c r="C17" s="19" t="s">
        <v>53</v>
      </c>
      <c r="D17" s="18" t="n">
        <v>4</v>
      </c>
      <c r="E17" s="17" t="n">
        <v>55</v>
      </c>
      <c r="F17" s="18" t="n">
        <v>15</v>
      </c>
      <c r="G17" s="18"/>
      <c r="H17" s="21" t="s">
        <v>39</v>
      </c>
      <c r="I17" s="19"/>
      <c r="J17" s="8" t="n">
        <f aca="false">IF(OR(E17="",F17=""),"",E17*F17)</f>
        <v>825</v>
      </c>
      <c r="K17" s="22" t="str">
        <f aca="false">IF($M17="","",INDEX('Программа тренировок'!$G$6:$G$25,$M17))</f>
        <v/>
      </c>
      <c r="L17" s="23" t="str">
        <f aca="false">IF(OR($M17="",$F17="",$G17=""),"",IF($H17="Разминка","Разминка",IF($F17&lt;INDEX('Программа тренировок'!$E$6:$E$25,$M17),"Ниже диапазона",IF(AND($F17&gt;=INDEX('Программа тренировок'!$F$6:$F$25,$M17),$G17&gt;=INDEX('Программа тренировок'!$L$6:$L$25,$M17)),"Верх диапазона: пора добавлять вес",IF($G17&lt;INDEX('Программа тренировок'!$L$6:$L$25,$M17),"RIR ниже цели","В диапазоне")))))</f>
        <v/>
      </c>
      <c r="M17" s="23" t="str">
        <f aca="false">IF($C17="","",IFERROR(MATCH($C17,'Программа тренировок'!$C$6:$C$25,0),""))</f>
        <v/>
      </c>
    </row>
    <row r="18" customFormat="false" ht="15" hidden="false" customHeight="true" outlineLevel="0" collapsed="false">
      <c r="A18" s="20" t="n">
        <v>46193</v>
      </c>
      <c r="B18" s="21" t="s">
        <v>51</v>
      </c>
      <c r="C18" s="19" t="s">
        <v>54</v>
      </c>
      <c r="D18" s="18" t="n">
        <v>1</v>
      </c>
      <c r="E18" s="17" t="n">
        <v>30</v>
      </c>
      <c r="F18" s="18" t="n">
        <v>15</v>
      </c>
      <c r="G18" s="18"/>
      <c r="H18" s="21" t="s">
        <v>39</v>
      </c>
      <c r="I18" s="19"/>
      <c r="J18" s="8" t="n">
        <f aca="false">IF(OR(E18="",F18=""),"",E18*F18)</f>
        <v>450</v>
      </c>
      <c r="K18" s="22" t="str">
        <f aca="false">IF($M18="","",INDEX('Программа тренировок'!$G$6:$G$25,$M18))</f>
        <v/>
      </c>
      <c r="L18" s="23" t="str">
        <f aca="false">IF(OR($M18="",$F18="",$G18=""),"",IF($H18="Разминка","Разминка",IF($F18&lt;INDEX('Программа тренировок'!$E$6:$E$25,$M18),"Ниже диапазона",IF(AND($F18&gt;=INDEX('Программа тренировок'!$F$6:$F$25,$M18),$G18&gt;=INDEX('Программа тренировок'!$L$6:$L$25,$M18)),"Верх диапазона: пора добавлять вес",IF($G18&lt;INDEX('Программа тренировок'!$L$6:$L$25,$M18),"RIR ниже цели","В диапазоне")))))</f>
        <v/>
      </c>
      <c r="M18" s="23" t="str">
        <f aca="false">IF($C18="","",IFERROR(MATCH($C18,'Программа тренировок'!$C$6:$C$25,0),""))</f>
        <v/>
      </c>
    </row>
    <row r="19" customFormat="false" ht="15" hidden="false" customHeight="true" outlineLevel="0" collapsed="false">
      <c r="A19" s="20" t="n">
        <v>46193</v>
      </c>
      <c r="B19" s="21" t="s">
        <v>51</v>
      </c>
      <c r="C19" s="19" t="s">
        <v>54</v>
      </c>
      <c r="D19" s="18" t="n">
        <v>2</v>
      </c>
      <c r="E19" s="17" t="n">
        <v>25</v>
      </c>
      <c r="F19" s="18" t="n">
        <v>15</v>
      </c>
      <c r="G19" s="18"/>
      <c r="H19" s="21" t="s">
        <v>39</v>
      </c>
      <c r="I19" s="19"/>
      <c r="J19" s="8" t="n">
        <f aca="false">IF(OR(E19="",F19=""),"",E19*F19)</f>
        <v>375</v>
      </c>
      <c r="K19" s="22" t="str">
        <f aca="false">IF($M19="","",INDEX('Программа тренировок'!$G$6:$G$25,$M19))</f>
        <v/>
      </c>
      <c r="L19" s="23" t="str">
        <f aca="false">IF(OR($M19="",$F19="",$G19=""),"",IF($H19="Разминка","Разминка",IF($F19&lt;INDEX('Программа тренировок'!$E$6:$E$25,$M19),"Ниже диапазона",IF(AND($F19&gt;=INDEX('Программа тренировок'!$F$6:$F$25,$M19),$G19&gt;=INDEX('Программа тренировок'!$L$6:$L$25,$M19)),"Верх диапазона: пора добавлять вес",IF($G19&lt;INDEX('Программа тренировок'!$L$6:$L$25,$M19),"RIR ниже цели","В диапазоне")))))</f>
        <v/>
      </c>
      <c r="M19" s="23" t="str">
        <f aca="false">IF($C19="","",IFERROR(MATCH($C19,'Программа тренировок'!$C$6:$C$25,0),""))</f>
        <v/>
      </c>
    </row>
    <row r="20" customFormat="false" ht="15" hidden="false" customHeight="true" outlineLevel="0" collapsed="false">
      <c r="A20" s="20" t="n">
        <v>46193</v>
      </c>
      <c r="B20" s="21" t="s">
        <v>51</v>
      </c>
      <c r="C20" s="19" t="s">
        <v>54</v>
      </c>
      <c r="D20" s="18" t="n">
        <v>3</v>
      </c>
      <c r="E20" s="17" t="n">
        <v>25</v>
      </c>
      <c r="F20" s="18" t="n">
        <v>15</v>
      </c>
      <c r="G20" s="18"/>
      <c r="H20" s="21" t="s">
        <v>39</v>
      </c>
      <c r="I20" s="19"/>
      <c r="J20" s="8" t="n">
        <f aca="false">IF(OR(E20="",F20=""),"",E20*F20)</f>
        <v>375</v>
      </c>
      <c r="K20" s="22" t="str">
        <f aca="false">IF($M20="","",INDEX('Программа тренировок'!$G$6:$G$25,$M20))</f>
        <v/>
      </c>
      <c r="L20" s="23" t="str">
        <f aca="false">IF(OR($M20="",$F20="",$G20=""),"",IF($H20="Разминка","Разминка",IF($F20&lt;INDEX('Программа тренировок'!$E$6:$E$25,$M20),"Ниже диапазона",IF(AND($F20&gt;=INDEX('Программа тренировок'!$F$6:$F$25,$M20),$G20&gt;=INDEX('Программа тренировок'!$L$6:$L$25,$M20)),"Верх диапазона: пора добавлять вес",IF($G20&lt;INDEX('Программа тренировок'!$L$6:$L$25,$M20),"RIR ниже цели","В диапазоне")))))</f>
        <v/>
      </c>
      <c r="M20" s="23" t="str">
        <f aca="false">IF($C20="","",IFERROR(MATCH($C20,'Программа тренировок'!$C$6:$C$25,0),""))</f>
        <v/>
      </c>
    </row>
    <row r="21" customFormat="false" ht="15" hidden="false" customHeight="true" outlineLevel="0" collapsed="false">
      <c r="A21" s="20" t="n">
        <v>46193</v>
      </c>
      <c r="B21" s="21" t="s">
        <v>51</v>
      </c>
      <c r="C21" s="19" t="s">
        <v>54</v>
      </c>
      <c r="D21" s="18" t="n">
        <v>4</v>
      </c>
      <c r="E21" s="17" t="n">
        <v>20</v>
      </c>
      <c r="F21" s="18" t="n">
        <v>15</v>
      </c>
      <c r="G21" s="18"/>
      <c r="H21" s="21" t="s">
        <v>39</v>
      </c>
      <c r="I21" s="19"/>
      <c r="J21" s="8" t="n">
        <f aca="false">IF(OR(E21="",F21=""),"",E21*F21)</f>
        <v>300</v>
      </c>
      <c r="K21" s="22" t="str">
        <f aca="false">IF($M21="","",INDEX('Программа тренировок'!$G$6:$G$25,$M21))</f>
        <v/>
      </c>
      <c r="L21" s="23" t="str">
        <f aca="false">IF(OR($M21="",$F21="",$G21=""),"",IF($H21="Разминка","Разминка",IF($F21&lt;INDEX('Программа тренировок'!$E$6:$E$25,$M21),"Ниже диапазона",IF(AND($F21&gt;=INDEX('Программа тренировок'!$F$6:$F$25,$M21),$G21&gt;=INDEX('Программа тренировок'!$L$6:$L$25,$M21)),"Верх диапазона: пора добавлять вес",IF($G21&lt;INDEX('Программа тренировок'!$L$6:$L$25,$M21),"RIR ниже цели","В диапазоне")))))</f>
        <v/>
      </c>
      <c r="M21" s="23" t="str">
        <f aca="false">IF($C21="","",IFERROR(MATCH($C21,'Программа тренировок'!$C$6:$C$25,0),""))</f>
        <v/>
      </c>
    </row>
    <row r="22" customFormat="false" ht="15" hidden="false" customHeight="true" outlineLevel="0" collapsed="false">
      <c r="A22" s="20" t="n">
        <v>46200</v>
      </c>
      <c r="B22" s="21" t="s">
        <v>55</v>
      </c>
      <c r="C22" s="19" t="s">
        <v>56</v>
      </c>
      <c r="D22" s="18" t="n">
        <v>1</v>
      </c>
      <c r="E22" s="17" t="n">
        <v>20</v>
      </c>
      <c r="F22" s="18" t="n">
        <v>15</v>
      </c>
      <c r="G22" s="18"/>
      <c r="H22" s="21" t="s">
        <v>57</v>
      </c>
      <c r="I22" s="19"/>
      <c r="J22" s="8" t="n">
        <f aca="false">IF(OR(E22="",F22=""),"",E22*F22)</f>
        <v>300</v>
      </c>
      <c r="K22" s="22" t="str">
        <f aca="false">IF($M22="","",INDEX('Программа тренировок'!$G$6:$G$25,$M22))</f>
        <v/>
      </c>
      <c r="L22" s="23" t="str">
        <f aca="false">IF(OR($M22="",$F22="",$G22=""),"",IF($H22="Разминка","Разминка",IF($F22&lt;INDEX('Программа тренировок'!$E$6:$E$25,$M22),"Ниже диапазона",IF(AND($F22&gt;=INDEX('Программа тренировок'!$F$6:$F$25,$M22),$G22&gt;=INDEX('Программа тренировок'!$L$6:$L$25,$M22)),"Верх диапазона: пора добавлять вес",IF($G22&lt;INDEX('Программа тренировок'!$L$6:$L$25,$M22),"RIR ниже цели","В диапазоне")))))</f>
        <v/>
      </c>
      <c r="M22" s="23" t="str">
        <f aca="false">IF($C22="","",IFERROR(MATCH($C22,'Программа тренировок'!$C$6:$C$25,0),""))</f>
        <v/>
      </c>
    </row>
    <row r="23" customFormat="false" ht="15" hidden="false" customHeight="true" outlineLevel="0" collapsed="false">
      <c r="A23" s="20" t="n">
        <v>46200</v>
      </c>
      <c r="B23" s="21" t="s">
        <v>55</v>
      </c>
      <c r="C23" s="19" t="s">
        <v>56</v>
      </c>
      <c r="D23" s="18" t="n">
        <v>2</v>
      </c>
      <c r="E23" s="17" t="n">
        <v>40</v>
      </c>
      <c r="F23" s="18" t="n">
        <v>9</v>
      </c>
      <c r="G23" s="18"/>
      <c r="H23" s="21" t="s">
        <v>39</v>
      </c>
      <c r="I23" s="19"/>
      <c r="J23" s="8" t="n">
        <f aca="false">IF(OR(E23="",F23=""),"",E23*F23)</f>
        <v>360</v>
      </c>
      <c r="K23" s="22" t="str">
        <f aca="false">IF($M23="","",INDEX('Программа тренировок'!$G$6:$G$25,$M23))</f>
        <v/>
      </c>
      <c r="L23" s="23" t="str">
        <f aca="false">IF(OR($M23="",$F23="",$G23=""),"",IF($H23="Разминка","Разминка",IF($F23&lt;INDEX('Программа тренировок'!$E$6:$E$25,$M23),"Ниже диапазона",IF(AND($F23&gt;=INDEX('Программа тренировок'!$F$6:$F$25,$M23),$G23&gt;=INDEX('Программа тренировок'!$L$6:$L$25,$M23)),"Верх диапазона: пора добавлять вес",IF($G23&lt;INDEX('Программа тренировок'!$L$6:$L$25,$M23),"RIR ниже цели","В диапазоне")))))</f>
        <v/>
      </c>
      <c r="M23" s="23" t="str">
        <f aca="false">IF($C23="","",IFERROR(MATCH($C23,'Программа тренировок'!$C$6:$C$25,0),""))</f>
        <v/>
      </c>
    </row>
    <row r="24" customFormat="false" ht="15" hidden="false" customHeight="true" outlineLevel="0" collapsed="false">
      <c r="A24" s="20" t="n">
        <v>46200</v>
      </c>
      <c r="B24" s="21" t="s">
        <v>55</v>
      </c>
      <c r="C24" s="19" t="s">
        <v>56</v>
      </c>
      <c r="D24" s="18" t="n">
        <v>3</v>
      </c>
      <c r="E24" s="17" t="n">
        <v>40</v>
      </c>
      <c r="F24" s="18" t="n">
        <v>5</v>
      </c>
      <c r="G24" s="18"/>
      <c r="H24" s="21" t="s">
        <v>39</v>
      </c>
      <c r="I24" s="19"/>
      <c r="J24" s="8" t="n">
        <f aca="false">IF(OR(E24="",F24=""),"",E24*F24)</f>
        <v>200</v>
      </c>
      <c r="K24" s="22" t="str">
        <f aca="false">IF($M24="","",INDEX('Программа тренировок'!$G$6:$G$25,$M24))</f>
        <v/>
      </c>
      <c r="L24" s="23" t="str">
        <f aca="false">IF(OR($M24="",$F24="",$G24=""),"",IF($H24="Разминка","Разминка",IF($F24&lt;INDEX('Программа тренировок'!$E$6:$E$25,$M24),"Ниже диапазона",IF(AND($F24&gt;=INDEX('Программа тренировок'!$F$6:$F$25,$M24),$G24&gt;=INDEX('Программа тренировок'!$L$6:$L$25,$M24)),"Верх диапазона: пора добавлять вес",IF($G24&lt;INDEX('Программа тренировок'!$L$6:$L$25,$M24),"RIR ниже цели","В диапазоне")))))</f>
        <v/>
      </c>
      <c r="M24" s="23" t="str">
        <f aca="false">IF($C24="","",IFERROR(MATCH($C24,'Программа тренировок'!$C$6:$C$25,0),""))</f>
        <v/>
      </c>
    </row>
    <row r="25" customFormat="false" ht="15" hidden="false" customHeight="true" outlineLevel="0" collapsed="false">
      <c r="A25" s="20" t="n">
        <v>46200</v>
      </c>
      <c r="B25" s="21" t="s">
        <v>55</v>
      </c>
      <c r="C25" s="19" t="s">
        <v>56</v>
      </c>
      <c r="D25" s="18" t="n">
        <v>4</v>
      </c>
      <c r="E25" s="17" t="n">
        <v>40</v>
      </c>
      <c r="F25" s="18" t="n">
        <v>1.5</v>
      </c>
      <c r="G25" s="18"/>
      <c r="H25" s="21" t="s">
        <v>39</v>
      </c>
      <c r="I25" s="19"/>
      <c r="J25" s="8" t="n">
        <f aca="false">IF(OR(E25="",F25=""),"",E25*F25)</f>
        <v>60</v>
      </c>
      <c r="K25" s="22" t="str">
        <f aca="false">IF($M25="","",INDEX('Программа тренировок'!$G$6:$G$25,$M25))</f>
        <v/>
      </c>
      <c r="L25" s="23" t="str">
        <f aca="false">IF(OR($M25="",$F25="",$G25=""),"",IF($H25="Разминка","Разминка",IF($F25&lt;INDEX('Программа тренировок'!$E$6:$E$25,$M25),"Ниже диапазона",IF(AND($F25&gt;=INDEX('Программа тренировок'!$F$6:$F$25,$M25),$G25&gt;=INDEX('Программа тренировок'!$L$6:$L$25,$M25)),"Верх диапазона: пора добавлять вес",IF($G25&lt;INDEX('Программа тренировок'!$L$6:$L$25,$M25),"RIR ниже цели","В диапазоне")))))</f>
        <v/>
      </c>
      <c r="M25" s="23" t="str">
        <f aca="false">IF($C25="","",IFERROR(MATCH($C25,'Программа тренировок'!$C$6:$C$25,0),""))</f>
        <v/>
      </c>
    </row>
    <row r="26" customFormat="false" ht="15" hidden="false" customHeight="true" outlineLevel="0" collapsed="false">
      <c r="A26" s="20" t="n">
        <v>46200</v>
      </c>
      <c r="B26" s="21" t="s">
        <v>55</v>
      </c>
      <c r="C26" s="19" t="s">
        <v>58</v>
      </c>
      <c r="D26" s="18" t="n">
        <v>1</v>
      </c>
      <c r="E26" s="17" t="n">
        <v>12</v>
      </c>
      <c r="F26" s="18" t="n">
        <v>12</v>
      </c>
      <c r="G26" s="18"/>
      <c r="H26" s="21" t="s">
        <v>39</v>
      </c>
      <c r="I26" s="19"/>
      <c r="J26" s="8" t="n">
        <f aca="false">IF(OR(E26="",F26=""),"",E26*F26)</f>
        <v>144</v>
      </c>
      <c r="K26" s="22" t="str">
        <f aca="false">IF($M26="","",INDEX('Программа тренировок'!$G$6:$G$25,$M26))</f>
        <v/>
      </c>
      <c r="L26" s="23" t="str">
        <f aca="false">IF(OR($M26="",$F26="",$G26=""),"",IF($H26="Разминка","Разминка",IF($F26&lt;INDEX('Программа тренировок'!$E$6:$E$25,$M26),"Ниже диапазона",IF(AND($F26&gt;=INDEX('Программа тренировок'!$F$6:$F$25,$M26),$G26&gt;=INDEX('Программа тренировок'!$L$6:$L$25,$M26)),"Верх диапазона: пора добавлять вес",IF($G26&lt;INDEX('Программа тренировок'!$L$6:$L$25,$M26),"RIR ниже цели","В диапазоне")))))</f>
        <v/>
      </c>
      <c r="M26" s="23" t="str">
        <f aca="false">IF($C26="","",IFERROR(MATCH($C26,'Программа тренировок'!$C$6:$C$25,0),""))</f>
        <v/>
      </c>
    </row>
    <row r="27" customFormat="false" ht="15" hidden="false" customHeight="true" outlineLevel="0" collapsed="false">
      <c r="A27" s="20" t="n">
        <v>46200</v>
      </c>
      <c r="B27" s="21" t="s">
        <v>55</v>
      </c>
      <c r="C27" s="19" t="s">
        <v>58</v>
      </c>
      <c r="D27" s="18" t="n">
        <v>2</v>
      </c>
      <c r="E27" s="17" t="n">
        <v>12</v>
      </c>
      <c r="F27" s="18" t="n">
        <v>5</v>
      </c>
      <c r="G27" s="18"/>
      <c r="H27" s="21" t="s">
        <v>39</v>
      </c>
      <c r="I27" s="19"/>
      <c r="J27" s="8" t="n">
        <f aca="false">IF(OR(E27="",F27=""),"",E27*F27)</f>
        <v>60</v>
      </c>
      <c r="K27" s="22" t="str">
        <f aca="false">IF($M27="","",INDEX('Программа тренировок'!$G$6:$G$25,$M27))</f>
        <v/>
      </c>
      <c r="L27" s="23" t="str">
        <f aca="false">IF(OR($M27="",$F27="",$G27=""),"",IF($H27="Разминка","Разминка",IF($F27&lt;INDEX('Программа тренировок'!$E$6:$E$25,$M27),"Ниже диапазона",IF(AND($F27&gt;=INDEX('Программа тренировок'!$F$6:$F$25,$M27),$G27&gt;=INDEX('Программа тренировок'!$L$6:$L$25,$M27)),"Верх диапазона: пора добавлять вес",IF($G27&lt;INDEX('Программа тренировок'!$L$6:$L$25,$M27),"RIR ниже цели","В диапазоне")))))</f>
        <v/>
      </c>
      <c r="M27" s="23" t="str">
        <f aca="false">IF($C27="","",IFERROR(MATCH($C27,'Программа тренировок'!$C$6:$C$25,0),""))</f>
        <v/>
      </c>
    </row>
    <row r="28" customFormat="false" ht="15" hidden="false" customHeight="true" outlineLevel="0" collapsed="false">
      <c r="A28" s="20" t="n">
        <v>46200</v>
      </c>
      <c r="B28" s="21" t="s">
        <v>55</v>
      </c>
      <c r="C28" s="19" t="s">
        <v>58</v>
      </c>
      <c r="D28" s="18" t="n">
        <v>3</v>
      </c>
      <c r="E28" s="17" t="n">
        <v>12</v>
      </c>
      <c r="F28" s="18" t="n">
        <v>3</v>
      </c>
      <c r="G28" s="18"/>
      <c r="H28" s="21" t="s">
        <v>39</v>
      </c>
      <c r="I28" s="19"/>
      <c r="J28" s="8" t="n">
        <f aca="false">IF(OR(E28="",F28=""),"",E28*F28)</f>
        <v>36</v>
      </c>
      <c r="K28" s="22" t="str">
        <f aca="false">IF($M28="","",INDEX('Программа тренировок'!$G$6:$G$25,$M28))</f>
        <v/>
      </c>
      <c r="L28" s="23" t="str">
        <f aca="false">IF(OR($M28="",$F28="",$G28=""),"",IF($H28="Разминка","Разминка",IF($F28&lt;INDEX('Программа тренировок'!$E$6:$E$25,$M28),"Ниже диапазона",IF(AND($F28&gt;=INDEX('Программа тренировок'!$F$6:$F$25,$M28),$G28&gt;=INDEX('Программа тренировок'!$L$6:$L$25,$M28)),"Верх диапазона: пора добавлять вес",IF($G28&lt;INDEX('Программа тренировок'!$L$6:$L$25,$M28),"RIR ниже цели","В диапазоне")))))</f>
        <v/>
      </c>
      <c r="M28" s="23" t="str">
        <f aca="false">IF($C28="","",IFERROR(MATCH($C28,'Программа тренировок'!$C$6:$C$25,0),""))</f>
        <v/>
      </c>
    </row>
    <row r="29" customFormat="false" ht="15" hidden="false" customHeight="true" outlineLevel="0" collapsed="false">
      <c r="A29" s="20" t="n">
        <v>46200</v>
      </c>
      <c r="B29" s="21" t="s">
        <v>55</v>
      </c>
      <c r="C29" s="19" t="s">
        <v>59</v>
      </c>
      <c r="D29" s="18" t="n">
        <v>1</v>
      </c>
      <c r="E29" s="17" t="n">
        <v>25</v>
      </c>
      <c r="F29" s="18" t="n">
        <v>13</v>
      </c>
      <c r="G29" s="18"/>
      <c r="H29" s="21" t="s">
        <v>39</v>
      </c>
      <c r="I29" s="19"/>
      <c r="J29" s="8" t="n">
        <f aca="false">IF(OR(E29="",F29=""),"",E29*F29)</f>
        <v>325</v>
      </c>
      <c r="K29" s="22" t="str">
        <f aca="false">IF($M29="","",INDEX('Программа тренировок'!$G$6:$G$25,$M29))</f>
        <v/>
      </c>
      <c r="L29" s="23" t="str">
        <f aca="false">IF(OR($M29="",$F29="",$G29=""),"",IF($H29="Разминка","Разминка",IF($F29&lt;INDEX('Программа тренировок'!$E$6:$E$25,$M29),"Ниже диапазона",IF(AND($F29&gt;=INDEX('Программа тренировок'!$F$6:$F$25,$M29),$G29&gt;=INDEX('Программа тренировок'!$L$6:$L$25,$M29)),"Верх диапазона: пора добавлять вес",IF($G29&lt;INDEX('Программа тренировок'!$L$6:$L$25,$M29),"RIR ниже цели","В диапазоне")))))</f>
        <v/>
      </c>
      <c r="M29" s="23" t="str">
        <f aca="false">IF($C29="","",IFERROR(MATCH($C29,'Программа тренировок'!$C$6:$C$25,0),""))</f>
        <v/>
      </c>
    </row>
    <row r="30" customFormat="false" ht="15" hidden="false" customHeight="true" outlineLevel="0" collapsed="false">
      <c r="A30" s="20" t="n">
        <v>46200</v>
      </c>
      <c r="B30" s="21" t="s">
        <v>55</v>
      </c>
      <c r="C30" s="19" t="s">
        <v>59</v>
      </c>
      <c r="D30" s="18" t="n">
        <v>2</v>
      </c>
      <c r="E30" s="17" t="n">
        <v>25</v>
      </c>
      <c r="F30" s="18" t="n">
        <v>10</v>
      </c>
      <c r="G30" s="18"/>
      <c r="H30" s="21" t="s">
        <v>39</v>
      </c>
      <c r="I30" s="19"/>
      <c r="J30" s="8" t="n">
        <f aca="false">IF(OR(E30="",F30=""),"",E30*F30)</f>
        <v>250</v>
      </c>
      <c r="K30" s="22" t="str">
        <f aca="false">IF($M30="","",INDEX('Программа тренировок'!$G$6:$G$25,$M30))</f>
        <v/>
      </c>
      <c r="L30" s="23" t="str">
        <f aca="false">IF(OR($M30="",$F30="",$G30=""),"",IF($H30="Разминка","Разминка",IF($F30&lt;INDEX('Программа тренировок'!$E$6:$E$25,$M30),"Ниже диапазона",IF(AND($F30&gt;=INDEX('Программа тренировок'!$F$6:$F$25,$M30),$G30&gt;=INDEX('Программа тренировок'!$L$6:$L$25,$M30)),"Верх диапазона: пора добавлять вес",IF($G30&lt;INDEX('Программа тренировок'!$L$6:$L$25,$M30),"RIR ниже цели","В диапазоне")))))</f>
        <v/>
      </c>
      <c r="M30" s="23" t="str">
        <f aca="false">IF($C30="","",IFERROR(MATCH($C30,'Программа тренировок'!$C$6:$C$25,0),""))</f>
        <v/>
      </c>
    </row>
    <row r="31" customFormat="false" ht="15" hidden="false" customHeight="true" outlineLevel="0" collapsed="false">
      <c r="A31" s="20" t="n">
        <v>46200</v>
      </c>
      <c r="B31" s="21" t="s">
        <v>55</v>
      </c>
      <c r="C31" s="19" t="s">
        <v>59</v>
      </c>
      <c r="D31" s="18" t="n">
        <v>3</v>
      </c>
      <c r="E31" s="17" t="n">
        <v>25</v>
      </c>
      <c r="F31" s="18" t="n">
        <v>10</v>
      </c>
      <c r="G31" s="18"/>
      <c r="H31" s="21" t="s">
        <v>39</v>
      </c>
      <c r="I31" s="19"/>
      <c r="J31" s="8" t="n">
        <f aca="false">IF(OR(E31="",F31=""),"",E31*F31)</f>
        <v>250</v>
      </c>
      <c r="K31" s="22" t="str">
        <f aca="false">IF($M31="","",INDEX('Программа тренировок'!$G$6:$G$25,$M31))</f>
        <v/>
      </c>
      <c r="L31" s="23" t="str">
        <f aca="false">IF(OR($M31="",$F31="",$G31=""),"",IF($H31="Разминка","Разминка",IF($F31&lt;INDEX('Программа тренировок'!$E$6:$E$25,$M31),"Ниже диапазона",IF(AND($F31&gt;=INDEX('Программа тренировок'!$F$6:$F$25,$M31),$G31&gt;=INDEX('Программа тренировок'!$L$6:$L$25,$M31)),"Верх диапазона: пора добавлять вес",IF($G31&lt;INDEX('Программа тренировок'!$L$6:$L$25,$M31),"RIR ниже цели","В диапазоне")))))</f>
        <v/>
      </c>
      <c r="M31" s="23" t="str">
        <f aca="false">IF($C31="","",IFERROR(MATCH($C31,'Программа тренировок'!$C$6:$C$25,0),""))</f>
        <v/>
      </c>
    </row>
    <row r="32" customFormat="false" ht="15" hidden="false" customHeight="true" outlineLevel="0" collapsed="false">
      <c r="A32" s="20" t="n">
        <v>46200</v>
      </c>
      <c r="B32" s="21" t="s">
        <v>55</v>
      </c>
      <c r="C32" s="19" t="s">
        <v>60</v>
      </c>
      <c r="D32" s="18" t="n">
        <v>1</v>
      </c>
      <c r="E32" s="17" t="n">
        <v>5</v>
      </c>
      <c r="F32" s="18" t="n">
        <v>18</v>
      </c>
      <c r="G32" s="18"/>
      <c r="H32" s="21" t="s">
        <v>39</v>
      </c>
      <c r="I32" s="19"/>
      <c r="J32" s="8" t="n">
        <f aca="false">IF(OR(E32="",F32=""),"",E32*F32)</f>
        <v>90</v>
      </c>
      <c r="K32" s="22" t="str">
        <f aca="false">IF($M32="","",INDEX('Программа тренировок'!$G$6:$G$25,$M32))</f>
        <v/>
      </c>
      <c r="L32" s="23" t="str">
        <f aca="false">IF(OR($M32="",$F32="",$G32=""),"",IF($H32="Разминка","Разминка",IF($F32&lt;INDEX('Программа тренировок'!$E$6:$E$25,$M32),"Ниже диапазона",IF(AND($F32&gt;=INDEX('Программа тренировок'!$F$6:$F$25,$M32),$G32&gt;=INDEX('Программа тренировок'!$L$6:$L$25,$M32)),"Верх диапазона: пора добавлять вес",IF($G32&lt;INDEX('Программа тренировок'!$L$6:$L$25,$M32),"RIR ниже цели","В диапазоне")))))</f>
        <v/>
      </c>
      <c r="M32" s="23" t="str">
        <f aca="false">IF($C32="","",IFERROR(MATCH($C32,'Программа тренировок'!$C$6:$C$25,0),""))</f>
        <v/>
      </c>
    </row>
    <row r="33" customFormat="false" ht="15" hidden="false" customHeight="true" outlineLevel="0" collapsed="false">
      <c r="A33" s="20" t="n">
        <v>46200</v>
      </c>
      <c r="B33" s="21" t="s">
        <v>55</v>
      </c>
      <c r="C33" s="19" t="s">
        <v>60</v>
      </c>
      <c r="D33" s="18" t="n">
        <v>2</v>
      </c>
      <c r="E33" s="17" t="n">
        <v>5</v>
      </c>
      <c r="F33" s="18" t="n">
        <v>17</v>
      </c>
      <c r="G33" s="18"/>
      <c r="H33" s="21" t="s">
        <v>39</v>
      </c>
      <c r="I33" s="19"/>
      <c r="J33" s="8" t="n">
        <f aca="false">IF(OR(E33="",F33=""),"",E33*F33)</f>
        <v>85</v>
      </c>
      <c r="K33" s="22" t="str">
        <f aca="false">IF($M33="","",INDEX('Программа тренировок'!$G$6:$G$25,$M33))</f>
        <v/>
      </c>
      <c r="L33" s="23" t="str">
        <f aca="false">IF(OR($M33="",$F33="",$G33=""),"",IF($H33="Разминка","Разминка",IF($F33&lt;INDEX('Программа тренировок'!$E$6:$E$25,$M33),"Ниже диапазона",IF(AND($F33&gt;=INDEX('Программа тренировок'!$F$6:$F$25,$M33),$G33&gt;=INDEX('Программа тренировок'!$L$6:$L$25,$M33)),"Верх диапазона: пора добавлять вес",IF($G33&lt;INDEX('Программа тренировок'!$L$6:$L$25,$M33),"RIR ниже цели","В диапазоне")))))</f>
        <v/>
      </c>
      <c r="M33" s="23" t="str">
        <f aca="false">IF($C33="","",IFERROR(MATCH($C33,'Программа тренировок'!$C$6:$C$25,0),""))</f>
        <v/>
      </c>
    </row>
    <row r="34" customFormat="false" ht="15" hidden="false" customHeight="true" outlineLevel="0" collapsed="false">
      <c r="A34" s="20" t="n">
        <v>46200</v>
      </c>
      <c r="B34" s="21" t="s">
        <v>55</v>
      </c>
      <c r="C34" s="19" t="s">
        <v>60</v>
      </c>
      <c r="D34" s="18" t="n">
        <v>3</v>
      </c>
      <c r="E34" s="17" t="n">
        <v>5</v>
      </c>
      <c r="F34" s="18" t="n">
        <v>20</v>
      </c>
      <c r="G34" s="18"/>
      <c r="H34" s="21" t="s">
        <v>39</v>
      </c>
      <c r="I34" s="19"/>
      <c r="J34" s="8" t="n">
        <f aca="false">IF(OR(E34="",F34=""),"",E34*F34)</f>
        <v>100</v>
      </c>
      <c r="K34" s="22" t="str">
        <f aca="false">IF($M34="","",INDEX('Программа тренировок'!$G$6:$G$25,$M34))</f>
        <v/>
      </c>
      <c r="L34" s="23" t="str">
        <f aca="false">IF(OR($M34="",$F34="",$G34=""),"",IF($H34="Разминка","Разминка",IF($F34&lt;INDEX('Программа тренировок'!$E$6:$E$25,$M34),"Ниже диапазона",IF(AND($F34&gt;=INDEX('Программа тренировок'!$F$6:$F$25,$M34),$G34&gt;=INDEX('Программа тренировок'!$L$6:$L$25,$M34)),"Верх диапазона: пора добавлять вес",IF($G34&lt;INDEX('Программа тренировок'!$L$6:$L$25,$M34),"RIR ниже цели","В диапазоне")))))</f>
        <v/>
      </c>
      <c r="M34" s="23" t="str">
        <f aca="false">IF($C34="","",IFERROR(MATCH($C34,'Программа тренировок'!$C$6:$C$25,0),""))</f>
        <v/>
      </c>
    </row>
    <row r="35" customFormat="false" ht="15" hidden="false" customHeight="true" outlineLevel="0" collapsed="false">
      <c r="A35" s="20" t="n">
        <v>46200</v>
      </c>
      <c r="B35" s="21" t="s">
        <v>55</v>
      </c>
      <c r="C35" s="19" t="s">
        <v>61</v>
      </c>
      <c r="D35" s="18" t="n">
        <v>1</v>
      </c>
      <c r="E35" s="17" t="n">
        <v>10</v>
      </c>
      <c r="F35" s="18" t="n">
        <v>20</v>
      </c>
      <c r="G35" s="18"/>
      <c r="H35" s="21" t="s">
        <v>39</v>
      </c>
      <c r="I35" s="19"/>
      <c r="J35" s="8" t="n">
        <f aca="false">IF(OR(E35="",F35=""),"",E35*F35)</f>
        <v>200</v>
      </c>
      <c r="K35" s="22" t="str">
        <f aca="false">IF($M35="","",INDEX('Программа тренировок'!$G$6:$G$25,$M35))</f>
        <v/>
      </c>
      <c r="L35" s="23" t="str">
        <f aca="false">IF(OR($M35="",$F35="",$G35=""),"",IF($H35="Разминка","Разминка",IF($F35&lt;INDEX('Программа тренировок'!$E$6:$E$25,$M35),"Ниже диапазона",IF(AND($F35&gt;=INDEX('Программа тренировок'!$F$6:$F$25,$M35),$G35&gt;=INDEX('Программа тренировок'!$L$6:$L$25,$M35)),"Верх диапазона: пора добавлять вес",IF($G35&lt;INDEX('Программа тренировок'!$L$6:$L$25,$M35),"RIR ниже цели","В диапазоне")))))</f>
        <v/>
      </c>
      <c r="M35" s="23" t="str">
        <f aca="false">IF($C35="","",IFERROR(MATCH($C35,'Программа тренировок'!$C$6:$C$25,0),""))</f>
        <v/>
      </c>
    </row>
    <row r="36" customFormat="false" ht="15" hidden="false" customHeight="true" outlineLevel="0" collapsed="false">
      <c r="A36" s="20" t="n">
        <v>46200</v>
      </c>
      <c r="B36" s="21" t="s">
        <v>55</v>
      </c>
      <c r="C36" s="19" t="s">
        <v>61</v>
      </c>
      <c r="D36" s="18" t="n">
        <v>2</v>
      </c>
      <c r="E36" s="17" t="n">
        <v>15</v>
      </c>
      <c r="F36" s="18" t="n">
        <v>7</v>
      </c>
      <c r="G36" s="18"/>
      <c r="H36" s="21" t="s">
        <v>39</v>
      </c>
      <c r="I36" s="19"/>
      <c r="J36" s="8" t="n">
        <f aca="false">IF(OR(E36="",F36=""),"",E36*F36)</f>
        <v>105</v>
      </c>
      <c r="K36" s="22" t="str">
        <f aca="false">IF($M36="","",INDEX('Программа тренировок'!$G$6:$G$25,$M36))</f>
        <v/>
      </c>
      <c r="L36" s="23" t="str">
        <f aca="false">IF(OR($M36="",$F36="",$G36=""),"",IF($H36="Разминка","Разминка",IF($F36&lt;INDEX('Программа тренировок'!$E$6:$E$25,$M36),"Ниже диапазона",IF(AND($F36&gt;=INDEX('Программа тренировок'!$F$6:$F$25,$M36),$G36&gt;=INDEX('Программа тренировок'!$L$6:$L$25,$M36)),"Верх диапазона: пора добавлять вес",IF($G36&lt;INDEX('Программа тренировок'!$L$6:$L$25,$M36),"RIR ниже цели","В диапазоне")))))</f>
        <v/>
      </c>
      <c r="M36" s="23" t="str">
        <f aca="false">IF($C36="","",IFERROR(MATCH($C36,'Программа тренировок'!$C$6:$C$25,0),""))</f>
        <v/>
      </c>
    </row>
    <row r="37" customFormat="false" ht="15" hidden="false" customHeight="true" outlineLevel="0" collapsed="false">
      <c r="A37" s="20" t="n">
        <v>46200</v>
      </c>
      <c r="B37" s="21" t="s">
        <v>55</v>
      </c>
      <c r="C37" s="19" t="s">
        <v>61</v>
      </c>
      <c r="D37" s="18" t="n">
        <v>3</v>
      </c>
      <c r="E37" s="17" t="n">
        <v>15</v>
      </c>
      <c r="F37" s="18" t="n">
        <v>6</v>
      </c>
      <c r="G37" s="18"/>
      <c r="H37" s="21" t="s">
        <v>39</v>
      </c>
      <c r="I37" s="19"/>
      <c r="J37" s="8" t="n">
        <f aca="false">IF(OR(E37="",F37=""),"",E37*F37)</f>
        <v>90</v>
      </c>
      <c r="K37" s="22" t="str">
        <f aca="false">IF($M37="","",INDEX('Программа тренировок'!$G$6:$G$25,$M37))</f>
        <v/>
      </c>
      <c r="L37" s="23" t="str">
        <f aca="false">IF(OR($M37="",$F37="",$G37=""),"",IF($H37="Разминка","Разминка",IF($F37&lt;INDEX('Программа тренировок'!$E$6:$E$25,$M37),"Ниже диапазона",IF(AND($F37&gt;=INDEX('Программа тренировок'!$F$6:$F$25,$M37),$G37&gt;=INDEX('Программа тренировок'!$L$6:$L$25,$M37)),"Верх диапазона: пора добавлять вес",IF($G37&lt;INDEX('Программа тренировок'!$L$6:$L$25,$M37),"RIR ниже цели","В диапазоне")))))</f>
        <v/>
      </c>
      <c r="M37" s="23" t="str">
        <f aca="false">IF($C37="","",IFERROR(MATCH($C37,'Программа тренировок'!$C$6:$C$25,0),""))</f>
        <v/>
      </c>
    </row>
    <row r="38" customFormat="false" ht="15" hidden="false" customHeight="true" outlineLevel="0" collapsed="false">
      <c r="A38" s="20" t="n">
        <v>46200</v>
      </c>
      <c r="B38" s="21" t="s">
        <v>55</v>
      </c>
      <c r="C38" s="19" t="s">
        <v>61</v>
      </c>
      <c r="D38" s="18" t="n">
        <v>4</v>
      </c>
      <c r="E38" s="17" t="n">
        <v>15</v>
      </c>
      <c r="F38" s="18" t="n">
        <v>4</v>
      </c>
      <c r="G38" s="18"/>
      <c r="H38" s="21" t="s">
        <v>39</v>
      </c>
      <c r="I38" s="19"/>
      <c r="J38" s="8" t="n">
        <f aca="false">IF(OR(E38="",F38=""),"",E38*F38)</f>
        <v>60</v>
      </c>
      <c r="K38" s="22" t="str">
        <f aca="false">IF($M38="","",INDEX('Программа тренировок'!$G$6:$G$25,$M38))</f>
        <v/>
      </c>
      <c r="L38" s="23" t="str">
        <f aca="false">IF(OR($M38="",$F38="",$G38=""),"",IF($H38="Разминка","Разминка",IF($F38&lt;INDEX('Программа тренировок'!$E$6:$E$25,$M38),"Ниже диапазона",IF(AND($F38&gt;=INDEX('Программа тренировок'!$F$6:$F$25,$M38),$G38&gt;=INDEX('Программа тренировок'!$L$6:$L$25,$M38)),"Верх диапазона: пора добавлять вес",IF($G38&lt;INDEX('Программа тренировок'!$L$6:$L$25,$M38),"RIR ниже цели","В диапазоне")))))</f>
        <v/>
      </c>
      <c r="M38" s="23" t="str">
        <f aca="false">IF($C38="","",IFERROR(MATCH($C38,'Программа тренировок'!$C$6:$C$25,0),""))</f>
        <v/>
      </c>
    </row>
    <row r="39" customFormat="false" ht="15" hidden="false" customHeight="true" outlineLevel="0" collapsed="false">
      <c r="A39" s="20" t="n">
        <v>46200</v>
      </c>
      <c r="B39" s="21" t="s">
        <v>55</v>
      </c>
      <c r="C39" s="19" t="s">
        <v>62</v>
      </c>
      <c r="D39" s="18" t="n">
        <v>1</v>
      </c>
      <c r="E39" s="17" t="n">
        <v>15</v>
      </c>
      <c r="F39" s="18" t="n">
        <v>20</v>
      </c>
      <c r="G39" s="18"/>
      <c r="H39" s="21" t="s">
        <v>39</v>
      </c>
      <c r="I39" s="19"/>
      <c r="J39" s="8" t="n">
        <f aca="false">IF(OR(E39="",F39=""),"",E39*F39)</f>
        <v>300</v>
      </c>
      <c r="K39" s="22" t="str">
        <f aca="false">IF($M39="","",INDEX('Программа тренировок'!$G$6:$G$25,$M39))</f>
        <v/>
      </c>
      <c r="L39" s="23" t="str">
        <f aca="false">IF(OR($M39="",$F39="",$G39=""),"",IF($H39="Разминка","Разминка",IF($F39&lt;INDEX('Программа тренировок'!$E$6:$E$25,$M39),"Ниже диапазона",IF(AND($F39&gt;=INDEX('Программа тренировок'!$F$6:$F$25,$M39),$G39&gt;=INDEX('Программа тренировок'!$L$6:$L$25,$M39)),"Верх диапазона: пора добавлять вес",IF($G39&lt;INDEX('Программа тренировок'!$L$6:$L$25,$M39),"RIR ниже цели","В диапазоне")))))</f>
        <v/>
      </c>
      <c r="M39" s="23" t="str">
        <f aca="false">IF($C39="","",IFERROR(MATCH($C39,'Программа тренировок'!$C$6:$C$25,0),""))</f>
        <v/>
      </c>
    </row>
    <row r="40" customFormat="false" ht="15" hidden="false" customHeight="true" outlineLevel="0" collapsed="false">
      <c r="A40" s="20" t="n">
        <v>46200</v>
      </c>
      <c r="B40" s="21" t="s">
        <v>55</v>
      </c>
      <c r="C40" s="19" t="s">
        <v>62</v>
      </c>
      <c r="D40" s="18" t="n">
        <v>2</v>
      </c>
      <c r="E40" s="17" t="n">
        <v>15</v>
      </c>
      <c r="F40" s="18" t="n">
        <v>20</v>
      </c>
      <c r="G40" s="18"/>
      <c r="H40" s="21" t="s">
        <v>39</v>
      </c>
      <c r="I40" s="19"/>
      <c r="J40" s="8" t="n">
        <f aca="false">IF(OR(E40="",F40=""),"",E40*F40)</f>
        <v>300</v>
      </c>
      <c r="K40" s="22" t="str">
        <f aca="false">IF($M40="","",INDEX('Программа тренировок'!$G$6:$G$25,$M40))</f>
        <v/>
      </c>
      <c r="L40" s="23" t="str">
        <f aca="false">IF(OR($M40="",$F40="",$G40=""),"",IF($H40="Разминка","Разминка",IF($F40&lt;INDEX('Программа тренировок'!$E$6:$E$25,$M40),"Ниже диапазона",IF(AND($F40&gt;=INDEX('Программа тренировок'!$F$6:$F$25,$M40),$G40&gt;=INDEX('Программа тренировок'!$L$6:$L$25,$M40)),"Верх диапазона: пора добавлять вес",IF($G40&lt;INDEX('Программа тренировок'!$L$6:$L$25,$M40),"RIR ниже цели","В диапазоне")))))</f>
        <v/>
      </c>
      <c r="M40" s="23" t="str">
        <f aca="false">IF($C40="","",IFERROR(MATCH($C40,'Программа тренировок'!$C$6:$C$25,0),""))</f>
        <v/>
      </c>
    </row>
    <row r="41" customFormat="false" ht="15" hidden="false" customHeight="true" outlineLevel="0" collapsed="false">
      <c r="A41" s="20" t="n">
        <v>46200</v>
      </c>
      <c r="B41" s="21" t="s">
        <v>55</v>
      </c>
      <c r="C41" s="19" t="s">
        <v>62</v>
      </c>
      <c r="D41" s="18" t="n">
        <v>3</v>
      </c>
      <c r="E41" s="17" t="n">
        <v>15</v>
      </c>
      <c r="F41" s="18"/>
      <c r="G41" s="18"/>
      <c r="H41" s="21" t="s">
        <v>39</v>
      </c>
      <c r="I41" s="19"/>
      <c r="J41" s="8" t="str">
        <f aca="false">IF(OR(E41="",F41=""),"",E41*F41)</f>
        <v/>
      </c>
      <c r="K41" s="22" t="str">
        <f aca="false">IF($M41="","",INDEX('Программа тренировок'!$G$6:$G$25,$M41))</f>
        <v/>
      </c>
      <c r="L41" s="23" t="str">
        <f aca="false">IF(OR($M41="",$F41="",$G41=""),"",IF($H41="Разминка","Разминка",IF($F41&lt;INDEX('Программа тренировок'!$E$6:$E$25,$M41),"Ниже диапазона",IF(AND($F41&gt;=INDEX('Программа тренировок'!$F$6:$F$25,$M41),$G41&gt;=INDEX('Программа тренировок'!$L$6:$L$25,$M41)),"Верх диапазона: пора добавлять вес",IF($G41&lt;INDEX('Программа тренировок'!$L$6:$L$25,$M41),"RIR ниже цели","В диапазоне")))))</f>
        <v/>
      </c>
      <c r="M41" s="23" t="str">
        <f aca="false">IF($C41="","",IFERROR(MATCH($C41,'Программа тренировок'!$C$6:$C$25,0),""))</f>
        <v/>
      </c>
    </row>
    <row r="42" customFormat="false" ht="15" hidden="false" customHeight="true" outlineLevel="0" collapsed="false">
      <c r="A42" s="20" t="n">
        <v>46206</v>
      </c>
      <c r="B42" s="21" t="s">
        <v>63</v>
      </c>
      <c r="C42" s="19" t="s">
        <v>64</v>
      </c>
      <c r="D42" s="18" t="n">
        <v>1</v>
      </c>
      <c r="E42" s="17" t="n">
        <v>45.5</v>
      </c>
      <c r="F42" s="18" t="n">
        <v>20</v>
      </c>
      <c r="G42" s="18"/>
      <c r="H42" s="21" t="s">
        <v>39</v>
      </c>
      <c r="I42" s="19"/>
      <c r="J42" s="8" t="n">
        <f aca="false">IF(OR(E42="",F42=""),"",E42*F42)</f>
        <v>910</v>
      </c>
      <c r="K42" s="22" t="str">
        <f aca="false">IF($M42="","",INDEX('Программа тренировок'!$G$6:$G$25,$M42))</f>
        <v/>
      </c>
      <c r="L42" s="23" t="str">
        <f aca="false">IF(OR($M42="",$F42="",$G42=""),"",IF($H42="Разминка","Разминка",IF($F42&lt;INDEX('Программа тренировок'!$E$6:$E$25,$M42),"Ниже диапазона",IF(AND($F42&gt;=INDEX('Программа тренировок'!$F$6:$F$25,$M42),$G42&gt;=INDEX('Программа тренировок'!$L$6:$L$25,$M42)),"Верх диапазона: пора добавлять вес",IF($G42&lt;INDEX('Программа тренировок'!$L$6:$L$25,$M42),"RIR ниже цели","В диапазоне")))))</f>
        <v/>
      </c>
      <c r="M42" s="23" t="str">
        <f aca="false">IF($C42="","",IFERROR(MATCH($C42,'Программа тренировок'!$C$6:$C$25,0),""))</f>
        <v/>
      </c>
    </row>
    <row r="43" customFormat="false" ht="15" hidden="false" customHeight="true" outlineLevel="0" collapsed="false">
      <c r="A43" s="20" t="n">
        <v>46206</v>
      </c>
      <c r="B43" s="21" t="s">
        <v>63</v>
      </c>
      <c r="C43" s="19" t="s">
        <v>64</v>
      </c>
      <c r="D43" s="18" t="n">
        <v>2</v>
      </c>
      <c r="E43" s="17" t="n">
        <v>54.5</v>
      </c>
      <c r="F43" s="18" t="n">
        <v>10</v>
      </c>
      <c r="G43" s="18"/>
      <c r="H43" s="21" t="s">
        <v>39</v>
      </c>
      <c r="I43" s="19"/>
      <c r="J43" s="8" t="n">
        <f aca="false">IF(OR(E43="",F43=""),"",E43*F43)</f>
        <v>545</v>
      </c>
      <c r="K43" s="22" t="str">
        <f aca="false">IF($M43="","",INDEX('Программа тренировок'!$G$6:$G$25,$M43))</f>
        <v/>
      </c>
      <c r="L43" s="23" t="str">
        <f aca="false">IF(OR($M43="",$F43="",$G43=""),"",IF($H43="Разминка","Разминка",IF($F43&lt;INDEX('Программа тренировок'!$E$6:$E$25,$M43),"Ниже диапазона",IF(AND($F43&gt;=INDEX('Программа тренировок'!$F$6:$F$25,$M43),$G43&gt;=INDEX('Программа тренировок'!$L$6:$L$25,$M43)),"Верх диапазона: пора добавлять вес",IF($G43&lt;INDEX('Программа тренировок'!$L$6:$L$25,$M43),"RIR ниже цели","В диапазоне")))))</f>
        <v/>
      </c>
      <c r="M43" s="23" t="str">
        <f aca="false">IF($C43="","",IFERROR(MATCH($C43,'Программа тренировок'!$C$6:$C$25,0),""))</f>
        <v/>
      </c>
    </row>
    <row r="44" customFormat="false" ht="15" hidden="false" customHeight="true" outlineLevel="0" collapsed="false">
      <c r="A44" s="20" t="n">
        <v>46206</v>
      </c>
      <c r="B44" s="21" t="s">
        <v>63</v>
      </c>
      <c r="C44" s="19" t="s">
        <v>64</v>
      </c>
      <c r="D44" s="18" t="n">
        <v>3</v>
      </c>
      <c r="E44" s="17" t="n">
        <v>63.5</v>
      </c>
      <c r="F44" s="18" t="n">
        <v>7</v>
      </c>
      <c r="G44" s="18"/>
      <c r="H44" s="21" t="s">
        <v>39</v>
      </c>
      <c r="I44" s="19"/>
      <c r="J44" s="8" t="n">
        <f aca="false">IF(OR(E44="",F44=""),"",E44*F44)</f>
        <v>444.5</v>
      </c>
      <c r="K44" s="22" t="str">
        <f aca="false">IF($M44="","",INDEX('Программа тренировок'!$G$6:$G$25,$M44))</f>
        <v/>
      </c>
      <c r="L44" s="23" t="str">
        <f aca="false">IF(OR($M44="",$F44="",$G44=""),"",IF($H44="Разминка","Разминка",IF($F44&lt;INDEX('Программа тренировок'!$E$6:$E$25,$M44),"Ниже диапазона",IF(AND($F44&gt;=INDEX('Программа тренировок'!$F$6:$F$25,$M44),$G44&gt;=INDEX('Программа тренировок'!$L$6:$L$25,$M44)),"Верх диапазона: пора добавлять вес",IF($G44&lt;INDEX('Программа тренировок'!$L$6:$L$25,$M44),"RIR ниже цели","В диапазоне")))))</f>
        <v/>
      </c>
      <c r="M44" s="23" t="str">
        <f aca="false">IF($C44="","",IFERROR(MATCH($C44,'Программа тренировок'!$C$6:$C$25,0),""))</f>
        <v/>
      </c>
    </row>
    <row r="45" customFormat="false" ht="15" hidden="false" customHeight="true" outlineLevel="0" collapsed="false">
      <c r="A45" s="20" t="n">
        <v>46206</v>
      </c>
      <c r="B45" s="21" t="s">
        <v>63</v>
      </c>
      <c r="C45" s="19" t="s">
        <v>64</v>
      </c>
      <c r="D45" s="18" t="n">
        <v>4</v>
      </c>
      <c r="E45" s="17" t="n">
        <v>63.5</v>
      </c>
      <c r="F45" s="18" t="n">
        <v>3.5</v>
      </c>
      <c r="G45" s="18"/>
      <c r="H45" s="21" t="s">
        <v>39</v>
      </c>
      <c r="I45" s="19"/>
      <c r="J45" s="8" t="n">
        <f aca="false">IF(OR(E45="",F45=""),"",E45*F45)</f>
        <v>222.25</v>
      </c>
      <c r="K45" s="22" t="str">
        <f aca="false">IF($M45="","",INDEX('Программа тренировок'!$G$6:$G$25,$M45))</f>
        <v/>
      </c>
      <c r="L45" s="23" t="str">
        <f aca="false">IF(OR($M45="",$F45="",$G45=""),"",IF($H45="Разминка","Разминка",IF($F45&lt;INDEX('Программа тренировок'!$E$6:$E$25,$M45),"Ниже диапазона",IF(AND($F45&gt;=INDEX('Программа тренировок'!$F$6:$F$25,$M45),$G45&gt;=INDEX('Программа тренировок'!$L$6:$L$25,$M45)),"Верх диапазона: пора добавлять вес",IF($G45&lt;INDEX('Программа тренировок'!$L$6:$L$25,$M45),"RIR ниже цели","В диапазоне")))))</f>
        <v/>
      </c>
      <c r="M45" s="23" t="str">
        <f aca="false">IF($C45="","",IFERROR(MATCH($C45,'Программа тренировок'!$C$6:$C$25,0),""))</f>
        <v/>
      </c>
    </row>
    <row r="46" customFormat="false" ht="15" hidden="false" customHeight="true" outlineLevel="0" collapsed="false">
      <c r="A46" s="20" t="n">
        <v>46206</v>
      </c>
      <c r="B46" s="21" t="s">
        <v>63</v>
      </c>
      <c r="C46" s="19" t="s">
        <v>65</v>
      </c>
      <c r="D46" s="18" t="n">
        <v>1</v>
      </c>
      <c r="E46" s="17" t="n">
        <v>27.2</v>
      </c>
      <c r="F46" s="18" t="n">
        <v>20</v>
      </c>
      <c r="G46" s="18"/>
      <c r="H46" s="21" t="s">
        <v>39</v>
      </c>
      <c r="I46" s="19"/>
      <c r="J46" s="8" t="n">
        <f aca="false">IF(OR(E46="",F46=""),"",E46*F46)</f>
        <v>544</v>
      </c>
      <c r="K46" s="22" t="str">
        <f aca="false">IF($M46="","",INDEX('Программа тренировок'!$G$6:$G$25,$M46))</f>
        <v/>
      </c>
      <c r="L46" s="23" t="str">
        <f aca="false">IF(OR($M46="",$F46="",$G46=""),"",IF($H46="Разминка","Разминка",IF($F46&lt;INDEX('Программа тренировок'!$E$6:$E$25,$M46),"Ниже диапазона",IF(AND($F46&gt;=INDEX('Программа тренировок'!$F$6:$F$25,$M46),$G46&gt;=INDEX('Программа тренировок'!$L$6:$L$25,$M46)),"Верх диапазона: пора добавлять вес",IF($G46&lt;INDEX('Программа тренировок'!$L$6:$L$25,$M46),"RIR ниже цели","В диапазоне")))))</f>
        <v/>
      </c>
      <c r="M46" s="23" t="str">
        <f aca="false">IF($C46="","",IFERROR(MATCH($C46,'Программа тренировок'!$C$6:$C$25,0),""))</f>
        <v/>
      </c>
    </row>
    <row r="47" customFormat="false" ht="15" hidden="false" customHeight="true" outlineLevel="0" collapsed="false">
      <c r="A47" s="20" t="n">
        <v>46206</v>
      </c>
      <c r="B47" s="21" t="s">
        <v>63</v>
      </c>
      <c r="C47" s="19" t="s">
        <v>65</v>
      </c>
      <c r="D47" s="18" t="n">
        <v>2</v>
      </c>
      <c r="E47" s="17" t="n">
        <v>36.2</v>
      </c>
      <c r="F47" s="18" t="n">
        <v>15</v>
      </c>
      <c r="G47" s="18"/>
      <c r="H47" s="21" t="s">
        <v>39</v>
      </c>
      <c r="I47" s="19"/>
      <c r="J47" s="8" t="n">
        <f aca="false">IF(OR(E47="",F47=""),"",E47*F47)</f>
        <v>543</v>
      </c>
      <c r="K47" s="22" t="str">
        <f aca="false">IF($M47="","",INDEX('Программа тренировок'!$G$6:$G$25,$M47))</f>
        <v/>
      </c>
      <c r="L47" s="23" t="str">
        <f aca="false">IF(OR($M47="",$F47="",$G47=""),"",IF($H47="Разминка","Разминка",IF($F47&lt;INDEX('Программа тренировок'!$E$6:$E$25,$M47),"Ниже диапазона",IF(AND($F47&gt;=INDEX('Программа тренировок'!$F$6:$F$25,$M47),$G47&gt;=INDEX('Программа тренировок'!$L$6:$L$25,$M47)),"Верх диапазона: пора добавлять вес",IF($G47&lt;INDEX('Программа тренировок'!$L$6:$L$25,$M47),"RIR ниже цели","В диапазоне")))))</f>
        <v/>
      </c>
      <c r="M47" s="23" t="str">
        <f aca="false">IF($C47="","",IFERROR(MATCH($C47,'Программа тренировок'!$C$6:$C$25,0),""))</f>
        <v/>
      </c>
    </row>
    <row r="48" customFormat="false" ht="15" hidden="false" customHeight="true" outlineLevel="0" collapsed="false">
      <c r="A48" s="20" t="n">
        <v>46206</v>
      </c>
      <c r="B48" s="21" t="s">
        <v>63</v>
      </c>
      <c r="C48" s="19" t="s">
        <v>65</v>
      </c>
      <c r="D48" s="18" t="n">
        <v>3</v>
      </c>
      <c r="E48" s="17" t="n">
        <v>40.8</v>
      </c>
      <c r="F48" s="18" t="n">
        <v>7</v>
      </c>
      <c r="G48" s="18"/>
      <c r="H48" s="21" t="s">
        <v>39</v>
      </c>
      <c r="I48" s="19"/>
      <c r="J48" s="8" t="n">
        <f aca="false">IF(OR(E48="",F48=""),"",E48*F48)</f>
        <v>285.6</v>
      </c>
      <c r="K48" s="22" t="str">
        <f aca="false">IF($M48="","",INDEX('Программа тренировок'!$G$6:$G$25,$M48))</f>
        <v/>
      </c>
      <c r="L48" s="23" t="str">
        <f aca="false">IF(OR($M48="",$F48="",$G48=""),"",IF($H48="Разминка","Разминка",IF($F48&lt;INDEX('Программа тренировок'!$E$6:$E$25,$M48),"Ниже диапазона",IF(AND($F48&gt;=INDEX('Программа тренировок'!$F$6:$F$25,$M48),$G48&gt;=INDEX('Программа тренировок'!$L$6:$L$25,$M48)),"Верх диапазона: пора добавлять вес",IF($G48&lt;INDEX('Программа тренировок'!$L$6:$L$25,$M48),"RIR ниже цели","В диапазоне")))))</f>
        <v/>
      </c>
      <c r="M48" s="23" t="str">
        <f aca="false">IF($C48="","",IFERROR(MATCH($C48,'Программа тренировок'!$C$6:$C$25,0),""))</f>
        <v/>
      </c>
    </row>
    <row r="49" customFormat="false" ht="15" hidden="false" customHeight="true" outlineLevel="0" collapsed="false">
      <c r="A49" s="20" t="n">
        <v>46206</v>
      </c>
      <c r="B49" s="21" t="s">
        <v>63</v>
      </c>
      <c r="C49" s="19" t="s">
        <v>65</v>
      </c>
      <c r="D49" s="18" t="n">
        <v>4</v>
      </c>
      <c r="E49" s="17" t="n">
        <v>40.8</v>
      </c>
      <c r="F49" s="18" t="n">
        <v>9</v>
      </c>
      <c r="G49" s="18"/>
      <c r="H49" s="21" t="s">
        <v>39</v>
      </c>
      <c r="I49" s="19"/>
      <c r="J49" s="8" t="n">
        <f aca="false">IF(OR(E49="",F49=""),"",E49*F49)</f>
        <v>367.2</v>
      </c>
      <c r="K49" s="22" t="str">
        <f aca="false">IF($M49="","",INDEX('Программа тренировок'!$G$6:$G$25,$M49))</f>
        <v/>
      </c>
      <c r="L49" s="23" t="str">
        <f aca="false">IF(OR($M49="",$F49="",$G49=""),"",IF($H49="Разминка","Разминка",IF($F49&lt;INDEX('Программа тренировок'!$E$6:$E$25,$M49),"Ниже диапазона",IF(AND($F49&gt;=INDEX('Программа тренировок'!$F$6:$F$25,$M49),$G49&gt;=INDEX('Программа тренировок'!$L$6:$L$25,$M49)),"Верх диапазона: пора добавлять вес",IF($G49&lt;INDEX('Программа тренировок'!$L$6:$L$25,$M49),"RIR ниже цели","В диапазоне")))))</f>
        <v/>
      </c>
      <c r="M49" s="23" t="str">
        <f aca="false">IF($C49="","",IFERROR(MATCH($C49,'Программа тренировок'!$C$6:$C$25,0),""))</f>
        <v/>
      </c>
    </row>
    <row r="50" customFormat="false" ht="15" hidden="false" customHeight="true" outlineLevel="0" collapsed="false">
      <c r="A50" s="20" t="n">
        <v>46206</v>
      </c>
      <c r="B50" s="21" t="s">
        <v>63</v>
      </c>
      <c r="C50" s="19" t="s">
        <v>66</v>
      </c>
      <c r="D50" s="18" t="n">
        <v>1</v>
      </c>
      <c r="E50" s="17" t="n">
        <v>40</v>
      </c>
      <c r="F50" s="18" t="n">
        <v>10</v>
      </c>
      <c r="G50" s="18"/>
      <c r="H50" s="21" t="s">
        <v>39</v>
      </c>
      <c r="I50" s="19"/>
      <c r="J50" s="8" t="n">
        <f aca="false">IF(OR(E50="",F50=""),"",E50*F50)</f>
        <v>400</v>
      </c>
      <c r="K50" s="22" t="str">
        <f aca="false">IF($M50="","",INDEX('Программа тренировок'!$G$6:$G$25,$M50))</f>
        <v/>
      </c>
      <c r="L50" s="23" t="str">
        <f aca="false">IF(OR($M50="",$F50="",$G50=""),"",IF($H50="Разминка","Разминка",IF($F50&lt;INDEX('Программа тренировок'!$E$6:$E$25,$M50),"Ниже диапазона",IF(AND($F50&gt;=INDEX('Программа тренировок'!$F$6:$F$25,$M50),$G50&gt;=INDEX('Программа тренировок'!$L$6:$L$25,$M50)),"Верх диапазона: пора добавлять вес",IF($G50&lt;INDEX('Программа тренировок'!$L$6:$L$25,$M50),"RIR ниже цели","В диапазоне")))))</f>
        <v/>
      </c>
      <c r="M50" s="23" t="str">
        <f aca="false">IF($C50="","",IFERROR(MATCH($C50,'Программа тренировок'!$C$6:$C$25,0),""))</f>
        <v/>
      </c>
    </row>
    <row r="51" customFormat="false" ht="15" hidden="false" customHeight="true" outlineLevel="0" collapsed="false">
      <c r="A51" s="20" t="n">
        <v>46206</v>
      </c>
      <c r="B51" s="21" t="s">
        <v>63</v>
      </c>
      <c r="C51" s="19" t="s">
        <v>66</v>
      </c>
      <c r="D51" s="18" t="n">
        <v>2</v>
      </c>
      <c r="E51" s="17" t="n">
        <v>40</v>
      </c>
      <c r="F51" s="18" t="n">
        <v>8</v>
      </c>
      <c r="G51" s="18"/>
      <c r="H51" s="21" t="s">
        <v>39</v>
      </c>
      <c r="I51" s="19"/>
      <c r="J51" s="8" t="n">
        <f aca="false">IF(OR(E51="",F51=""),"",E51*F51)</f>
        <v>320</v>
      </c>
      <c r="K51" s="22" t="str">
        <f aca="false">IF($M51="","",INDEX('Программа тренировок'!$G$6:$G$25,$M51))</f>
        <v/>
      </c>
      <c r="L51" s="23" t="str">
        <f aca="false">IF(OR($M51="",$F51="",$G51=""),"",IF($H51="Разминка","Разминка",IF($F51&lt;INDEX('Программа тренировок'!$E$6:$E$25,$M51),"Ниже диапазона",IF(AND($F51&gt;=INDEX('Программа тренировок'!$F$6:$F$25,$M51),$G51&gt;=INDEX('Программа тренировок'!$L$6:$L$25,$M51)),"Верх диапазона: пора добавлять вес",IF($G51&lt;INDEX('Программа тренировок'!$L$6:$L$25,$M51),"RIR ниже цели","В диапазоне")))))</f>
        <v/>
      </c>
      <c r="M51" s="23" t="str">
        <f aca="false">IF($C51="","",IFERROR(MATCH($C51,'Программа тренировок'!$C$6:$C$25,0),""))</f>
        <v/>
      </c>
    </row>
    <row r="52" customFormat="false" ht="15" hidden="false" customHeight="true" outlineLevel="0" collapsed="false">
      <c r="A52" s="20" t="n">
        <v>46206</v>
      </c>
      <c r="B52" s="21" t="s">
        <v>63</v>
      </c>
      <c r="C52" s="19" t="s">
        <v>66</v>
      </c>
      <c r="D52" s="18" t="n">
        <v>3</v>
      </c>
      <c r="E52" s="17" t="n">
        <v>40</v>
      </c>
      <c r="F52" s="18" t="n">
        <v>6</v>
      </c>
      <c r="G52" s="18"/>
      <c r="H52" s="21" t="s">
        <v>39</v>
      </c>
      <c r="I52" s="19"/>
      <c r="J52" s="8" t="n">
        <f aca="false">IF(OR(E52="",F52=""),"",E52*F52)</f>
        <v>240</v>
      </c>
      <c r="K52" s="22" t="str">
        <f aca="false">IF($M52="","",INDEX('Программа тренировок'!$G$6:$G$25,$M52))</f>
        <v/>
      </c>
      <c r="L52" s="23" t="str">
        <f aca="false">IF(OR($M52="",$F52="",$G52=""),"",IF($H52="Разминка","Разминка",IF($F52&lt;INDEX('Программа тренировок'!$E$6:$E$25,$M52),"Ниже диапазона",IF(AND($F52&gt;=INDEX('Программа тренировок'!$F$6:$F$25,$M52),$G52&gt;=INDEX('Программа тренировок'!$L$6:$L$25,$M52)),"Верх диапазона: пора добавлять вес",IF($G52&lt;INDEX('Программа тренировок'!$L$6:$L$25,$M52),"RIR ниже цели","В диапазоне")))))</f>
        <v/>
      </c>
      <c r="M52" s="23" t="str">
        <f aca="false">IF($C52="","",IFERROR(MATCH($C52,'Программа тренировок'!$C$6:$C$25,0),""))</f>
        <v/>
      </c>
    </row>
    <row r="53" customFormat="false" ht="15" hidden="false" customHeight="true" outlineLevel="0" collapsed="false">
      <c r="A53" s="20" t="n">
        <v>46206</v>
      </c>
      <c r="B53" s="21" t="s">
        <v>63</v>
      </c>
      <c r="C53" s="19" t="s">
        <v>66</v>
      </c>
      <c r="D53" s="18" t="n">
        <v>4</v>
      </c>
      <c r="E53" s="17" t="n">
        <v>40</v>
      </c>
      <c r="F53" s="18" t="n">
        <v>6</v>
      </c>
      <c r="G53" s="18"/>
      <c r="H53" s="21" t="s">
        <v>39</v>
      </c>
      <c r="I53" s="19"/>
      <c r="J53" s="8" t="n">
        <f aca="false">IF(OR(E53="",F53=""),"",E53*F53)</f>
        <v>240</v>
      </c>
      <c r="K53" s="22" t="str">
        <f aca="false">IF($M53="","",INDEX('Программа тренировок'!$G$6:$G$25,$M53))</f>
        <v/>
      </c>
      <c r="L53" s="23" t="str">
        <f aca="false">IF(OR($M53="",$F53="",$G53=""),"",IF($H53="Разминка","Разминка",IF($F53&lt;INDEX('Программа тренировок'!$E$6:$E$25,$M53),"Ниже диапазона",IF(AND($F53&gt;=INDEX('Программа тренировок'!$F$6:$F$25,$M53),$G53&gt;=INDEX('Программа тренировок'!$L$6:$L$25,$M53)),"Верх диапазона: пора добавлять вес",IF($G53&lt;INDEX('Программа тренировок'!$L$6:$L$25,$M53),"RIR ниже цели","В диапазоне")))))</f>
        <v/>
      </c>
      <c r="M53" s="23" t="str">
        <f aca="false">IF($C53="","",IFERROR(MATCH($C53,'Программа тренировок'!$C$6:$C$25,0),""))</f>
        <v/>
      </c>
    </row>
    <row r="54" customFormat="false" ht="15" hidden="false" customHeight="true" outlineLevel="0" collapsed="false">
      <c r="A54" s="20" t="n">
        <v>46206</v>
      </c>
      <c r="B54" s="21" t="s">
        <v>63</v>
      </c>
      <c r="C54" s="19" t="s">
        <v>67</v>
      </c>
      <c r="D54" s="18" t="n">
        <v>1</v>
      </c>
      <c r="E54" s="17" t="n">
        <v>12</v>
      </c>
      <c r="F54" s="18" t="n">
        <v>10</v>
      </c>
      <c r="G54" s="18"/>
      <c r="H54" s="21" t="s">
        <v>39</v>
      </c>
      <c r="I54" s="19"/>
      <c r="J54" s="8" t="n">
        <f aca="false">IF(OR(E54="",F54=""),"",E54*F54)</f>
        <v>120</v>
      </c>
      <c r="K54" s="22" t="str">
        <f aca="false">IF($M54="","",INDEX('Программа тренировок'!$G$6:$G$25,$M54))</f>
        <v/>
      </c>
      <c r="L54" s="23" t="str">
        <f aca="false">IF(OR($M54="",$F54="",$G54=""),"",IF($H54="Разминка","Разминка",IF($F54&lt;INDEX('Программа тренировок'!$E$6:$E$25,$M54),"Ниже диапазона",IF(AND($F54&gt;=INDEX('Программа тренировок'!$F$6:$F$25,$M54),$G54&gt;=INDEX('Программа тренировок'!$L$6:$L$25,$M54)),"Верх диапазона: пора добавлять вес",IF($G54&lt;INDEX('Программа тренировок'!$L$6:$L$25,$M54),"RIR ниже цели","В диапазоне")))))</f>
        <v/>
      </c>
      <c r="M54" s="23" t="str">
        <f aca="false">IF($C54="","",IFERROR(MATCH($C54,'Программа тренировок'!$C$6:$C$25,0),""))</f>
        <v/>
      </c>
    </row>
    <row r="55" customFormat="false" ht="15" hidden="false" customHeight="true" outlineLevel="0" collapsed="false">
      <c r="A55" s="20" t="n">
        <v>46206</v>
      </c>
      <c r="B55" s="21" t="s">
        <v>63</v>
      </c>
      <c r="C55" s="19" t="s">
        <v>67</v>
      </c>
      <c r="D55" s="18" t="n">
        <v>2</v>
      </c>
      <c r="E55" s="17" t="n">
        <v>12</v>
      </c>
      <c r="F55" s="18" t="n">
        <v>6</v>
      </c>
      <c r="G55" s="18"/>
      <c r="H55" s="21" t="s">
        <v>39</v>
      </c>
      <c r="I55" s="19"/>
      <c r="J55" s="8" t="n">
        <f aca="false">IF(OR(E55="",F55=""),"",E55*F55)</f>
        <v>72</v>
      </c>
      <c r="K55" s="22" t="str">
        <f aca="false">IF($M55="","",INDEX('Программа тренировок'!$G$6:$G$25,$M55))</f>
        <v/>
      </c>
      <c r="L55" s="23" t="str">
        <f aca="false">IF(OR($M55="",$F55="",$G55=""),"",IF($H55="Разминка","Разминка",IF($F55&lt;INDEX('Программа тренировок'!$E$6:$E$25,$M55),"Ниже диапазона",IF(AND($F55&gt;=INDEX('Программа тренировок'!$F$6:$F$25,$M55),$G55&gt;=INDEX('Программа тренировок'!$L$6:$L$25,$M55)),"Верх диапазона: пора добавлять вес",IF($G55&lt;INDEX('Программа тренировок'!$L$6:$L$25,$M55),"RIR ниже цели","В диапазоне")))))</f>
        <v/>
      </c>
      <c r="M55" s="23" t="str">
        <f aca="false">IF($C55="","",IFERROR(MATCH($C55,'Программа тренировок'!$C$6:$C$25,0),""))</f>
        <v/>
      </c>
    </row>
    <row r="56" customFormat="false" ht="15" hidden="false" customHeight="true" outlineLevel="0" collapsed="false">
      <c r="A56" s="20" t="n">
        <v>46206</v>
      </c>
      <c r="B56" s="21" t="s">
        <v>63</v>
      </c>
      <c r="C56" s="19" t="s">
        <v>67</v>
      </c>
      <c r="D56" s="18" t="n">
        <v>3</v>
      </c>
      <c r="E56" s="17" t="n">
        <v>10</v>
      </c>
      <c r="F56" s="18" t="n">
        <v>7</v>
      </c>
      <c r="G56" s="18"/>
      <c r="H56" s="21" t="s">
        <v>39</v>
      </c>
      <c r="I56" s="19"/>
      <c r="J56" s="8" t="n">
        <f aca="false">IF(OR(E56="",F56=""),"",E56*F56)</f>
        <v>70</v>
      </c>
      <c r="K56" s="22" t="str">
        <f aca="false">IF($M56="","",INDEX('Программа тренировок'!$G$6:$G$25,$M56))</f>
        <v/>
      </c>
      <c r="L56" s="23" t="str">
        <f aca="false">IF(OR($M56="",$F56="",$G56=""),"",IF($H56="Разминка","Разминка",IF($F56&lt;INDEX('Программа тренировок'!$E$6:$E$25,$M56),"Ниже диапазона",IF(AND($F56&gt;=INDEX('Программа тренировок'!$F$6:$F$25,$M56),$G56&gt;=INDEX('Программа тренировок'!$L$6:$L$25,$M56)),"Верх диапазона: пора добавлять вес",IF($G56&lt;INDEX('Программа тренировок'!$L$6:$L$25,$M56),"RIR ниже цели","В диапазоне")))))</f>
        <v/>
      </c>
      <c r="M56" s="23" t="str">
        <f aca="false">IF($C56="","",IFERROR(MATCH($C56,'Программа тренировок'!$C$6:$C$25,0),""))</f>
        <v/>
      </c>
    </row>
    <row r="57" customFormat="false" ht="15" hidden="false" customHeight="true" outlineLevel="0" collapsed="false">
      <c r="A57" s="20" t="n">
        <v>46206</v>
      </c>
      <c r="B57" s="21" t="s">
        <v>63</v>
      </c>
      <c r="C57" s="19" t="s">
        <v>67</v>
      </c>
      <c r="D57" s="18" t="n">
        <v>4</v>
      </c>
      <c r="E57" s="17" t="n">
        <v>10</v>
      </c>
      <c r="F57" s="18" t="n">
        <v>10</v>
      </c>
      <c r="G57" s="18"/>
      <c r="H57" s="21" t="s">
        <v>39</v>
      </c>
      <c r="I57" s="19"/>
      <c r="J57" s="8" t="n">
        <f aca="false">IF(OR(E57="",F57=""),"",E57*F57)</f>
        <v>100</v>
      </c>
      <c r="K57" s="22" t="str">
        <f aca="false">IF($M57="","",INDEX('Программа тренировок'!$G$6:$G$25,$M57))</f>
        <v/>
      </c>
      <c r="L57" s="23" t="str">
        <f aca="false">IF(OR($M57="",$F57="",$G57=""),"",IF($H57="Разминка","Разминка",IF($F57&lt;INDEX('Программа тренировок'!$E$6:$E$25,$M57),"Ниже диапазона",IF(AND($F57&gt;=INDEX('Программа тренировок'!$F$6:$F$25,$M57),$G57&gt;=INDEX('Программа тренировок'!$L$6:$L$25,$M57)),"Верх диапазона: пора добавлять вес",IF($G57&lt;INDEX('Программа тренировок'!$L$6:$L$25,$M57),"RIR ниже цели","В диапазоне")))))</f>
        <v/>
      </c>
      <c r="M57" s="23" t="str">
        <f aca="false">IF($C57="","",IFERROR(MATCH($C57,'Программа тренировок'!$C$6:$C$25,0),""))</f>
        <v/>
      </c>
    </row>
    <row r="58" customFormat="false" ht="15" hidden="false" customHeight="true" outlineLevel="0" collapsed="false">
      <c r="A58" s="20" t="n">
        <v>46206</v>
      </c>
      <c r="B58" s="21" t="s">
        <v>63</v>
      </c>
      <c r="C58" s="19" t="s">
        <v>68</v>
      </c>
      <c r="D58" s="18" t="n">
        <v>1</v>
      </c>
      <c r="E58" s="17" t="n">
        <v>15</v>
      </c>
      <c r="F58" s="18" t="n">
        <v>13</v>
      </c>
      <c r="G58" s="18"/>
      <c r="H58" s="21" t="s">
        <v>39</v>
      </c>
      <c r="I58" s="19"/>
      <c r="J58" s="8" t="n">
        <f aca="false">IF(OR(E58="",F58=""),"",E58*F58)</f>
        <v>195</v>
      </c>
      <c r="K58" s="22" t="str">
        <f aca="false">IF($M58="","",INDEX('Программа тренировок'!$G$6:$G$25,$M58))</f>
        <v/>
      </c>
      <c r="L58" s="23" t="str">
        <f aca="false">IF(OR($M58="",$F58="",$G58=""),"",IF($H58="Разминка","Разминка",IF($F58&lt;INDEX('Программа тренировок'!$E$6:$E$25,$M58),"Ниже диапазона",IF(AND($F58&gt;=INDEX('Программа тренировок'!$F$6:$F$25,$M58),$G58&gt;=INDEX('Программа тренировок'!$L$6:$L$25,$M58)),"Верх диапазона: пора добавлять вес",IF($G58&lt;INDEX('Программа тренировок'!$L$6:$L$25,$M58),"RIR ниже цели","В диапазоне")))))</f>
        <v/>
      </c>
      <c r="M58" s="23" t="str">
        <f aca="false">IF($C58="","",IFERROR(MATCH($C58,'Программа тренировок'!$C$6:$C$25,0),""))</f>
        <v/>
      </c>
    </row>
    <row r="59" customFormat="false" ht="15" hidden="false" customHeight="true" outlineLevel="0" collapsed="false">
      <c r="A59" s="20" t="n">
        <v>46206</v>
      </c>
      <c r="B59" s="21" t="s">
        <v>63</v>
      </c>
      <c r="C59" s="19" t="s">
        <v>68</v>
      </c>
      <c r="D59" s="18" t="n">
        <v>2</v>
      </c>
      <c r="E59" s="17" t="n">
        <v>15</v>
      </c>
      <c r="F59" s="18" t="n">
        <v>9</v>
      </c>
      <c r="G59" s="18"/>
      <c r="H59" s="21" t="s">
        <v>39</v>
      </c>
      <c r="I59" s="19"/>
      <c r="J59" s="8" t="n">
        <f aca="false">IF(OR(E59="",F59=""),"",E59*F59)</f>
        <v>135</v>
      </c>
      <c r="K59" s="22" t="str">
        <f aca="false">IF($M59="","",INDEX('Программа тренировок'!$G$6:$G$25,$M59))</f>
        <v/>
      </c>
      <c r="L59" s="23" t="str">
        <f aca="false">IF(OR($M59="",$F59="",$G59=""),"",IF($H59="Разминка","Разминка",IF($F59&lt;INDEX('Программа тренировок'!$E$6:$E$25,$M59),"Ниже диапазона",IF(AND($F59&gt;=INDEX('Программа тренировок'!$F$6:$F$25,$M59),$G59&gt;=INDEX('Программа тренировок'!$L$6:$L$25,$M59)),"Верх диапазона: пора добавлять вес",IF($G59&lt;INDEX('Программа тренировок'!$L$6:$L$25,$M59),"RIR ниже цели","В диапазоне")))))</f>
        <v/>
      </c>
      <c r="M59" s="23" t="str">
        <f aca="false">IF($C59="","",IFERROR(MATCH($C59,'Программа тренировок'!$C$6:$C$25,0),""))</f>
        <v/>
      </c>
    </row>
    <row r="60" customFormat="false" ht="15" hidden="false" customHeight="true" outlineLevel="0" collapsed="false">
      <c r="A60" s="20" t="n">
        <v>46206</v>
      </c>
      <c r="B60" s="21" t="s">
        <v>63</v>
      </c>
      <c r="C60" s="19" t="s">
        <v>68</v>
      </c>
      <c r="D60" s="18" t="n">
        <v>3</v>
      </c>
      <c r="E60" s="17" t="n">
        <v>15</v>
      </c>
      <c r="F60" s="18" t="n">
        <v>9</v>
      </c>
      <c r="G60" s="18"/>
      <c r="H60" s="21" t="s">
        <v>39</v>
      </c>
      <c r="I60" s="19"/>
      <c r="J60" s="8" t="n">
        <f aca="false">IF(OR(E60="",F60=""),"",E60*F60)</f>
        <v>135</v>
      </c>
      <c r="K60" s="22" t="str">
        <f aca="false">IF($M60="","",INDEX('Программа тренировок'!$G$6:$G$25,$M60))</f>
        <v/>
      </c>
      <c r="L60" s="23" t="str">
        <f aca="false">IF(OR($M60="",$F60="",$G60=""),"",IF($H60="Разминка","Разминка",IF($F60&lt;INDEX('Программа тренировок'!$E$6:$E$25,$M60),"Ниже диапазона",IF(AND($F60&gt;=INDEX('Программа тренировок'!$F$6:$F$25,$M60),$G60&gt;=INDEX('Программа тренировок'!$L$6:$L$25,$M60)),"Верх диапазона: пора добавлять вес",IF($G60&lt;INDEX('Программа тренировок'!$L$6:$L$25,$M60),"RIR ниже цели","В диапазоне")))))</f>
        <v/>
      </c>
      <c r="M60" s="23" t="str">
        <f aca="false">IF($C60="","",IFERROR(MATCH($C60,'Программа тренировок'!$C$6:$C$25,0),""))</f>
        <v/>
      </c>
    </row>
    <row r="61" customFormat="false" ht="15" hidden="false" customHeight="true" outlineLevel="0" collapsed="false">
      <c r="A61" s="20" t="n">
        <v>46206</v>
      </c>
      <c r="B61" s="21" t="s">
        <v>63</v>
      </c>
      <c r="C61" s="19" t="s">
        <v>68</v>
      </c>
      <c r="D61" s="18" t="n">
        <v>4</v>
      </c>
      <c r="E61" s="17" t="n">
        <v>15</v>
      </c>
      <c r="F61" s="18" t="n">
        <v>9</v>
      </c>
      <c r="G61" s="18"/>
      <c r="H61" s="21" t="s">
        <v>39</v>
      </c>
      <c r="I61" s="19"/>
      <c r="J61" s="8" t="n">
        <f aca="false">IF(OR(E61="",F61=""),"",E61*F61)</f>
        <v>135</v>
      </c>
      <c r="K61" s="22" t="str">
        <f aca="false">IF($M61="","",INDEX('Программа тренировок'!$G$6:$G$25,$M61))</f>
        <v/>
      </c>
      <c r="L61" s="23" t="str">
        <f aca="false">IF(OR($M61="",$F61="",$G61=""),"",IF($H61="Разминка","Разминка",IF($F61&lt;INDEX('Программа тренировок'!$E$6:$E$25,$M61),"Ниже диапазона",IF(AND($F61&gt;=INDEX('Программа тренировок'!$F$6:$F$25,$M61),$G61&gt;=INDEX('Программа тренировок'!$L$6:$L$25,$M61)),"Верх диапазона: пора добавлять вес",IF($G61&lt;INDEX('Программа тренировок'!$L$6:$L$25,$M61),"RIR ниже цели","В диапазоне")))))</f>
        <v/>
      </c>
      <c r="M61" s="23" t="str">
        <f aca="false">IF($C61="","",IFERROR(MATCH($C61,'Программа тренировок'!$C$6:$C$25,0),""))</f>
        <v/>
      </c>
    </row>
    <row r="62" customFormat="false" ht="15" hidden="false" customHeight="true" outlineLevel="0" collapsed="false">
      <c r="A62" s="20" t="n">
        <v>46219</v>
      </c>
      <c r="B62" s="21" t="s">
        <v>69</v>
      </c>
      <c r="C62" s="19" t="s">
        <v>70</v>
      </c>
      <c r="D62" s="18" t="n">
        <v>1</v>
      </c>
      <c r="E62" s="17" t="n">
        <v>12.5</v>
      </c>
      <c r="F62" s="18" t="n">
        <v>15</v>
      </c>
      <c r="G62" s="18"/>
      <c r="H62" s="21" t="s">
        <v>39</v>
      </c>
      <c r="I62" s="19"/>
      <c r="J62" s="8" t="n">
        <f aca="false">IF(OR(E62="",F62=""),"",E62*F62)</f>
        <v>187.5</v>
      </c>
      <c r="K62" s="22" t="str">
        <f aca="false">IF($M62="","",INDEX('Программа тренировок'!$G$6:$G$25,$M62))</f>
        <v/>
      </c>
      <c r="L62" s="23" t="str">
        <f aca="false">IF(OR($M62="",$F62="",$G62=""),"",IF($H62="Разминка","Разминка",IF($F62&lt;INDEX('Программа тренировок'!$E$6:$E$25,$M62),"Ниже диапазона",IF(AND($F62&gt;=INDEX('Программа тренировок'!$F$6:$F$25,$M62),$G62&gt;=INDEX('Программа тренировок'!$L$6:$L$25,$M62)),"Верх диапазона: пора добавлять вес",IF($G62&lt;INDEX('Программа тренировок'!$L$6:$L$25,$M62),"RIR ниже цели","В диапазоне")))))</f>
        <v/>
      </c>
      <c r="M62" s="23" t="str">
        <f aca="false">IF($C62="","",IFERROR(MATCH($C62,'Программа тренировок'!$C$6:$C$25,0),""))</f>
        <v/>
      </c>
    </row>
    <row r="63" customFormat="false" ht="15" hidden="false" customHeight="true" outlineLevel="0" collapsed="false">
      <c r="A63" s="20" t="n">
        <v>46219</v>
      </c>
      <c r="B63" s="21" t="s">
        <v>69</v>
      </c>
      <c r="C63" s="19" t="s">
        <v>70</v>
      </c>
      <c r="D63" s="18" t="n">
        <v>2</v>
      </c>
      <c r="E63" s="17" t="n">
        <v>15</v>
      </c>
      <c r="F63" s="18" t="n">
        <v>8</v>
      </c>
      <c r="G63" s="18"/>
      <c r="H63" s="21" t="s">
        <v>39</v>
      </c>
      <c r="I63" s="19"/>
      <c r="J63" s="8" t="n">
        <f aca="false">IF(OR(E63="",F63=""),"",E63*F63)</f>
        <v>120</v>
      </c>
      <c r="K63" s="22" t="str">
        <f aca="false">IF($M63="","",INDEX('Программа тренировок'!$G$6:$G$25,$M63))</f>
        <v/>
      </c>
      <c r="L63" s="23" t="str">
        <f aca="false">IF(OR($M63="",$F63="",$G63=""),"",IF($H63="Разминка","Разминка",IF($F63&lt;INDEX('Программа тренировок'!$E$6:$E$25,$M63),"Ниже диапазона",IF(AND($F63&gt;=INDEX('Программа тренировок'!$F$6:$F$25,$M63),$G63&gt;=INDEX('Программа тренировок'!$L$6:$L$25,$M63)),"Верх диапазона: пора добавлять вес",IF($G63&lt;INDEX('Программа тренировок'!$L$6:$L$25,$M63),"RIR ниже цели","В диапазоне")))))</f>
        <v/>
      </c>
      <c r="M63" s="23" t="str">
        <f aca="false">IF($C63="","",IFERROR(MATCH($C63,'Программа тренировок'!$C$6:$C$25,0),""))</f>
        <v/>
      </c>
    </row>
    <row r="64" customFormat="false" ht="15" hidden="false" customHeight="true" outlineLevel="0" collapsed="false">
      <c r="A64" s="20" t="n">
        <v>46219</v>
      </c>
      <c r="B64" s="21" t="s">
        <v>69</v>
      </c>
      <c r="C64" s="19" t="s">
        <v>70</v>
      </c>
      <c r="D64" s="18" t="n">
        <v>3</v>
      </c>
      <c r="E64" s="17" t="n">
        <v>15</v>
      </c>
      <c r="F64" s="18" t="n">
        <v>8</v>
      </c>
      <c r="G64" s="18"/>
      <c r="H64" s="21" t="s">
        <v>39</v>
      </c>
      <c r="I64" s="19"/>
      <c r="J64" s="8" t="n">
        <f aca="false">IF(OR(E64="",F64=""),"",E64*F64)</f>
        <v>120</v>
      </c>
      <c r="K64" s="22" t="str">
        <f aca="false">IF($M64="","",INDEX('Программа тренировок'!$G$6:$G$25,$M64))</f>
        <v/>
      </c>
      <c r="L64" s="23" t="str">
        <f aca="false">IF(OR($M64="",$F64="",$G64=""),"",IF($H64="Разминка","Разминка",IF($F64&lt;INDEX('Программа тренировок'!$E$6:$E$25,$M64),"Ниже диапазона",IF(AND($F64&gt;=INDEX('Программа тренировок'!$F$6:$F$25,$M64),$G64&gt;=INDEX('Программа тренировок'!$L$6:$L$25,$M64)),"Верх диапазона: пора добавлять вес",IF($G64&lt;INDEX('Программа тренировок'!$L$6:$L$25,$M64),"RIR ниже цели","В диапазоне")))))</f>
        <v/>
      </c>
      <c r="M64" s="23" t="str">
        <f aca="false">IF($C64="","",IFERROR(MATCH($C64,'Программа тренировок'!$C$6:$C$25,0),""))</f>
        <v/>
      </c>
    </row>
    <row r="65" customFormat="false" ht="15" hidden="false" customHeight="true" outlineLevel="0" collapsed="false">
      <c r="A65" s="20" t="n">
        <v>46219</v>
      </c>
      <c r="B65" s="21" t="s">
        <v>69</v>
      </c>
      <c r="C65" s="19" t="s">
        <v>70</v>
      </c>
      <c r="D65" s="18" t="n">
        <v>4</v>
      </c>
      <c r="E65" s="17" t="n">
        <v>15</v>
      </c>
      <c r="F65" s="18" t="n">
        <v>8</v>
      </c>
      <c r="G65" s="18"/>
      <c r="H65" s="21" t="s">
        <v>39</v>
      </c>
      <c r="I65" s="19"/>
      <c r="J65" s="8" t="n">
        <f aca="false">IF(OR(E65="",F65=""),"",E65*F65)</f>
        <v>120</v>
      </c>
      <c r="K65" s="22" t="str">
        <f aca="false">IF($M65="","",INDEX('Программа тренировок'!$G$6:$G$25,$M65))</f>
        <v/>
      </c>
      <c r="L65" s="23" t="str">
        <f aca="false">IF(OR($M65="",$F65="",$G65=""),"",IF($H65="Разминка","Разминка",IF($F65&lt;INDEX('Программа тренировок'!$E$6:$E$25,$M65),"Ниже диапазона",IF(AND($F65&gt;=INDEX('Программа тренировок'!$F$6:$F$25,$M65),$G65&gt;=INDEX('Программа тренировок'!$L$6:$L$25,$M65)),"Верх диапазона: пора добавлять вес",IF($G65&lt;INDEX('Программа тренировок'!$L$6:$L$25,$M65),"RIR ниже цели","В диапазоне")))))</f>
        <v/>
      </c>
      <c r="M65" s="23" t="str">
        <f aca="false">IF($C65="","",IFERROR(MATCH($C65,'Программа тренировок'!$C$6:$C$25,0),""))</f>
        <v/>
      </c>
    </row>
    <row r="66" customFormat="false" ht="15" hidden="false" customHeight="true" outlineLevel="0" collapsed="false">
      <c r="A66" s="20" t="n">
        <v>46219</v>
      </c>
      <c r="B66" s="21" t="s">
        <v>69</v>
      </c>
      <c r="C66" s="19" t="s">
        <v>71</v>
      </c>
      <c r="D66" s="18" t="n">
        <v>1</v>
      </c>
      <c r="E66" s="17" t="n">
        <v>15</v>
      </c>
      <c r="F66" s="18" t="n">
        <v>12</v>
      </c>
      <c r="G66" s="18"/>
      <c r="H66" s="21" t="s">
        <v>39</v>
      </c>
      <c r="I66" s="19"/>
      <c r="J66" s="8" t="n">
        <f aca="false">IF(OR(E66="",F66=""),"",E66*F66)</f>
        <v>180</v>
      </c>
      <c r="K66" s="22" t="str">
        <f aca="false">IF($M66="","",INDEX('Программа тренировок'!$G$6:$G$25,$M66))</f>
        <v/>
      </c>
      <c r="L66" s="23" t="str">
        <f aca="false">IF(OR($M66="",$F66="",$G66=""),"",IF($H66="Разминка","Разминка",IF($F66&lt;INDEX('Программа тренировок'!$E$6:$E$25,$M66),"Ниже диапазона",IF(AND($F66&gt;=INDEX('Программа тренировок'!$F$6:$F$25,$M66),$G66&gt;=INDEX('Программа тренировок'!$L$6:$L$25,$M66)),"Верх диапазона: пора добавлять вес",IF($G66&lt;INDEX('Программа тренировок'!$L$6:$L$25,$M66),"RIR ниже цели","В диапазоне")))))</f>
        <v/>
      </c>
      <c r="M66" s="23" t="str">
        <f aca="false">IF($C66="","",IFERROR(MATCH($C66,'Программа тренировок'!$C$6:$C$25,0),""))</f>
        <v/>
      </c>
    </row>
    <row r="67" customFormat="false" ht="15" hidden="false" customHeight="true" outlineLevel="0" collapsed="false">
      <c r="A67" s="20" t="n">
        <v>46219</v>
      </c>
      <c r="B67" s="21" t="s">
        <v>69</v>
      </c>
      <c r="C67" s="19" t="s">
        <v>71</v>
      </c>
      <c r="D67" s="18" t="n">
        <v>2</v>
      </c>
      <c r="E67" s="17" t="n">
        <v>15</v>
      </c>
      <c r="F67" s="18" t="n">
        <v>11</v>
      </c>
      <c r="G67" s="18"/>
      <c r="H67" s="21" t="s">
        <v>39</v>
      </c>
      <c r="I67" s="19"/>
      <c r="J67" s="8" t="n">
        <f aca="false">IF(OR(E67="",F67=""),"",E67*F67)</f>
        <v>165</v>
      </c>
      <c r="K67" s="22" t="str">
        <f aca="false">IF($M67="","",INDEX('Программа тренировок'!$G$6:$G$25,$M67))</f>
        <v/>
      </c>
      <c r="L67" s="23" t="str">
        <f aca="false">IF(OR($M67="",$F67="",$G67=""),"",IF($H67="Разминка","Разминка",IF($F67&lt;INDEX('Программа тренировок'!$E$6:$E$25,$M67),"Ниже диапазона",IF(AND($F67&gt;=INDEX('Программа тренировок'!$F$6:$F$25,$M67),$G67&gt;=INDEX('Программа тренировок'!$L$6:$L$25,$M67)),"Верх диапазона: пора добавлять вес",IF($G67&lt;INDEX('Программа тренировок'!$L$6:$L$25,$M67),"RIR ниже цели","В диапазоне")))))</f>
        <v/>
      </c>
      <c r="M67" s="23" t="str">
        <f aca="false">IF($C67="","",IFERROR(MATCH($C67,'Программа тренировок'!$C$6:$C$25,0),""))</f>
        <v/>
      </c>
    </row>
    <row r="68" customFormat="false" ht="15" hidden="false" customHeight="true" outlineLevel="0" collapsed="false">
      <c r="A68" s="20" t="n">
        <v>46219</v>
      </c>
      <c r="B68" s="21" t="s">
        <v>69</v>
      </c>
      <c r="C68" s="19" t="s">
        <v>71</v>
      </c>
      <c r="D68" s="18" t="n">
        <v>3</v>
      </c>
      <c r="E68" s="17" t="n">
        <v>15</v>
      </c>
      <c r="F68" s="18" t="n">
        <v>10</v>
      </c>
      <c r="G68" s="18"/>
      <c r="H68" s="21" t="s">
        <v>39</v>
      </c>
      <c r="I68" s="19"/>
      <c r="J68" s="8" t="n">
        <f aca="false">IF(OR(E68="",F68=""),"",E68*F68)</f>
        <v>150</v>
      </c>
      <c r="K68" s="22" t="str">
        <f aca="false">IF($M68="","",INDEX('Программа тренировок'!$G$6:$G$25,$M68))</f>
        <v/>
      </c>
      <c r="L68" s="23" t="str">
        <f aca="false">IF(OR($M68="",$F68="",$G68=""),"",IF($H68="Разминка","Разминка",IF($F68&lt;INDEX('Программа тренировок'!$E$6:$E$25,$M68),"Ниже диапазона",IF(AND($F68&gt;=INDEX('Программа тренировок'!$F$6:$F$25,$M68),$G68&gt;=INDEX('Программа тренировок'!$L$6:$L$25,$M68)),"Верх диапазона: пора добавлять вес",IF($G68&lt;INDEX('Программа тренировок'!$L$6:$L$25,$M68),"RIR ниже цели","В диапазоне")))))</f>
        <v/>
      </c>
      <c r="M68" s="23" t="str">
        <f aca="false">IF($C68="","",IFERROR(MATCH($C68,'Программа тренировок'!$C$6:$C$25,0),""))</f>
        <v/>
      </c>
    </row>
    <row r="69" customFormat="false" ht="15" hidden="false" customHeight="true" outlineLevel="0" collapsed="false">
      <c r="A69" s="20" t="n">
        <v>46219</v>
      </c>
      <c r="B69" s="21" t="s">
        <v>69</v>
      </c>
      <c r="C69" s="19" t="s">
        <v>71</v>
      </c>
      <c r="D69" s="18" t="n">
        <v>4</v>
      </c>
      <c r="E69" s="17" t="n">
        <v>15</v>
      </c>
      <c r="F69" s="18" t="n">
        <v>9</v>
      </c>
      <c r="G69" s="18"/>
      <c r="H69" s="21" t="s">
        <v>39</v>
      </c>
      <c r="I69" s="19"/>
      <c r="J69" s="8" t="n">
        <f aca="false">IF(OR(E69="",F69=""),"",E69*F69)</f>
        <v>135</v>
      </c>
      <c r="K69" s="22" t="str">
        <f aca="false">IF($M69="","",INDEX('Программа тренировок'!$G$6:$G$25,$M69))</f>
        <v/>
      </c>
      <c r="L69" s="23" t="str">
        <f aca="false">IF(OR($M69="",$F69="",$G69=""),"",IF($H69="Разминка","Разминка",IF($F69&lt;INDEX('Программа тренировок'!$E$6:$E$25,$M69),"Ниже диапазона",IF(AND($F69&gt;=INDEX('Программа тренировок'!$F$6:$F$25,$M69),$G69&gt;=INDEX('Программа тренировок'!$L$6:$L$25,$M69)),"Верх диапазона: пора добавлять вес",IF($G69&lt;INDEX('Программа тренировок'!$L$6:$L$25,$M69),"RIR ниже цели","В диапазоне")))))</f>
        <v/>
      </c>
      <c r="M69" s="23" t="str">
        <f aca="false">IF($C69="","",IFERROR(MATCH($C69,'Программа тренировок'!$C$6:$C$25,0),""))</f>
        <v/>
      </c>
    </row>
    <row r="70" customFormat="false" ht="15" hidden="false" customHeight="true" outlineLevel="0" collapsed="false">
      <c r="A70" s="20" t="n">
        <v>46219</v>
      </c>
      <c r="B70" s="21" t="s">
        <v>69</v>
      </c>
      <c r="C70" s="19" t="s">
        <v>72</v>
      </c>
      <c r="D70" s="18" t="n">
        <v>1</v>
      </c>
      <c r="E70" s="17" t="n">
        <v>15</v>
      </c>
      <c r="F70" s="18" t="n">
        <v>25</v>
      </c>
      <c r="G70" s="18"/>
      <c r="H70" s="21" t="s">
        <v>39</v>
      </c>
      <c r="I70" s="19"/>
      <c r="J70" s="8" t="n">
        <f aca="false">IF(OR(E70="",F70=""),"",E70*F70)</f>
        <v>375</v>
      </c>
      <c r="K70" s="22" t="str">
        <f aca="false">IF($M70="","",INDEX('Программа тренировок'!$G$6:$G$25,$M70))</f>
        <v/>
      </c>
      <c r="L70" s="23" t="str">
        <f aca="false">IF(OR($M70="",$F70="",$G70=""),"",IF($H70="Разминка","Разминка",IF($F70&lt;INDEX('Программа тренировок'!$E$6:$E$25,$M70),"Ниже диапазона",IF(AND($F70&gt;=INDEX('Программа тренировок'!$F$6:$F$25,$M70),$G70&gt;=INDEX('Программа тренировок'!$L$6:$L$25,$M70)),"Верх диапазона: пора добавлять вес",IF($G70&lt;INDEX('Программа тренировок'!$L$6:$L$25,$M70),"RIR ниже цели","В диапазоне")))))</f>
        <v/>
      </c>
      <c r="M70" s="23" t="str">
        <f aca="false">IF($C70="","",IFERROR(MATCH($C70,'Программа тренировок'!$C$6:$C$25,0),""))</f>
        <v/>
      </c>
    </row>
    <row r="71" customFormat="false" ht="15" hidden="false" customHeight="true" outlineLevel="0" collapsed="false">
      <c r="A71" s="20" t="n">
        <v>46219</v>
      </c>
      <c r="B71" s="21" t="s">
        <v>69</v>
      </c>
      <c r="C71" s="19" t="s">
        <v>73</v>
      </c>
      <c r="D71" s="18" t="n">
        <v>1</v>
      </c>
      <c r="E71" s="17" t="n">
        <v>20</v>
      </c>
      <c r="F71" s="18" t="n">
        <v>8</v>
      </c>
      <c r="G71" s="18"/>
      <c r="H71" s="21" t="s">
        <v>39</v>
      </c>
      <c r="I71" s="19"/>
      <c r="J71" s="8" t="n">
        <f aca="false">IF(OR(E71="",F71=""),"",E71*F71)</f>
        <v>160</v>
      </c>
      <c r="K71" s="22" t="str">
        <f aca="false">IF($M71="","",INDEX('Программа тренировок'!$G$6:$G$25,$M71))</f>
        <v/>
      </c>
      <c r="L71" s="23" t="str">
        <f aca="false">IF(OR($M71="",$F71="",$G71=""),"",IF($H71="Разминка","Разминка",IF($F71&lt;INDEX('Программа тренировок'!$E$6:$E$25,$M71),"Ниже диапазона",IF(AND($F71&gt;=INDEX('Программа тренировок'!$F$6:$F$25,$M71),$G71&gt;=INDEX('Программа тренировок'!$L$6:$L$25,$M71)),"Верх диапазона: пора добавлять вес",IF($G71&lt;INDEX('Программа тренировок'!$L$6:$L$25,$M71),"RIR ниже цели","В диапазоне")))))</f>
        <v/>
      </c>
      <c r="M71" s="23" t="str">
        <f aca="false">IF($C71="","",IFERROR(MATCH($C71,'Программа тренировок'!$C$6:$C$25,0),""))</f>
        <v/>
      </c>
    </row>
    <row r="72" customFormat="false" ht="15" hidden="false" customHeight="true" outlineLevel="0" collapsed="false">
      <c r="A72" s="20" t="n">
        <v>46219</v>
      </c>
      <c r="B72" s="21" t="s">
        <v>69</v>
      </c>
      <c r="C72" s="19" t="s">
        <v>73</v>
      </c>
      <c r="D72" s="18" t="n">
        <v>2</v>
      </c>
      <c r="E72" s="17" t="n">
        <v>20</v>
      </c>
      <c r="F72" s="18" t="n">
        <v>5</v>
      </c>
      <c r="G72" s="18"/>
      <c r="H72" s="21" t="s">
        <v>39</v>
      </c>
      <c r="I72" s="19"/>
      <c r="J72" s="8" t="n">
        <f aca="false">IF(OR(E72="",F72=""),"",E72*F72)</f>
        <v>100</v>
      </c>
      <c r="K72" s="22" t="str">
        <f aca="false">IF($M72="","",INDEX('Программа тренировок'!$G$6:$G$25,$M72))</f>
        <v/>
      </c>
      <c r="L72" s="23" t="str">
        <f aca="false">IF(OR($M72="",$F72="",$G72=""),"",IF($H72="Разминка","Разминка",IF($F72&lt;INDEX('Программа тренировок'!$E$6:$E$25,$M72),"Ниже диапазона",IF(AND($F72&gt;=INDEX('Программа тренировок'!$F$6:$F$25,$M72),$G72&gt;=INDEX('Программа тренировок'!$L$6:$L$25,$M72)),"Верх диапазона: пора добавлять вес",IF($G72&lt;INDEX('Программа тренировок'!$L$6:$L$25,$M72),"RIR ниже цели","В диапазоне")))))</f>
        <v/>
      </c>
      <c r="M72" s="23" t="str">
        <f aca="false">IF($C72="","",IFERROR(MATCH($C72,'Программа тренировок'!$C$6:$C$25,0),""))</f>
        <v/>
      </c>
    </row>
    <row r="73" customFormat="false" ht="15" hidden="false" customHeight="true" outlineLevel="0" collapsed="false">
      <c r="A73" s="20" t="n">
        <v>46219</v>
      </c>
      <c r="B73" s="21" t="s">
        <v>69</v>
      </c>
      <c r="C73" s="19" t="s">
        <v>73</v>
      </c>
      <c r="D73" s="18" t="n">
        <v>3</v>
      </c>
      <c r="E73" s="17" t="n">
        <v>15</v>
      </c>
      <c r="F73" s="18" t="n">
        <v>8</v>
      </c>
      <c r="G73" s="18"/>
      <c r="H73" s="21" t="s">
        <v>39</v>
      </c>
      <c r="I73" s="19"/>
      <c r="J73" s="8" t="n">
        <f aca="false">IF(OR(E73="",F73=""),"",E73*F73)</f>
        <v>120</v>
      </c>
      <c r="K73" s="22" t="str">
        <f aca="false">IF($M73="","",INDEX('Программа тренировок'!$G$6:$G$25,$M73))</f>
        <v/>
      </c>
      <c r="L73" s="23" t="str">
        <f aca="false">IF(OR($M73="",$F73="",$G73=""),"",IF($H73="Разминка","Разминка",IF($F73&lt;INDEX('Программа тренировок'!$E$6:$E$25,$M73),"Ниже диапазона",IF(AND($F73&gt;=INDEX('Программа тренировок'!$F$6:$F$25,$M73),$G73&gt;=INDEX('Программа тренировок'!$L$6:$L$25,$M73)),"Верх диапазона: пора добавлять вес",IF($G73&lt;INDEX('Программа тренировок'!$L$6:$L$25,$M73),"RIR ниже цели","В диапазоне")))))</f>
        <v/>
      </c>
      <c r="M73" s="23" t="str">
        <f aca="false">IF($C73="","",IFERROR(MATCH($C73,'Программа тренировок'!$C$6:$C$25,0),""))</f>
        <v/>
      </c>
    </row>
    <row r="74" customFormat="false" ht="15" hidden="false" customHeight="true" outlineLevel="0" collapsed="false">
      <c r="A74" s="20" t="n">
        <v>46219</v>
      </c>
      <c r="B74" s="21" t="s">
        <v>69</v>
      </c>
      <c r="C74" s="19" t="s">
        <v>73</v>
      </c>
      <c r="D74" s="18" t="n">
        <v>4</v>
      </c>
      <c r="E74" s="17" t="n">
        <v>15</v>
      </c>
      <c r="F74" s="18" t="n">
        <v>10</v>
      </c>
      <c r="G74" s="18"/>
      <c r="H74" s="21" t="s">
        <v>39</v>
      </c>
      <c r="I74" s="19"/>
      <c r="J74" s="8" t="n">
        <f aca="false">IF(OR(E74="",F74=""),"",E74*F74)</f>
        <v>150</v>
      </c>
      <c r="K74" s="22" t="str">
        <f aca="false">IF($M74="","",INDEX('Программа тренировок'!$G$6:$G$25,$M74))</f>
        <v/>
      </c>
      <c r="L74" s="23" t="str">
        <f aca="false">IF(OR($M74="",$F74="",$G74=""),"",IF($H74="Разминка","Разминка",IF($F74&lt;INDEX('Программа тренировок'!$E$6:$E$25,$M74),"Ниже диапазона",IF(AND($F74&gt;=INDEX('Программа тренировок'!$F$6:$F$25,$M74),$G74&gt;=INDEX('Программа тренировок'!$L$6:$L$25,$M74)),"Верх диапазона: пора добавлять вес",IF($G74&lt;INDEX('Программа тренировок'!$L$6:$L$25,$M74),"RIR ниже цели","В диапазоне")))))</f>
        <v/>
      </c>
      <c r="M74" s="23" t="str">
        <f aca="false">IF($C74="","",IFERROR(MATCH($C74,'Программа тренировок'!$C$6:$C$25,0),""))</f>
        <v/>
      </c>
    </row>
    <row r="75" customFormat="false" ht="15" hidden="false" customHeight="true" outlineLevel="0" collapsed="false">
      <c r="A75" s="20" t="n">
        <v>46219</v>
      </c>
      <c r="B75" s="21" t="s">
        <v>69</v>
      </c>
      <c r="C75" s="19" t="s">
        <v>74</v>
      </c>
      <c r="D75" s="18" t="n">
        <v>1</v>
      </c>
      <c r="E75" s="17" t="n">
        <v>10</v>
      </c>
      <c r="F75" s="18" t="n">
        <v>10</v>
      </c>
      <c r="G75" s="18"/>
      <c r="H75" s="21" t="s">
        <v>39</v>
      </c>
      <c r="I75" s="19"/>
      <c r="J75" s="8" t="n">
        <f aca="false">IF(OR(E75="",F75=""),"",E75*F75)</f>
        <v>100</v>
      </c>
      <c r="K75" s="22" t="str">
        <f aca="false">IF($M75="","",INDEX('Программа тренировок'!$G$6:$G$25,$M75))</f>
        <v/>
      </c>
      <c r="L75" s="23" t="str">
        <f aca="false">IF(OR($M75="",$F75="",$G75=""),"",IF($H75="Разминка","Разминка",IF($F75&lt;INDEX('Программа тренировок'!$E$6:$E$25,$M75),"Ниже диапазона",IF(AND($F75&gt;=INDEX('Программа тренировок'!$F$6:$F$25,$M75),$G75&gt;=INDEX('Программа тренировок'!$L$6:$L$25,$M75)),"Верх диапазона: пора добавлять вес",IF($G75&lt;INDEX('Программа тренировок'!$L$6:$L$25,$M75),"RIR ниже цели","В диапазоне")))))</f>
        <v/>
      </c>
      <c r="M75" s="23" t="str">
        <f aca="false">IF($C75="","",IFERROR(MATCH($C75,'Программа тренировок'!$C$6:$C$25,0),""))</f>
        <v/>
      </c>
    </row>
    <row r="76" customFormat="false" ht="15" hidden="false" customHeight="true" outlineLevel="0" collapsed="false">
      <c r="A76" s="20" t="n">
        <v>46219</v>
      </c>
      <c r="B76" s="21" t="s">
        <v>69</v>
      </c>
      <c r="C76" s="19" t="s">
        <v>74</v>
      </c>
      <c r="D76" s="18" t="n">
        <v>2</v>
      </c>
      <c r="E76" s="17" t="n">
        <v>10</v>
      </c>
      <c r="F76" s="18" t="n">
        <v>10</v>
      </c>
      <c r="G76" s="18"/>
      <c r="H76" s="21" t="s">
        <v>39</v>
      </c>
      <c r="I76" s="19"/>
      <c r="J76" s="8" t="n">
        <f aca="false">IF(OR(E76="",F76=""),"",E76*F76)</f>
        <v>100</v>
      </c>
      <c r="K76" s="22" t="str">
        <f aca="false">IF($M76="","",INDEX('Программа тренировок'!$G$6:$G$25,$M76))</f>
        <v/>
      </c>
      <c r="L76" s="23" t="str">
        <f aca="false">IF(OR($M76="",$F76="",$G76=""),"",IF($H76="Разминка","Разминка",IF($F76&lt;INDEX('Программа тренировок'!$E$6:$E$25,$M76),"Ниже диапазона",IF(AND($F76&gt;=INDEX('Программа тренировок'!$F$6:$F$25,$M76),$G76&gt;=INDEX('Программа тренировок'!$L$6:$L$25,$M76)),"Верх диапазона: пора добавлять вес",IF($G76&lt;INDEX('Программа тренировок'!$L$6:$L$25,$M76),"RIR ниже цели","В диапазоне")))))</f>
        <v/>
      </c>
      <c r="M76" s="23" t="str">
        <f aca="false">IF($C76="","",IFERROR(MATCH($C76,'Программа тренировок'!$C$6:$C$25,0),""))</f>
        <v/>
      </c>
    </row>
    <row r="77" customFormat="false" ht="15" hidden="false" customHeight="true" outlineLevel="0" collapsed="false">
      <c r="A77" s="20" t="n">
        <v>46219</v>
      </c>
      <c r="B77" s="21" t="s">
        <v>69</v>
      </c>
      <c r="C77" s="19" t="s">
        <v>74</v>
      </c>
      <c r="D77" s="18" t="n">
        <v>3</v>
      </c>
      <c r="E77" s="17" t="n">
        <v>10</v>
      </c>
      <c r="F77" s="18" t="n">
        <v>8</v>
      </c>
      <c r="G77" s="18"/>
      <c r="H77" s="21" t="s">
        <v>39</v>
      </c>
      <c r="I77" s="19"/>
      <c r="J77" s="8" t="n">
        <f aca="false">IF(OR(E77="",F77=""),"",E77*F77)</f>
        <v>80</v>
      </c>
      <c r="K77" s="22" t="str">
        <f aca="false">IF($M77="","",INDEX('Программа тренировок'!$G$6:$G$25,$M77))</f>
        <v/>
      </c>
      <c r="L77" s="23" t="str">
        <f aca="false">IF(OR($M77="",$F77="",$G77=""),"",IF($H77="Разминка","Разминка",IF($F77&lt;INDEX('Программа тренировок'!$E$6:$E$25,$M77),"Ниже диапазона",IF(AND($F77&gt;=INDEX('Программа тренировок'!$F$6:$F$25,$M77),$G77&gt;=INDEX('Программа тренировок'!$L$6:$L$25,$M77)),"Верх диапазона: пора добавлять вес",IF($G77&lt;INDEX('Программа тренировок'!$L$6:$L$25,$M77),"RIR ниже цели","В диапазоне")))))</f>
        <v/>
      </c>
      <c r="M77" s="23" t="str">
        <f aca="false">IF($C77="","",IFERROR(MATCH($C77,'Программа тренировок'!$C$6:$C$25,0),""))</f>
        <v/>
      </c>
    </row>
    <row r="78" customFormat="false" ht="15" hidden="false" customHeight="true" outlineLevel="0" collapsed="false">
      <c r="A78" s="20" t="n">
        <v>46219</v>
      </c>
      <c r="B78" s="21" t="s">
        <v>69</v>
      </c>
      <c r="C78" s="19" t="s">
        <v>74</v>
      </c>
      <c r="D78" s="18" t="n">
        <v>4</v>
      </c>
      <c r="E78" s="17" t="n">
        <v>10</v>
      </c>
      <c r="F78" s="18" t="n">
        <v>8</v>
      </c>
      <c r="G78" s="18"/>
      <c r="H78" s="21" t="s">
        <v>39</v>
      </c>
      <c r="I78" s="19"/>
      <c r="J78" s="8" t="n">
        <f aca="false">IF(OR(E78="",F78=""),"",E78*F78)</f>
        <v>80</v>
      </c>
      <c r="K78" s="22" t="str">
        <f aca="false">IF($M78="","",INDEX('Программа тренировок'!$G$6:$G$25,$M78))</f>
        <v/>
      </c>
      <c r="L78" s="23" t="str">
        <f aca="false">IF(OR($M78="",$F78="",$G78=""),"",IF($H78="Разминка","Разминка",IF($F78&lt;INDEX('Программа тренировок'!$E$6:$E$25,$M78),"Ниже диапазона",IF(AND($F78&gt;=INDEX('Программа тренировок'!$F$6:$F$25,$M78),$G78&gt;=INDEX('Программа тренировок'!$L$6:$L$25,$M78)),"Верх диапазона: пора добавлять вес",IF($G78&lt;INDEX('Программа тренировок'!$L$6:$L$25,$M78),"RIR ниже цели","В диапазоне")))))</f>
        <v/>
      </c>
      <c r="M78" s="23" t="str">
        <f aca="false">IF($C78="","",IFERROR(MATCH($C78,'Программа тренировок'!$C$6:$C$25,0),""))</f>
        <v/>
      </c>
    </row>
    <row r="79" customFormat="false" ht="15" hidden="false" customHeight="true" outlineLevel="0" collapsed="false">
      <c r="A79" s="20" t="n">
        <v>46223</v>
      </c>
      <c r="B79" s="21" t="s">
        <v>75</v>
      </c>
      <c r="C79" s="19" t="s">
        <v>76</v>
      </c>
      <c r="D79" s="18" t="n">
        <v>1</v>
      </c>
      <c r="E79" s="17" t="n">
        <v>12.5</v>
      </c>
      <c r="F79" s="18" t="n">
        <v>15</v>
      </c>
      <c r="G79" s="18"/>
      <c r="H79" s="21" t="s">
        <v>39</v>
      </c>
      <c r="I79" s="19"/>
      <c r="J79" s="8" t="n">
        <f aca="false">IF(OR(E79="",F79=""),"",E79*F79)</f>
        <v>187.5</v>
      </c>
      <c r="K79" s="22" t="str">
        <f aca="false">IF($M79="","",INDEX('Программа тренировок'!$G$6:$G$25,$M79))</f>
        <v/>
      </c>
      <c r="L79" s="23" t="str">
        <f aca="false">IF(OR($M79="",$F79="",$G79=""),"",IF($H79="Разминка","Разминка",IF($F79&lt;INDEX('Программа тренировок'!$E$6:$E$25,$M79),"Ниже диапазона",IF(AND($F79&gt;=INDEX('Программа тренировок'!$F$6:$F$25,$M79),$G79&gt;=INDEX('Программа тренировок'!$L$6:$L$25,$M79)),"Верх диапазона: пора добавлять вес",IF($G79&lt;INDEX('Программа тренировок'!$L$6:$L$25,$M79),"RIR ниже цели","В диапазоне")))))</f>
        <v/>
      </c>
      <c r="M79" s="23" t="str">
        <f aca="false">IF($C79="","",IFERROR(MATCH($C79,'Программа тренировок'!$C$6:$C$25,0),""))</f>
        <v/>
      </c>
    </row>
    <row r="80" customFormat="false" ht="15" hidden="false" customHeight="true" outlineLevel="0" collapsed="false">
      <c r="A80" s="20" t="n">
        <v>46223</v>
      </c>
      <c r="B80" s="21" t="s">
        <v>75</v>
      </c>
      <c r="C80" s="19" t="s">
        <v>76</v>
      </c>
      <c r="D80" s="18" t="n">
        <v>2</v>
      </c>
      <c r="E80" s="17" t="n">
        <v>12.5</v>
      </c>
      <c r="F80" s="18" t="n">
        <v>15</v>
      </c>
      <c r="G80" s="18"/>
      <c r="H80" s="21" t="s">
        <v>39</v>
      </c>
      <c r="I80" s="19"/>
      <c r="J80" s="8" t="n">
        <f aca="false">IF(OR(E80="",F80=""),"",E80*F80)</f>
        <v>187.5</v>
      </c>
      <c r="K80" s="22" t="str">
        <f aca="false">IF($M80="","",INDEX('Программа тренировок'!$G$6:$G$25,$M80))</f>
        <v/>
      </c>
      <c r="L80" s="23" t="str">
        <f aca="false">IF(OR($M80="",$F80="",$G80=""),"",IF($H80="Разминка","Разминка",IF($F80&lt;INDEX('Программа тренировок'!$E$6:$E$25,$M80),"Ниже диапазона",IF(AND($F80&gt;=INDEX('Программа тренировок'!$F$6:$F$25,$M80),$G80&gt;=INDEX('Программа тренировок'!$L$6:$L$25,$M80)),"Верх диапазона: пора добавлять вес",IF($G80&lt;INDEX('Программа тренировок'!$L$6:$L$25,$M80),"RIR ниже цели","В диапазоне")))))</f>
        <v/>
      </c>
      <c r="M80" s="23" t="str">
        <f aca="false">IF($C80="","",IFERROR(MATCH($C80,'Программа тренировок'!$C$6:$C$25,0),""))</f>
        <v/>
      </c>
    </row>
    <row r="81" customFormat="false" ht="15" hidden="false" customHeight="true" outlineLevel="0" collapsed="false">
      <c r="A81" s="20" t="n">
        <v>46223</v>
      </c>
      <c r="B81" s="21" t="s">
        <v>75</v>
      </c>
      <c r="C81" s="19" t="s">
        <v>76</v>
      </c>
      <c r="D81" s="18" t="n">
        <v>3</v>
      </c>
      <c r="E81" s="17" t="n">
        <v>12.5</v>
      </c>
      <c r="F81" s="18" t="n">
        <v>8</v>
      </c>
      <c r="G81" s="18"/>
      <c r="H81" s="21" t="s">
        <v>39</v>
      </c>
      <c r="I81" s="19"/>
      <c r="J81" s="8" t="n">
        <f aca="false">IF(OR(E81="",F81=""),"",E81*F81)</f>
        <v>100</v>
      </c>
      <c r="K81" s="22" t="str">
        <f aca="false">IF($M81="","",INDEX('Программа тренировок'!$G$6:$G$25,$M81))</f>
        <v/>
      </c>
      <c r="L81" s="23" t="str">
        <f aca="false">IF(OR($M81="",$F81="",$G81=""),"",IF($H81="Разминка","Разминка",IF($F81&lt;INDEX('Программа тренировок'!$E$6:$E$25,$M81),"Ниже диапазона",IF(AND($F81&gt;=INDEX('Программа тренировок'!$F$6:$F$25,$M81),$G81&gt;=INDEX('Программа тренировок'!$L$6:$L$25,$M81)),"Верх диапазона: пора добавлять вес",IF($G81&lt;INDEX('Программа тренировок'!$L$6:$L$25,$M81),"RIR ниже цели","В диапазоне")))))</f>
        <v/>
      </c>
      <c r="M81" s="23" t="str">
        <f aca="false">IF($C81="","",IFERROR(MATCH($C81,'Программа тренировок'!$C$6:$C$25,0),""))</f>
        <v/>
      </c>
    </row>
    <row r="82" customFormat="false" ht="15" hidden="false" customHeight="true" outlineLevel="0" collapsed="false">
      <c r="A82" s="20" t="n">
        <v>46223</v>
      </c>
      <c r="B82" s="21" t="s">
        <v>75</v>
      </c>
      <c r="C82" s="19" t="s">
        <v>76</v>
      </c>
      <c r="D82" s="18" t="n">
        <v>4</v>
      </c>
      <c r="E82" s="17" t="n">
        <v>10</v>
      </c>
      <c r="F82" s="18" t="n">
        <v>12</v>
      </c>
      <c r="G82" s="18"/>
      <c r="H82" s="21" t="s">
        <v>39</v>
      </c>
      <c r="I82" s="19"/>
      <c r="J82" s="8" t="n">
        <f aca="false">IF(OR(E82="",F82=""),"",E82*F82)</f>
        <v>120</v>
      </c>
      <c r="K82" s="22" t="str">
        <f aca="false">IF($M82="","",INDEX('Программа тренировок'!$G$6:$G$25,$M82))</f>
        <v/>
      </c>
      <c r="L82" s="23" t="str">
        <f aca="false">IF(OR($M82="",$F82="",$G82=""),"",IF($H82="Разминка","Разминка",IF($F82&lt;INDEX('Программа тренировок'!$E$6:$E$25,$M82),"Ниже диапазона",IF(AND($F82&gt;=INDEX('Программа тренировок'!$F$6:$F$25,$M82),$G82&gt;=INDEX('Программа тренировок'!$L$6:$L$25,$M82)),"Верх диапазона: пора добавлять вес",IF($G82&lt;INDEX('Программа тренировок'!$L$6:$L$25,$M82),"RIR ниже цели","В диапазоне")))))</f>
        <v/>
      </c>
      <c r="M82" s="23" t="str">
        <f aca="false">IF($C82="","",IFERROR(MATCH($C82,'Программа тренировок'!$C$6:$C$25,0),""))</f>
        <v/>
      </c>
    </row>
    <row r="83" customFormat="false" ht="15" hidden="false" customHeight="true" outlineLevel="0" collapsed="false">
      <c r="A83" s="20" t="n">
        <v>46223</v>
      </c>
      <c r="B83" s="21" t="s">
        <v>75</v>
      </c>
      <c r="C83" s="19" t="s">
        <v>77</v>
      </c>
      <c r="D83" s="18" t="n">
        <v>1</v>
      </c>
      <c r="E83" s="17" t="n">
        <v>25</v>
      </c>
      <c r="F83" s="18" t="n">
        <v>8</v>
      </c>
      <c r="G83" s="18"/>
      <c r="H83" s="21" t="s">
        <v>39</v>
      </c>
      <c r="I83" s="19"/>
      <c r="J83" s="8" t="n">
        <f aca="false">IF(OR(E83="",F83=""),"",E83*F83)</f>
        <v>200</v>
      </c>
      <c r="K83" s="22" t="str">
        <f aca="false">IF($M83="","",INDEX('Программа тренировок'!$G$6:$G$25,$M83))</f>
        <v/>
      </c>
      <c r="L83" s="23" t="str">
        <f aca="false">IF(OR($M83="",$F83="",$G83=""),"",IF($H83="Разминка","Разминка",IF($F83&lt;INDEX('Программа тренировок'!$E$6:$E$25,$M83),"Ниже диапазона",IF(AND($F83&gt;=INDEX('Программа тренировок'!$F$6:$F$25,$M83),$G83&gt;=INDEX('Программа тренировок'!$L$6:$L$25,$M83)),"Верх диапазона: пора добавлять вес",IF($G83&lt;INDEX('Программа тренировок'!$L$6:$L$25,$M83),"RIR ниже цели","В диапазоне")))))</f>
        <v/>
      </c>
      <c r="M83" s="23" t="str">
        <f aca="false">IF($C83="","",IFERROR(MATCH($C83,'Программа тренировок'!$C$6:$C$25,0),""))</f>
        <v/>
      </c>
    </row>
    <row r="84" customFormat="false" ht="15" hidden="false" customHeight="true" outlineLevel="0" collapsed="false">
      <c r="A84" s="20" t="n">
        <v>46223</v>
      </c>
      <c r="B84" s="21" t="s">
        <v>75</v>
      </c>
      <c r="C84" s="19" t="s">
        <v>77</v>
      </c>
      <c r="D84" s="18" t="n">
        <v>2</v>
      </c>
      <c r="E84" s="17" t="n">
        <v>25</v>
      </c>
      <c r="F84" s="18" t="n">
        <v>8</v>
      </c>
      <c r="G84" s="18"/>
      <c r="H84" s="21" t="s">
        <v>39</v>
      </c>
      <c r="I84" s="19"/>
      <c r="J84" s="8" t="n">
        <f aca="false">IF(OR(E84="",F84=""),"",E84*F84)</f>
        <v>200</v>
      </c>
      <c r="K84" s="22" t="str">
        <f aca="false">IF($M84="","",INDEX('Программа тренировок'!$G$6:$G$25,$M84))</f>
        <v/>
      </c>
      <c r="L84" s="23" t="str">
        <f aca="false">IF(OR($M84="",$F84="",$G84=""),"",IF($H84="Разминка","Разминка",IF($F84&lt;INDEX('Программа тренировок'!$E$6:$E$25,$M84),"Ниже диапазона",IF(AND($F84&gt;=INDEX('Программа тренировок'!$F$6:$F$25,$M84),$G84&gt;=INDEX('Программа тренировок'!$L$6:$L$25,$M84)),"Верх диапазона: пора добавлять вес",IF($G84&lt;INDEX('Программа тренировок'!$L$6:$L$25,$M84),"RIR ниже цели","В диапазоне")))))</f>
        <v/>
      </c>
      <c r="M84" s="23" t="str">
        <f aca="false">IF($C84="","",IFERROR(MATCH($C84,'Программа тренировок'!$C$6:$C$25,0),""))</f>
        <v/>
      </c>
    </row>
    <row r="85" customFormat="false" ht="15" hidden="false" customHeight="true" outlineLevel="0" collapsed="false">
      <c r="A85" s="20" t="n">
        <v>46223</v>
      </c>
      <c r="B85" s="21" t="s">
        <v>75</v>
      </c>
      <c r="C85" s="19" t="s">
        <v>77</v>
      </c>
      <c r="D85" s="18" t="n">
        <v>3</v>
      </c>
      <c r="E85" s="17" t="n">
        <v>25</v>
      </c>
      <c r="F85" s="18" t="n">
        <v>12</v>
      </c>
      <c r="G85" s="18"/>
      <c r="H85" s="21" t="s">
        <v>39</v>
      </c>
      <c r="I85" s="19"/>
      <c r="J85" s="8" t="n">
        <f aca="false">IF(OR(E85="",F85=""),"",E85*F85)</f>
        <v>300</v>
      </c>
      <c r="K85" s="22" t="str">
        <f aca="false">IF($M85="","",INDEX('Программа тренировок'!$G$6:$G$25,$M85))</f>
        <v/>
      </c>
      <c r="L85" s="23" t="str">
        <f aca="false">IF(OR($M85="",$F85="",$G85=""),"",IF($H85="Разминка","Разминка",IF($F85&lt;INDEX('Программа тренировок'!$E$6:$E$25,$M85),"Ниже диапазона",IF(AND($F85&gt;=INDEX('Программа тренировок'!$F$6:$F$25,$M85),$G85&gt;=INDEX('Программа тренировок'!$L$6:$L$25,$M85)),"Верх диапазона: пора добавлять вес",IF($G85&lt;INDEX('Программа тренировок'!$L$6:$L$25,$M85),"RIR ниже цели","В диапазоне")))))</f>
        <v/>
      </c>
      <c r="M85" s="23" t="str">
        <f aca="false">IF($C85="","",IFERROR(MATCH($C85,'Программа тренировок'!$C$6:$C$25,0),""))</f>
        <v/>
      </c>
    </row>
    <row r="86" customFormat="false" ht="15" hidden="false" customHeight="true" outlineLevel="0" collapsed="false">
      <c r="A86" s="20" t="n">
        <v>46223</v>
      </c>
      <c r="B86" s="21" t="s">
        <v>75</v>
      </c>
      <c r="C86" s="19" t="s">
        <v>77</v>
      </c>
      <c r="D86" s="18" t="n">
        <v>4</v>
      </c>
      <c r="E86" s="17" t="n">
        <v>25</v>
      </c>
      <c r="F86" s="18" t="n">
        <v>8</v>
      </c>
      <c r="G86" s="18"/>
      <c r="H86" s="21" t="s">
        <v>39</v>
      </c>
      <c r="I86" s="19"/>
      <c r="J86" s="8" t="n">
        <f aca="false">IF(OR(E86="",F86=""),"",E86*F86)</f>
        <v>200</v>
      </c>
      <c r="K86" s="22" t="str">
        <f aca="false">IF($M86="","",INDEX('Программа тренировок'!$G$6:$G$25,$M86))</f>
        <v/>
      </c>
      <c r="L86" s="23" t="str">
        <f aca="false">IF(OR($M86="",$F86="",$G86=""),"",IF($H86="Разминка","Разминка",IF($F86&lt;INDEX('Программа тренировок'!$E$6:$E$25,$M86),"Ниже диапазона",IF(AND($F86&gt;=INDEX('Программа тренировок'!$F$6:$F$25,$M86),$G86&gt;=INDEX('Программа тренировок'!$L$6:$L$25,$M86)),"Верх диапазона: пора добавлять вес",IF($G86&lt;INDEX('Программа тренировок'!$L$6:$L$25,$M86),"RIR ниже цели","В диапазоне")))))</f>
        <v/>
      </c>
      <c r="M86" s="23" t="str">
        <f aca="false">IF($C86="","",IFERROR(MATCH($C86,'Программа тренировок'!$C$6:$C$25,0),""))</f>
        <v/>
      </c>
    </row>
    <row r="87" customFormat="false" ht="15" hidden="false" customHeight="true" outlineLevel="0" collapsed="false">
      <c r="A87" s="20" t="n">
        <v>46223</v>
      </c>
      <c r="B87" s="21" t="s">
        <v>75</v>
      </c>
      <c r="C87" s="19" t="s">
        <v>78</v>
      </c>
      <c r="D87" s="18" t="n">
        <v>1</v>
      </c>
      <c r="E87" s="17" t="n">
        <v>10</v>
      </c>
      <c r="F87" s="18" t="n">
        <v>8</v>
      </c>
      <c r="G87" s="18"/>
      <c r="H87" s="21" t="s">
        <v>39</v>
      </c>
      <c r="I87" s="19"/>
      <c r="J87" s="8" t="n">
        <f aca="false">IF(OR(E87="",F87=""),"",E87*F87)</f>
        <v>80</v>
      </c>
      <c r="K87" s="22" t="str">
        <f aca="false">IF($M87="","",INDEX('Программа тренировок'!$G$6:$G$25,$M87))</f>
        <v/>
      </c>
      <c r="L87" s="23" t="str">
        <f aca="false">IF(OR($M87="",$F87="",$G87=""),"",IF($H87="Разминка","Разминка",IF($F87&lt;INDEX('Программа тренировок'!$E$6:$E$25,$M87),"Ниже диапазона",IF(AND($F87&gt;=INDEX('Программа тренировок'!$F$6:$F$25,$M87),$G87&gt;=INDEX('Программа тренировок'!$L$6:$L$25,$M87)),"Верх диапазона: пора добавлять вес",IF($G87&lt;INDEX('Программа тренировок'!$L$6:$L$25,$M87),"RIR ниже цели","В диапазоне")))))</f>
        <v/>
      </c>
      <c r="M87" s="23" t="str">
        <f aca="false">IF($C87="","",IFERROR(MATCH($C87,'Программа тренировок'!$C$6:$C$25,0),""))</f>
        <v/>
      </c>
    </row>
    <row r="88" customFormat="false" ht="15" hidden="false" customHeight="true" outlineLevel="0" collapsed="false">
      <c r="A88" s="20" t="n">
        <v>46223</v>
      </c>
      <c r="B88" s="21" t="s">
        <v>75</v>
      </c>
      <c r="C88" s="19" t="s">
        <v>78</v>
      </c>
      <c r="D88" s="18" t="n">
        <v>2</v>
      </c>
      <c r="E88" s="17" t="n">
        <v>16</v>
      </c>
      <c r="F88" s="18" t="n">
        <v>16</v>
      </c>
      <c r="G88" s="18"/>
      <c r="H88" s="21" t="s">
        <v>39</v>
      </c>
      <c r="I88" s="19"/>
      <c r="J88" s="8" t="n">
        <f aca="false">IF(OR(E88="",F88=""),"",E88*F88)</f>
        <v>256</v>
      </c>
      <c r="K88" s="22" t="str">
        <f aca="false">IF($M88="","",INDEX('Программа тренировок'!$G$6:$G$25,$M88))</f>
        <v/>
      </c>
      <c r="L88" s="23" t="str">
        <f aca="false">IF(OR($M88="",$F88="",$G88=""),"",IF($H88="Разминка","Разминка",IF($F88&lt;INDEX('Программа тренировок'!$E$6:$E$25,$M88),"Ниже диапазона",IF(AND($F88&gt;=INDEX('Программа тренировок'!$F$6:$F$25,$M88),$G88&gt;=INDEX('Программа тренировок'!$L$6:$L$25,$M88)),"Верх диапазона: пора добавлять вес",IF($G88&lt;INDEX('Программа тренировок'!$L$6:$L$25,$M88),"RIR ниже цели","В диапазоне")))))</f>
        <v/>
      </c>
      <c r="M88" s="23" t="str">
        <f aca="false">IF($C88="","",IFERROR(MATCH($C88,'Программа тренировок'!$C$6:$C$25,0),""))</f>
        <v/>
      </c>
    </row>
    <row r="89" customFormat="false" ht="15" hidden="false" customHeight="true" outlineLevel="0" collapsed="false">
      <c r="A89" s="20" t="n">
        <v>46223</v>
      </c>
      <c r="B89" s="21" t="s">
        <v>75</v>
      </c>
      <c r="C89" s="19" t="s">
        <v>78</v>
      </c>
      <c r="D89" s="18" t="n">
        <v>3</v>
      </c>
      <c r="E89" s="17" t="n">
        <v>20</v>
      </c>
      <c r="F89" s="18" t="n">
        <v>12</v>
      </c>
      <c r="G89" s="18"/>
      <c r="H89" s="21" t="s">
        <v>39</v>
      </c>
      <c r="I89" s="19"/>
      <c r="J89" s="8" t="n">
        <f aca="false">IF(OR(E89="",F89=""),"",E89*F89)</f>
        <v>240</v>
      </c>
      <c r="K89" s="22" t="str">
        <f aca="false">IF($M89="","",INDEX('Программа тренировок'!$G$6:$G$25,$M89))</f>
        <v/>
      </c>
      <c r="L89" s="23" t="str">
        <f aca="false">IF(OR($M89="",$F89="",$G89=""),"",IF($H89="Разминка","Разминка",IF($F89&lt;INDEX('Программа тренировок'!$E$6:$E$25,$M89),"Ниже диапазона",IF(AND($F89&gt;=INDEX('Программа тренировок'!$F$6:$F$25,$M89),$G89&gt;=INDEX('Программа тренировок'!$L$6:$L$25,$M89)),"Верх диапазона: пора добавлять вес",IF($G89&lt;INDEX('Программа тренировок'!$L$6:$L$25,$M89),"RIR ниже цели","В диапазоне")))))</f>
        <v/>
      </c>
      <c r="M89" s="23" t="str">
        <f aca="false">IF($C89="","",IFERROR(MATCH($C89,'Программа тренировок'!$C$6:$C$25,0),""))</f>
        <v/>
      </c>
    </row>
    <row r="90" customFormat="false" ht="15" hidden="false" customHeight="true" outlineLevel="0" collapsed="false">
      <c r="A90" s="20" t="n">
        <v>46223</v>
      </c>
      <c r="B90" s="21" t="s">
        <v>75</v>
      </c>
      <c r="C90" s="19" t="s">
        <v>78</v>
      </c>
      <c r="D90" s="18" t="n">
        <v>4</v>
      </c>
      <c r="E90" s="17" t="n">
        <v>20</v>
      </c>
      <c r="F90" s="18" t="n">
        <v>11</v>
      </c>
      <c r="G90" s="18"/>
      <c r="H90" s="21" t="s">
        <v>39</v>
      </c>
      <c r="I90" s="19"/>
      <c r="J90" s="8" t="n">
        <f aca="false">IF(OR(E90="",F90=""),"",E90*F90)</f>
        <v>220</v>
      </c>
      <c r="K90" s="22" t="str">
        <f aca="false">IF($M90="","",INDEX('Программа тренировок'!$G$6:$G$25,$M90))</f>
        <v/>
      </c>
      <c r="L90" s="23" t="str">
        <f aca="false">IF(OR($M90="",$F90="",$G90=""),"",IF($H90="Разминка","Разминка",IF($F90&lt;INDEX('Программа тренировок'!$E$6:$E$25,$M90),"Ниже диапазона",IF(AND($F90&gt;=INDEX('Программа тренировок'!$F$6:$F$25,$M90),$G90&gt;=INDEX('Программа тренировок'!$L$6:$L$25,$M90)),"Верх диапазона: пора добавлять вес",IF($G90&lt;INDEX('Программа тренировок'!$L$6:$L$25,$M90),"RIR ниже цели","В диапазоне")))))</f>
        <v/>
      </c>
      <c r="M90" s="23" t="str">
        <f aca="false">IF($C90="","",IFERROR(MATCH($C90,'Программа тренировок'!$C$6:$C$25,0),""))</f>
        <v/>
      </c>
    </row>
    <row r="91" customFormat="false" ht="15" hidden="false" customHeight="true" outlineLevel="0" collapsed="false">
      <c r="A91" s="20" t="n">
        <v>46223</v>
      </c>
      <c r="B91" s="21" t="s">
        <v>75</v>
      </c>
      <c r="C91" s="19" t="s">
        <v>79</v>
      </c>
      <c r="D91" s="18" t="n">
        <v>1</v>
      </c>
      <c r="E91" s="17" t="n">
        <v>30</v>
      </c>
      <c r="F91" s="18" t="n">
        <v>15</v>
      </c>
      <c r="G91" s="18"/>
      <c r="H91" s="21" t="s">
        <v>39</v>
      </c>
      <c r="I91" s="19"/>
      <c r="J91" s="8" t="n">
        <f aca="false">IF(OR(E91="",F91=""),"",E91*F91)</f>
        <v>450</v>
      </c>
      <c r="K91" s="22" t="str">
        <f aca="false">IF($M91="","",INDEX('Программа тренировок'!$G$6:$G$25,$M91))</f>
        <v/>
      </c>
      <c r="L91" s="23" t="str">
        <f aca="false">IF(OR($M91="",$F91="",$G91=""),"",IF($H91="Разминка","Разминка",IF($F91&lt;INDEX('Программа тренировок'!$E$6:$E$25,$M91),"Ниже диапазона",IF(AND($F91&gt;=INDEX('Программа тренировок'!$F$6:$F$25,$M91),$G91&gt;=INDEX('Программа тренировок'!$L$6:$L$25,$M91)),"Верх диапазона: пора добавлять вес",IF($G91&lt;INDEX('Программа тренировок'!$L$6:$L$25,$M91),"RIR ниже цели","В диапазоне")))))</f>
        <v/>
      </c>
      <c r="M91" s="23" t="str">
        <f aca="false">IF($C91="","",IFERROR(MATCH($C91,'Программа тренировок'!$C$6:$C$25,0),""))</f>
        <v/>
      </c>
    </row>
    <row r="92" customFormat="false" ht="15" hidden="false" customHeight="true" outlineLevel="0" collapsed="false">
      <c r="A92" s="20" t="n">
        <v>46223</v>
      </c>
      <c r="B92" s="21" t="s">
        <v>75</v>
      </c>
      <c r="C92" s="19" t="s">
        <v>79</v>
      </c>
      <c r="D92" s="18" t="n">
        <v>2</v>
      </c>
      <c r="E92" s="17" t="n">
        <v>35</v>
      </c>
      <c r="F92" s="18" t="n">
        <v>10</v>
      </c>
      <c r="G92" s="18"/>
      <c r="H92" s="21" t="s">
        <v>39</v>
      </c>
      <c r="I92" s="19"/>
      <c r="J92" s="8" t="n">
        <f aca="false">IF(OR(E92="",F92=""),"",E92*F92)</f>
        <v>350</v>
      </c>
      <c r="K92" s="22" t="str">
        <f aca="false">IF($M92="","",INDEX('Программа тренировок'!$G$6:$G$25,$M92))</f>
        <v/>
      </c>
      <c r="L92" s="23" t="str">
        <f aca="false">IF(OR($M92="",$F92="",$G92=""),"",IF($H92="Разминка","Разминка",IF($F92&lt;INDEX('Программа тренировок'!$E$6:$E$25,$M92),"Ниже диапазона",IF(AND($F92&gt;=INDEX('Программа тренировок'!$F$6:$F$25,$M92),$G92&gt;=INDEX('Программа тренировок'!$L$6:$L$25,$M92)),"Верх диапазона: пора добавлять вес",IF($G92&lt;INDEX('Программа тренировок'!$L$6:$L$25,$M92),"RIR ниже цели","В диапазоне")))))</f>
        <v/>
      </c>
      <c r="M92" s="23" t="str">
        <f aca="false">IF($C92="","",IFERROR(MATCH($C92,'Программа тренировок'!$C$6:$C$25,0),""))</f>
        <v/>
      </c>
    </row>
    <row r="93" customFormat="false" ht="15" hidden="false" customHeight="true" outlineLevel="0" collapsed="false">
      <c r="A93" s="20" t="n">
        <v>46223</v>
      </c>
      <c r="B93" s="21" t="s">
        <v>75</v>
      </c>
      <c r="C93" s="19" t="s">
        <v>79</v>
      </c>
      <c r="D93" s="18" t="n">
        <v>3</v>
      </c>
      <c r="E93" s="17" t="n">
        <v>35</v>
      </c>
      <c r="F93" s="18" t="n">
        <v>9</v>
      </c>
      <c r="G93" s="18"/>
      <c r="H93" s="21" t="s">
        <v>39</v>
      </c>
      <c r="I93" s="19"/>
      <c r="J93" s="8" t="n">
        <f aca="false">IF(OR(E93="",F93=""),"",E93*F93)</f>
        <v>315</v>
      </c>
      <c r="K93" s="22" t="str">
        <f aca="false">IF($M93="","",INDEX('Программа тренировок'!$G$6:$G$25,$M93))</f>
        <v/>
      </c>
      <c r="L93" s="23" t="str">
        <f aca="false">IF(OR($M93="",$F93="",$G93=""),"",IF($H93="Разминка","Разминка",IF($F93&lt;INDEX('Программа тренировок'!$E$6:$E$25,$M93),"Ниже диапазона",IF(AND($F93&gt;=INDEX('Программа тренировок'!$F$6:$F$25,$M93),$G93&gt;=INDEX('Программа тренировок'!$L$6:$L$25,$M93)),"Верх диапазона: пора добавлять вес",IF($G93&lt;INDEX('Программа тренировок'!$L$6:$L$25,$M93),"RIR ниже цели","В диапазоне")))))</f>
        <v/>
      </c>
      <c r="M93" s="23" t="str">
        <f aca="false">IF($C93="","",IFERROR(MATCH($C93,'Программа тренировок'!$C$6:$C$25,0),""))</f>
        <v/>
      </c>
    </row>
    <row r="94" customFormat="false" ht="15" hidden="false" customHeight="true" outlineLevel="0" collapsed="false">
      <c r="A94" s="20" t="n">
        <v>46223</v>
      </c>
      <c r="B94" s="21" t="s">
        <v>75</v>
      </c>
      <c r="C94" s="19" t="s">
        <v>79</v>
      </c>
      <c r="D94" s="18" t="n">
        <v>4</v>
      </c>
      <c r="E94" s="17" t="n">
        <v>35</v>
      </c>
      <c r="F94" s="18" t="n">
        <v>10</v>
      </c>
      <c r="G94" s="18"/>
      <c r="H94" s="21" t="s">
        <v>39</v>
      </c>
      <c r="I94" s="19"/>
      <c r="J94" s="8" t="n">
        <f aca="false">IF(OR(E94="",F94=""),"",E94*F94)</f>
        <v>350</v>
      </c>
      <c r="K94" s="22" t="str">
        <f aca="false">IF($M94="","",INDEX('Программа тренировок'!$G$6:$G$25,$M94))</f>
        <v/>
      </c>
      <c r="L94" s="23" t="str">
        <f aca="false">IF(OR($M94="",$F94="",$G94=""),"",IF($H94="Разминка","Разминка",IF($F94&lt;INDEX('Программа тренировок'!$E$6:$E$25,$M94),"Ниже диапазона",IF(AND($F94&gt;=INDEX('Программа тренировок'!$F$6:$F$25,$M94),$G94&gt;=INDEX('Программа тренировок'!$L$6:$L$25,$M94)),"Верх диапазона: пора добавлять вес",IF($G94&lt;INDEX('Программа тренировок'!$L$6:$L$25,$M94),"RIR ниже цели","В диапазоне")))))</f>
        <v/>
      </c>
      <c r="M94" s="23" t="str">
        <f aca="false">IF($C94="","",IFERROR(MATCH($C94,'Программа тренировок'!$C$6:$C$25,0),""))</f>
        <v/>
      </c>
    </row>
    <row r="95" customFormat="false" ht="15" hidden="false" customHeight="true" outlineLevel="0" collapsed="false">
      <c r="A95" s="20" t="n">
        <v>46223</v>
      </c>
      <c r="B95" s="21" t="s">
        <v>75</v>
      </c>
      <c r="C95" s="19" t="s">
        <v>80</v>
      </c>
      <c r="D95" s="18" t="n">
        <v>1</v>
      </c>
      <c r="E95" s="17" t="n">
        <v>10</v>
      </c>
      <c r="F95" s="18" t="n">
        <v>9</v>
      </c>
      <c r="G95" s="18"/>
      <c r="H95" s="21" t="s">
        <v>39</v>
      </c>
      <c r="I95" s="19"/>
      <c r="J95" s="8" t="n">
        <f aca="false">IF(OR(E95="",F95=""),"",E95*F95)</f>
        <v>90</v>
      </c>
      <c r="K95" s="22" t="str">
        <f aca="false">IF($M95="","",INDEX('Программа тренировок'!$G$6:$G$25,$M95))</f>
        <v/>
      </c>
      <c r="L95" s="23" t="str">
        <f aca="false">IF(OR($M95="",$F95="",$G95=""),"",IF($H95="Разминка","Разминка",IF($F95&lt;INDEX('Программа тренировок'!$E$6:$E$25,$M95),"Ниже диапазона",IF(AND($F95&gt;=INDEX('Программа тренировок'!$F$6:$F$25,$M95),$G95&gt;=INDEX('Программа тренировок'!$L$6:$L$25,$M95)),"Верх диапазона: пора добавлять вес",IF($G95&lt;INDEX('Программа тренировок'!$L$6:$L$25,$M95),"RIR ниже цели","В диапазоне")))))</f>
        <v/>
      </c>
      <c r="M95" s="23" t="str">
        <f aca="false">IF($C95="","",IFERROR(MATCH($C95,'Программа тренировок'!$C$6:$C$25,0),""))</f>
        <v/>
      </c>
    </row>
    <row r="96" customFormat="false" ht="15" hidden="false" customHeight="true" outlineLevel="0" collapsed="false">
      <c r="A96" s="20" t="n">
        <v>46223</v>
      </c>
      <c r="B96" s="21" t="s">
        <v>75</v>
      </c>
      <c r="C96" s="19" t="s">
        <v>80</v>
      </c>
      <c r="D96" s="18" t="n">
        <v>2</v>
      </c>
      <c r="E96" s="17" t="n">
        <v>10</v>
      </c>
      <c r="F96" s="18" t="n">
        <v>5</v>
      </c>
      <c r="G96" s="18"/>
      <c r="H96" s="21" t="s">
        <v>39</v>
      </c>
      <c r="I96" s="19"/>
      <c r="J96" s="8" t="n">
        <f aca="false">IF(OR(E96="",F96=""),"",E96*F96)</f>
        <v>50</v>
      </c>
      <c r="K96" s="22" t="str">
        <f aca="false">IF($M96="","",INDEX('Программа тренировок'!$G$6:$G$25,$M96))</f>
        <v/>
      </c>
      <c r="L96" s="23" t="str">
        <f aca="false">IF(OR($M96="",$F96="",$G96=""),"",IF($H96="Разминка","Разминка",IF($F96&lt;INDEX('Программа тренировок'!$E$6:$E$25,$M96),"Ниже диапазона",IF(AND($F96&gt;=INDEX('Программа тренировок'!$F$6:$F$25,$M96),$G96&gt;=INDEX('Программа тренировок'!$L$6:$L$25,$M96)),"Верх диапазона: пора добавлять вес",IF($G96&lt;INDEX('Программа тренировок'!$L$6:$L$25,$M96),"RIR ниже цели","В диапазоне")))))</f>
        <v/>
      </c>
      <c r="M96" s="23" t="str">
        <f aca="false">IF($C96="","",IFERROR(MATCH($C96,'Программа тренировок'!$C$6:$C$25,0),""))</f>
        <v/>
      </c>
    </row>
    <row r="97" customFormat="false" ht="15" hidden="false" customHeight="true" outlineLevel="0" collapsed="false">
      <c r="A97" s="20" t="n">
        <v>46223</v>
      </c>
      <c r="B97" s="21" t="s">
        <v>75</v>
      </c>
      <c r="C97" s="19" t="s">
        <v>80</v>
      </c>
      <c r="D97" s="18" t="n">
        <v>3</v>
      </c>
      <c r="E97" s="17" t="n">
        <v>9</v>
      </c>
      <c r="F97" s="18" t="n">
        <v>6</v>
      </c>
      <c r="G97" s="18"/>
      <c r="H97" s="21" t="s">
        <v>39</v>
      </c>
      <c r="I97" s="19"/>
      <c r="J97" s="8" t="n">
        <f aca="false">IF(OR(E97="",F97=""),"",E97*F97)</f>
        <v>54</v>
      </c>
      <c r="K97" s="22" t="str">
        <f aca="false">IF($M97="","",INDEX('Программа тренировок'!$G$6:$G$25,$M97))</f>
        <v/>
      </c>
      <c r="L97" s="23" t="str">
        <f aca="false">IF(OR($M97="",$F97="",$G97=""),"",IF($H97="Разминка","Разминка",IF($F97&lt;INDEX('Программа тренировок'!$E$6:$E$25,$M97),"Ниже диапазона",IF(AND($F97&gt;=INDEX('Программа тренировок'!$F$6:$F$25,$M97),$G97&gt;=INDEX('Программа тренировок'!$L$6:$L$25,$M97)),"Верх диапазона: пора добавлять вес",IF($G97&lt;INDEX('Программа тренировок'!$L$6:$L$25,$M97),"RIR ниже цели","В диапазоне")))))</f>
        <v/>
      </c>
      <c r="M97" s="23" t="str">
        <f aca="false">IF($C97="","",IFERROR(MATCH($C97,'Программа тренировок'!$C$6:$C$25,0),""))</f>
        <v/>
      </c>
    </row>
    <row r="98" customFormat="false" ht="15" hidden="false" customHeight="true" outlineLevel="0" collapsed="false">
      <c r="A98" s="20" t="n">
        <v>46223</v>
      </c>
      <c r="B98" s="21" t="s">
        <v>75</v>
      </c>
      <c r="C98" s="19" t="s">
        <v>80</v>
      </c>
      <c r="D98" s="18" t="n">
        <v>4</v>
      </c>
      <c r="E98" s="17" t="n">
        <v>9</v>
      </c>
      <c r="F98" s="18" t="n">
        <v>6</v>
      </c>
      <c r="G98" s="18"/>
      <c r="H98" s="21" t="s">
        <v>39</v>
      </c>
      <c r="I98" s="19"/>
      <c r="J98" s="8" t="n">
        <f aca="false">IF(OR(E98="",F98=""),"",E98*F98)</f>
        <v>54</v>
      </c>
      <c r="K98" s="22" t="str">
        <f aca="false">IF($M98="","",INDEX('Программа тренировок'!$G$6:$G$25,$M98))</f>
        <v/>
      </c>
      <c r="L98" s="23" t="str">
        <f aca="false">IF(OR($M98="",$F98="",$G98=""),"",IF($H98="Разминка","Разминка",IF($F98&lt;INDEX('Программа тренировок'!$E$6:$E$25,$M98),"Ниже диапазона",IF(AND($F98&gt;=INDEX('Программа тренировок'!$F$6:$F$25,$M98),$G98&gt;=INDEX('Программа тренировок'!$L$6:$L$25,$M98)),"Верх диапазона: пора добавлять вес",IF($G98&lt;INDEX('Программа тренировок'!$L$6:$L$25,$M98),"RIR ниже цели","В диапазоне")))))</f>
        <v/>
      </c>
      <c r="M98" s="23" t="str">
        <f aca="false">IF($C98="","",IFERROR(MATCH($C98,'Программа тренировок'!$C$6:$C$25,0),""))</f>
        <v/>
      </c>
    </row>
    <row r="99" customFormat="false" ht="15" hidden="false" customHeight="true" outlineLevel="0" collapsed="false">
      <c r="A99" s="20" t="n">
        <v>46226</v>
      </c>
      <c r="B99" s="21" t="s">
        <v>81</v>
      </c>
      <c r="C99" s="19" t="s">
        <v>82</v>
      </c>
      <c r="D99" s="18" t="n">
        <v>1</v>
      </c>
      <c r="E99" s="17" t="n">
        <v>30</v>
      </c>
      <c r="F99" s="18" t="n">
        <v>15</v>
      </c>
      <c r="G99" s="18"/>
      <c r="H99" s="21" t="s">
        <v>39</v>
      </c>
      <c r="I99" s="19"/>
      <c r="J99" s="8" t="n">
        <f aca="false">IF(OR(E99="",F99=""),"",E99*F99)</f>
        <v>450</v>
      </c>
      <c r="K99" s="22" t="str">
        <f aca="false">IF($M99="","",INDEX('Программа тренировок'!$G$6:$G$25,$M99))</f>
        <v/>
      </c>
      <c r="L99" s="23" t="str">
        <f aca="false">IF(OR($M99="",$F99="",$G99=""),"",IF($H99="Разминка","Разминка",IF($F99&lt;INDEX('Программа тренировок'!$E$6:$E$25,$M99),"Ниже диапазона",IF(AND($F99&gt;=INDEX('Программа тренировок'!$F$6:$F$25,$M99),$G99&gt;=INDEX('Программа тренировок'!$L$6:$L$25,$M99)),"Верх диапазона: пора добавлять вес",IF($G99&lt;INDEX('Программа тренировок'!$L$6:$L$25,$M99),"RIR ниже цели","В диапазоне")))))</f>
        <v/>
      </c>
      <c r="M99" s="23" t="str">
        <f aca="false">IF($C99="","",IFERROR(MATCH($C99,'Программа тренировок'!$C$6:$C$25,0),""))</f>
        <v/>
      </c>
    </row>
    <row r="100" customFormat="false" ht="15" hidden="false" customHeight="true" outlineLevel="0" collapsed="false">
      <c r="A100" s="20" t="n">
        <v>46226</v>
      </c>
      <c r="B100" s="21" t="s">
        <v>81</v>
      </c>
      <c r="C100" s="19" t="s">
        <v>82</v>
      </c>
      <c r="D100" s="18" t="n">
        <v>2</v>
      </c>
      <c r="E100" s="17" t="n">
        <v>35</v>
      </c>
      <c r="F100" s="18" t="n">
        <v>8</v>
      </c>
      <c r="G100" s="18"/>
      <c r="H100" s="21" t="s">
        <v>39</v>
      </c>
      <c r="I100" s="19"/>
      <c r="J100" s="8" t="n">
        <f aca="false">IF(OR(E100="",F100=""),"",E100*F100)</f>
        <v>280</v>
      </c>
      <c r="K100" s="22" t="str">
        <f aca="false">IF($M100="","",INDEX('Программа тренировок'!$G$6:$G$25,$M100))</f>
        <v/>
      </c>
      <c r="L100" s="23" t="str">
        <f aca="false">IF(OR($M100="",$F100="",$G100=""),"",IF($H100="Разминка","Разминка",IF($F100&lt;INDEX('Программа тренировок'!$E$6:$E$25,$M100),"Ниже диапазона",IF(AND($F100&gt;=INDEX('Программа тренировок'!$F$6:$F$25,$M100),$G100&gt;=INDEX('Программа тренировок'!$L$6:$L$25,$M100)),"Верх диапазона: пора добавлять вес",IF($G100&lt;INDEX('Программа тренировок'!$L$6:$L$25,$M100),"RIR ниже цели","В диапазоне")))))</f>
        <v/>
      </c>
      <c r="M100" s="23" t="str">
        <f aca="false">IF($C100="","",IFERROR(MATCH($C100,'Программа тренировок'!$C$6:$C$25,0),""))</f>
        <v/>
      </c>
    </row>
    <row r="101" customFormat="false" ht="15" hidden="false" customHeight="true" outlineLevel="0" collapsed="false">
      <c r="A101" s="20" t="n">
        <v>46226</v>
      </c>
      <c r="B101" s="21" t="s">
        <v>81</v>
      </c>
      <c r="C101" s="19" t="s">
        <v>82</v>
      </c>
      <c r="D101" s="18" t="n">
        <v>3</v>
      </c>
      <c r="E101" s="17" t="n">
        <v>35</v>
      </c>
      <c r="F101" s="18" t="n">
        <v>8</v>
      </c>
      <c r="G101" s="18"/>
      <c r="H101" s="21" t="s">
        <v>39</v>
      </c>
      <c r="I101" s="19"/>
      <c r="J101" s="8" t="n">
        <f aca="false">IF(OR(E101="",F101=""),"",E101*F101)</f>
        <v>280</v>
      </c>
      <c r="K101" s="22" t="str">
        <f aca="false">IF($M101="","",INDEX('Программа тренировок'!$G$6:$G$25,$M101))</f>
        <v/>
      </c>
      <c r="L101" s="23" t="str">
        <f aca="false">IF(OR($M101="",$F101="",$G101=""),"",IF($H101="Разминка","Разминка",IF($F101&lt;INDEX('Программа тренировок'!$E$6:$E$25,$M101),"Ниже диапазона",IF(AND($F101&gt;=INDEX('Программа тренировок'!$F$6:$F$25,$M101),$G101&gt;=INDEX('Программа тренировок'!$L$6:$L$25,$M101)),"Верх диапазона: пора добавлять вес",IF($G101&lt;INDEX('Программа тренировок'!$L$6:$L$25,$M101),"RIR ниже цели","В диапазоне")))))</f>
        <v/>
      </c>
      <c r="M101" s="23" t="str">
        <f aca="false">IF($C101="","",IFERROR(MATCH($C101,'Программа тренировок'!$C$6:$C$25,0),""))</f>
        <v/>
      </c>
    </row>
    <row r="102" customFormat="false" ht="15" hidden="false" customHeight="true" outlineLevel="0" collapsed="false">
      <c r="A102" s="20" t="n">
        <v>46226</v>
      </c>
      <c r="B102" s="21" t="s">
        <v>81</v>
      </c>
      <c r="C102" s="19" t="s">
        <v>82</v>
      </c>
      <c r="D102" s="18" t="n">
        <v>4</v>
      </c>
      <c r="E102" s="17" t="n">
        <v>35</v>
      </c>
      <c r="F102" s="18" t="n">
        <v>8</v>
      </c>
      <c r="G102" s="18"/>
      <c r="H102" s="21" t="s">
        <v>39</v>
      </c>
      <c r="I102" s="19"/>
      <c r="J102" s="8" t="n">
        <f aca="false">IF(OR(E102="",F102=""),"",E102*F102)</f>
        <v>280</v>
      </c>
      <c r="K102" s="22" t="str">
        <f aca="false">IF($M102="","",INDEX('Программа тренировок'!$G$6:$G$25,$M102))</f>
        <v/>
      </c>
      <c r="L102" s="23" t="str">
        <f aca="false">IF(OR($M102="",$F102="",$G102=""),"",IF($H102="Разминка","Разминка",IF($F102&lt;INDEX('Программа тренировок'!$E$6:$E$25,$M102),"Ниже диапазона",IF(AND($F102&gt;=INDEX('Программа тренировок'!$F$6:$F$25,$M102),$G102&gt;=INDEX('Программа тренировок'!$L$6:$L$25,$M102)),"Верх диапазона: пора добавлять вес",IF($G102&lt;INDEX('Программа тренировок'!$L$6:$L$25,$M102),"RIR ниже цели","В диапазоне")))))</f>
        <v/>
      </c>
      <c r="M102" s="23" t="str">
        <f aca="false">IF($C102="","",IFERROR(MATCH($C102,'Программа тренировок'!$C$6:$C$25,0),""))</f>
        <v/>
      </c>
    </row>
    <row r="103" customFormat="false" ht="15" hidden="false" customHeight="true" outlineLevel="0" collapsed="false">
      <c r="A103" s="20" t="n">
        <v>46226</v>
      </c>
      <c r="B103" s="21" t="s">
        <v>81</v>
      </c>
      <c r="C103" s="19" t="s">
        <v>83</v>
      </c>
      <c r="D103" s="18" t="n">
        <v>1</v>
      </c>
      <c r="E103" s="17" t="n">
        <v>40</v>
      </c>
      <c r="F103" s="18" t="n">
        <v>8</v>
      </c>
      <c r="G103" s="18"/>
      <c r="H103" s="21" t="s">
        <v>39</v>
      </c>
      <c r="I103" s="19"/>
      <c r="J103" s="8" t="n">
        <f aca="false">IF(OR(E103="",F103=""),"",E103*F103)</f>
        <v>320</v>
      </c>
      <c r="K103" s="22" t="str">
        <f aca="false">IF($M103="","",INDEX('Программа тренировок'!$G$6:$G$25,$M103))</f>
        <v/>
      </c>
      <c r="L103" s="23" t="str">
        <f aca="false">IF(OR($M103="",$F103="",$G103=""),"",IF($H103="Разминка","Разминка",IF($F103&lt;INDEX('Программа тренировок'!$E$6:$E$25,$M103),"Ниже диапазона",IF(AND($F103&gt;=INDEX('Программа тренировок'!$F$6:$F$25,$M103),$G103&gt;=INDEX('Программа тренировок'!$L$6:$L$25,$M103)),"Верх диапазона: пора добавлять вес",IF($G103&lt;INDEX('Программа тренировок'!$L$6:$L$25,$M103),"RIR ниже цели","В диапазоне")))))</f>
        <v/>
      </c>
      <c r="M103" s="23" t="str">
        <f aca="false">IF($C103="","",IFERROR(MATCH($C103,'Программа тренировок'!$C$6:$C$25,0),""))</f>
        <v/>
      </c>
    </row>
    <row r="104" customFormat="false" ht="15" hidden="false" customHeight="true" outlineLevel="0" collapsed="false">
      <c r="A104" s="20" t="n">
        <v>46226</v>
      </c>
      <c r="B104" s="21" t="s">
        <v>81</v>
      </c>
      <c r="C104" s="19" t="s">
        <v>83</v>
      </c>
      <c r="D104" s="18" t="n">
        <v>2</v>
      </c>
      <c r="E104" s="17" t="n">
        <v>40</v>
      </c>
      <c r="F104" s="18" t="n">
        <v>7</v>
      </c>
      <c r="G104" s="18"/>
      <c r="H104" s="21" t="s">
        <v>39</v>
      </c>
      <c r="I104" s="19"/>
      <c r="J104" s="8" t="n">
        <f aca="false">IF(OR(E104="",F104=""),"",E104*F104)</f>
        <v>280</v>
      </c>
      <c r="K104" s="22" t="str">
        <f aca="false">IF($M104="","",INDEX('Программа тренировок'!$G$6:$G$25,$M104))</f>
        <v/>
      </c>
      <c r="L104" s="23" t="str">
        <f aca="false">IF(OR($M104="",$F104="",$G104=""),"",IF($H104="Разминка","Разминка",IF($F104&lt;INDEX('Программа тренировок'!$E$6:$E$25,$M104),"Ниже диапазона",IF(AND($F104&gt;=INDEX('Программа тренировок'!$F$6:$F$25,$M104),$G104&gt;=INDEX('Программа тренировок'!$L$6:$L$25,$M104)),"Верх диапазона: пора добавлять вес",IF($G104&lt;INDEX('Программа тренировок'!$L$6:$L$25,$M104),"RIR ниже цели","В диапазоне")))))</f>
        <v/>
      </c>
      <c r="M104" s="23" t="str">
        <f aca="false">IF($C104="","",IFERROR(MATCH($C104,'Программа тренировок'!$C$6:$C$25,0),""))</f>
        <v/>
      </c>
    </row>
    <row r="105" customFormat="false" ht="15" hidden="false" customHeight="true" outlineLevel="0" collapsed="false">
      <c r="A105" s="20" t="n">
        <v>46226</v>
      </c>
      <c r="B105" s="21" t="s">
        <v>81</v>
      </c>
      <c r="C105" s="19" t="s">
        <v>83</v>
      </c>
      <c r="D105" s="18" t="n">
        <v>3</v>
      </c>
      <c r="E105" s="17" t="n">
        <v>40</v>
      </c>
      <c r="F105" s="18" t="n">
        <v>6</v>
      </c>
      <c r="G105" s="18"/>
      <c r="H105" s="21" t="s">
        <v>39</v>
      </c>
      <c r="I105" s="19"/>
      <c r="J105" s="8" t="n">
        <f aca="false">IF(OR(E105="",F105=""),"",E105*F105)</f>
        <v>240</v>
      </c>
      <c r="K105" s="22" t="str">
        <f aca="false">IF($M105="","",INDEX('Программа тренировок'!$G$6:$G$25,$M105))</f>
        <v/>
      </c>
      <c r="L105" s="23" t="str">
        <f aca="false">IF(OR($M105="",$F105="",$G105=""),"",IF($H105="Разминка","Разминка",IF($F105&lt;INDEX('Программа тренировок'!$E$6:$E$25,$M105),"Ниже диапазона",IF(AND($F105&gt;=INDEX('Программа тренировок'!$F$6:$F$25,$M105),$G105&gt;=INDEX('Программа тренировок'!$L$6:$L$25,$M105)),"Верх диапазона: пора добавлять вес",IF($G105&lt;INDEX('Программа тренировок'!$L$6:$L$25,$M105),"RIR ниже цели","В диапазоне")))))</f>
        <v/>
      </c>
      <c r="M105" s="23" t="str">
        <f aca="false">IF($C105="","",IFERROR(MATCH($C105,'Программа тренировок'!$C$6:$C$25,0),""))</f>
        <v/>
      </c>
    </row>
    <row r="106" customFormat="false" ht="15" hidden="false" customHeight="true" outlineLevel="0" collapsed="false">
      <c r="A106" s="20" t="n">
        <v>46226</v>
      </c>
      <c r="B106" s="21" t="s">
        <v>81</v>
      </c>
      <c r="C106" s="19" t="s">
        <v>83</v>
      </c>
      <c r="D106" s="18" t="n">
        <v>4</v>
      </c>
      <c r="E106" s="17" t="n">
        <v>40</v>
      </c>
      <c r="F106" s="18" t="n">
        <v>5</v>
      </c>
      <c r="G106" s="18"/>
      <c r="H106" s="21" t="s">
        <v>39</v>
      </c>
      <c r="I106" s="19"/>
      <c r="J106" s="8" t="n">
        <f aca="false">IF(OR(E106="",F106=""),"",E106*F106)</f>
        <v>200</v>
      </c>
      <c r="K106" s="22" t="str">
        <f aca="false">IF($M106="","",INDEX('Программа тренировок'!$G$6:$G$25,$M106))</f>
        <v/>
      </c>
      <c r="L106" s="23" t="str">
        <f aca="false">IF(OR($M106="",$F106="",$G106=""),"",IF($H106="Разминка","Разминка",IF($F106&lt;INDEX('Программа тренировок'!$E$6:$E$25,$M106),"Ниже диапазона",IF(AND($F106&gt;=INDEX('Программа тренировок'!$F$6:$F$25,$M106),$G106&gt;=INDEX('Программа тренировок'!$L$6:$L$25,$M106)),"Верх диапазона: пора добавлять вес",IF($G106&lt;INDEX('Программа тренировок'!$L$6:$L$25,$M106),"RIR ниже цели","В диапазоне")))))</f>
        <v/>
      </c>
      <c r="M106" s="23" t="str">
        <f aca="false">IF($C106="","",IFERROR(MATCH($C106,'Программа тренировок'!$C$6:$C$25,0),""))</f>
        <v/>
      </c>
    </row>
    <row r="107" customFormat="false" ht="15" hidden="false" customHeight="true" outlineLevel="0" collapsed="false">
      <c r="A107" s="20" t="n">
        <v>46226</v>
      </c>
      <c r="B107" s="21" t="s">
        <v>81</v>
      </c>
      <c r="C107" s="19" t="s">
        <v>84</v>
      </c>
      <c r="D107" s="18" t="n">
        <v>1</v>
      </c>
      <c r="E107" s="17" t="n">
        <v>45</v>
      </c>
      <c r="F107" s="18" t="n">
        <v>8</v>
      </c>
      <c r="G107" s="18"/>
      <c r="H107" s="21" t="s">
        <v>39</v>
      </c>
      <c r="I107" s="19"/>
      <c r="J107" s="8" t="n">
        <f aca="false">IF(OR(E107="",F107=""),"",E107*F107)</f>
        <v>360</v>
      </c>
      <c r="K107" s="22" t="str">
        <f aca="false">IF($M107="","",INDEX('Программа тренировок'!$G$6:$G$25,$M107))</f>
        <v/>
      </c>
      <c r="L107" s="23" t="str">
        <f aca="false">IF(OR($M107="",$F107="",$G107=""),"",IF($H107="Разминка","Разминка",IF($F107&lt;INDEX('Программа тренировок'!$E$6:$E$25,$M107),"Ниже диапазона",IF(AND($F107&gt;=INDEX('Программа тренировок'!$F$6:$F$25,$M107),$G107&gt;=INDEX('Программа тренировок'!$L$6:$L$25,$M107)),"Верх диапазона: пора добавлять вес",IF($G107&lt;INDEX('Программа тренировок'!$L$6:$L$25,$M107),"RIR ниже цели","В диапазоне")))))</f>
        <v/>
      </c>
      <c r="M107" s="23" t="str">
        <f aca="false">IF($C107="","",IFERROR(MATCH($C107,'Программа тренировок'!$C$6:$C$25,0),""))</f>
        <v/>
      </c>
    </row>
    <row r="108" customFormat="false" ht="15" hidden="false" customHeight="true" outlineLevel="0" collapsed="false">
      <c r="A108" s="20" t="n">
        <v>46226</v>
      </c>
      <c r="B108" s="21" t="s">
        <v>81</v>
      </c>
      <c r="C108" s="19" t="s">
        <v>84</v>
      </c>
      <c r="D108" s="18" t="n">
        <v>2</v>
      </c>
      <c r="E108" s="17" t="n">
        <v>40</v>
      </c>
      <c r="F108" s="18" t="n">
        <v>12</v>
      </c>
      <c r="G108" s="18"/>
      <c r="H108" s="21" t="s">
        <v>39</v>
      </c>
      <c r="I108" s="19"/>
      <c r="J108" s="8" t="n">
        <f aca="false">IF(OR(E108="",F108=""),"",E108*F108)</f>
        <v>480</v>
      </c>
      <c r="K108" s="22" t="str">
        <f aca="false">IF($M108="","",INDEX('Программа тренировок'!$G$6:$G$25,$M108))</f>
        <v/>
      </c>
      <c r="L108" s="23" t="str">
        <f aca="false">IF(OR($M108="",$F108="",$G108=""),"",IF($H108="Разминка","Разминка",IF($F108&lt;INDEX('Программа тренировок'!$E$6:$E$25,$M108),"Ниже диапазона",IF(AND($F108&gt;=INDEX('Программа тренировок'!$F$6:$F$25,$M108),$G108&gt;=INDEX('Программа тренировок'!$L$6:$L$25,$M108)),"Верх диапазона: пора добавлять вес",IF($G108&lt;INDEX('Программа тренировок'!$L$6:$L$25,$M108),"RIR ниже цели","В диапазоне")))))</f>
        <v/>
      </c>
      <c r="M108" s="23" t="str">
        <f aca="false">IF($C108="","",IFERROR(MATCH($C108,'Программа тренировок'!$C$6:$C$25,0),""))</f>
        <v/>
      </c>
    </row>
    <row r="109" customFormat="false" ht="15" hidden="false" customHeight="true" outlineLevel="0" collapsed="false">
      <c r="A109" s="20" t="n">
        <v>46226</v>
      </c>
      <c r="B109" s="21" t="s">
        <v>81</v>
      </c>
      <c r="C109" s="19" t="s">
        <v>84</v>
      </c>
      <c r="D109" s="18" t="n">
        <v>3</v>
      </c>
      <c r="E109" s="17" t="n">
        <v>40</v>
      </c>
      <c r="F109" s="18" t="n">
        <v>8</v>
      </c>
      <c r="G109" s="18"/>
      <c r="H109" s="21" t="s">
        <v>39</v>
      </c>
      <c r="I109" s="19"/>
      <c r="J109" s="8" t="n">
        <f aca="false">IF(OR(E109="",F109=""),"",E109*F109)</f>
        <v>320</v>
      </c>
      <c r="K109" s="22" t="str">
        <f aca="false">IF($M109="","",INDEX('Программа тренировок'!$G$6:$G$25,$M109))</f>
        <v/>
      </c>
      <c r="L109" s="23" t="str">
        <f aca="false">IF(OR($M109="",$F109="",$G109=""),"",IF($H109="Разминка","Разминка",IF($F109&lt;INDEX('Программа тренировок'!$E$6:$E$25,$M109),"Ниже диапазона",IF(AND($F109&gt;=INDEX('Программа тренировок'!$F$6:$F$25,$M109),$G109&gt;=INDEX('Программа тренировок'!$L$6:$L$25,$M109)),"Верх диапазона: пора добавлять вес",IF($G109&lt;INDEX('Программа тренировок'!$L$6:$L$25,$M109),"RIR ниже цели","В диапазоне")))))</f>
        <v/>
      </c>
      <c r="M109" s="23" t="str">
        <f aca="false">IF($C109="","",IFERROR(MATCH($C109,'Программа тренировок'!$C$6:$C$25,0),""))</f>
        <v/>
      </c>
    </row>
    <row r="110" customFormat="false" ht="15" hidden="false" customHeight="true" outlineLevel="0" collapsed="false">
      <c r="A110" s="20" t="n">
        <v>46226</v>
      </c>
      <c r="B110" s="21" t="s">
        <v>81</v>
      </c>
      <c r="C110" s="19" t="s">
        <v>84</v>
      </c>
      <c r="D110" s="18" t="n">
        <v>4</v>
      </c>
      <c r="E110" s="17" t="n">
        <v>40</v>
      </c>
      <c r="F110" s="18" t="n">
        <v>8</v>
      </c>
      <c r="G110" s="18"/>
      <c r="H110" s="21" t="s">
        <v>39</v>
      </c>
      <c r="I110" s="19"/>
      <c r="J110" s="8" t="n">
        <f aca="false">IF(OR(E110="",F110=""),"",E110*F110)</f>
        <v>320</v>
      </c>
      <c r="K110" s="22" t="str">
        <f aca="false">IF($M110="","",INDEX('Программа тренировок'!$G$6:$G$25,$M110))</f>
        <v/>
      </c>
      <c r="L110" s="23" t="str">
        <f aca="false">IF(OR($M110="",$F110="",$G110=""),"",IF($H110="Разминка","Разминка",IF($F110&lt;INDEX('Программа тренировок'!$E$6:$E$25,$M110),"Ниже диапазона",IF(AND($F110&gt;=INDEX('Программа тренировок'!$F$6:$F$25,$M110),$G110&gt;=INDEX('Программа тренировок'!$L$6:$L$25,$M110)),"Верх диапазона: пора добавлять вес",IF($G110&lt;INDEX('Программа тренировок'!$L$6:$L$25,$M110),"RIR ниже цели","В диапазоне")))))</f>
        <v/>
      </c>
      <c r="M110" s="23" t="str">
        <f aca="false">IF($C110="","",IFERROR(MATCH($C110,'Программа тренировок'!$C$6:$C$25,0),""))</f>
        <v/>
      </c>
    </row>
    <row r="111" customFormat="false" ht="15" hidden="false" customHeight="true" outlineLevel="0" collapsed="false">
      <c r="A111" s="20" t="s">
        <v>85</v>
      </c>
      <c r="B111" s="21"/>
      <c r="C111" s="19" t="s">
        <v>38</v>
      </c>
      <c r="D111" s="18" t="n">
        <v>1</v>
      </c>
      <c r="E111" s="17" t="n">
        <v>80</v>
      </c>
      <c r="F111" s="18" t="n">
        <v>12</v>
      </c>
      <c r="G111" s="18"/>
      <c r="H111" s="21"/>
      <c r="I111" s="19"/>
      <c r="J111" s="8" t="n">
        <f aca="false">IF(OR(E111="",F111=""),"",E111*F111)</f>
        <v>960</v>
      </c>
      <c r="K111" s="22" t="str">
        <f aca="false">IF($M111="","",INDEX('Программа тренировок'!$G$6:$G$25,$M111))</f>
        <v>10–12</v>
      </c>
      <c r="L111" s="23" t="str">
        <f aca="false">IF(OR($M111="",$F111="",$G111=""),"",IF($H111="Разминка","Разминка",IF($F111&lt;INDEX('Программа тренировок'!$E$6:$E$25,$M111),"Ниже диапазона",IF(AND($F111&gt;=INDEX('Программа тренировок'!$F$6:$F$25,$M111),$G111&gt;=INDEX('Программа тренировок'!$L$6:$L$25,$M111)),"Верх диапазона: пора добавлять вес",IF($G111&lt;INDEX('Программа тренировок'!$L$6:$L$25,$M111),"RIR ниже цели","В диапазоне")))))</f>
        <v/>
      </c>
      <c r="M111" s="23" t="n">
        <f aca="false">IF($C111="","",IFERROR(MATCH($C111,'Программа тренировок'!$C$6:$C$25,0),""))</f>
        <v>1</v>
      </c>
    </row>
    <row r="112" customFormat="false" ht="15" hidden="false" customHeight="true" outlineLevel="0" collapsed="false">
      <c r="A112" s="20" t="n">
        <v>46226</v>
      </c>
      <c r="B112" s="21"/>
      <c r="C112" s="19" t="s">
        <v>86</v>
      </c>
      <c r="D112" s="18" t="n">
        <v>1</v>
      </c>
      <c r="E112" s="17" t="n">
        <v>0</v>
      </c>
      <c r="F112" s="18" t="n">
        <v>30</v>
      </c>
      <c r="G112" s="18"/>
      <c r="H112" s="21"/>
      <c r="I112" s="19"/>
      <c r="J112" s="8" t="n">
        <f aca="false">IF(OR(E112="",F112=""),"",E112*F112)</f>
        <v>0</v>
      </c>
      <c r="K112" s="22" t="str">
        <f aca="false">IF($M112="","",INDEX('Программа тренировок'!$G$6:$G$25,$M112))</f>
        <v/>
      </c>
      <c r="L112" s="23" t="str">
        <f aca="false">IF(OR($M112="",$F112="",$G112=""),"",IF($H112="Разминка","Разминка",IF($F112&lt;INDEX('Программа тренировок'!$E$6:$E$25,$M112),"Ниже диапазона",IF(AND($F112&gt;=INDEX('Программа тренировок'!$F$6:$F$25,$M112),$G112&gt;=INDEX('Программа тренировок'!$L$6:$L$25,$M112)),"Верх диапазона: пора добавлять вес",IF($G112&lt;INDEX('Программа тренировок'!$L$6:$L$25,$M112),"RIR ниже цели","В диапазоне")))))</f>
        <v/>
      </c>
      <c r="M112" s="23" t="str">
        <f aca="false">IF($C112="","",IFERROR(MATCH($C112,'Программа тренировок'!$C$6:$C$25,0),""))</f>
        <v/>
      </c>
    </row>
    <row r="113" customFormat="false" ht="15" hidden="false" customHeight="true" outlineLevel="0" collapsed="false">
      <c r="A113" s="20"/>
      <c r="B113" s="21"/>
      <c r="C113" s="19"/>
      <c r="D113" s="18"/>
      <c r="E113" s="17"/>
      <c r="F113" s="18"/>
      <c r="G113" s="18"/>
      <c r="H113" s="21"/>
      <c r="I113" s="19"/>
      <c r="J113" s="8" t="str">
        <f aca="false">IF(OR(E113="",F113=""),"",E113*F113)</f>
        <v/>
      </c>
      <c r="K113" s="22" t="str">
        <f aca="false">IF($M113="","",INDEX('Программа тренировок'!$G$6:$G$25,$M113))</f>
        <v/>
      </c>
      <c r="L113" s="23" t="str">
        <f aca="false">IF(OR($M113="",$F113="",$G113=""),"",IF($H113="Разминка","Разминка",IF($F113&lt;INDEX('Программа тренировок'!$E$6:$E$25,$M113),"Ниже диапазона",IF(AND($F113&gt;=INDEX('Программа тренировок'!$F$6:$F$25,$M113),$G113&gt;=INDEX('Программа тренировок'!$L$6:$L$25,$M113)),"Верх диапазона: пора добавлять вес",IF($G113&lt;INDEX('Программа тренировок'!$L$6:$L$25,$M113),"RIR ниже цели","В диапазоне")))))</f>
        <v/>
      </c>
      <c r="M113" s="23" t="str">
        <f aca="false">IF($C113="","",IFERROR(MATCH($C113,'Программа тренировок'!$C$6:$C$25,0),""))</f>
        <v/>
      </c>
    </row>
    <row r="114" customFormat="false" ht="15" hidden="false" customHeight="true" outlineLevel="0" collapsed="false">
      <c r="A114" s="20"/>
      <c r="B114" s="21"/>
      <c r="C114" s="19"/>
      <c r="D114" s="18"/>
      <c r="E114" s="17"/>
      <c r="F114" s="18"/>
      <c r="G114" s="18"/>
      <c r="H114" s="21"/>
      <c r="I114" s="19"/>
      <c r="J114" s="8" t="str">
        <f aca="false">IF(OR(E114="",F114=""),"",E114*F114)</f>
        <v/>
      </c>
      <c r="K114" s="22" t="str">
        <f aca="false">IF($M114="","",INDEX('Программа тренировок'!$G$6:$G$25,$M114))</f>
        <v/>
      </c>
      <c r="L114" s="23" t="str">
        <f aca="false">IF(OR($M114="",$F114="",$G114=""),"",IF($H114="Разминка","Разминка",IF($F114&lt;INDEX('Программа тренировок'!$E$6:$E$25,$M114),"Ниже диапазона",IF(AND($F114&gt;=INDEX('Программа тренировок'!$F$6:$F$25,$M114),$G114&gt;=INDEX('Программа тренировок'!$L$6:$L$25,$M114)),"Верх диапазона: пора добавлять вес",IF($G114&lt;INDEX('Программа тренировок'!$L$6:$L$25,$M114),"RIR ниже цели","В диапазоне")))))</f>
        <v/>
      </c>
      <c r="M114" s="23" t="str">
        <f aca="false">IF($C114="","",IFERROR(MATCH($C114,'Программа тренировок'!$C$6:$C$25,0),""))</f>
        <v/>
      </c>
    </row>
    <row r="115" customFormat="false" ht="15" hidden="false" customHeight="true" outlineLevel="0" collapsed="false">
      <c r="A115" s="20"/>
      <c r="B115" s="21"/>
      <c r="C115" s="19"/>
      <c r="D115" s="18"/>
      <c r="E115" s="17"/>
      <c r="F115" s="18"/>
      <c r="G115" s="18"/>
      <c r="H115" s="21"/>
      <c r="I115" s="19"/>
      <c r="J115" s="8" t="str">
        <f aca="false">IF(OR(E115="",F115=""),"",E115*F115)</f>
        <v/>
      </c>
      <c r="K115" s="22" t="str">
        <f aca="false">IF($M115="","",INDEX('Программа тренировок'!$G$6:$G$25,$M115))</f>
        <v/>
      </c>
      <c r="L115" s="23" t="str">
        <f aca="false">IF(OR($M115="",$F115="",$G115=""),"",IF($H115="Разминка","Разминка",IF($F115&lt;INDEX('Программа тренировок'!$E$6:$E$25,$M115),"Ниже диапазона",IF(AND($F115&gt;=INDEX('Программа тренировок'!$F$6:$F$25,$M115),$G115&gt;=INDEX('Программа тренировок'!$L$6:$L$25,$M115)),"Верх диапазона: пора добавлять вес",IF($G115&lt;INDEX('Программа тренировок'!$L$6:$L$25,$M115),"RIR ниже цели","В диапазоне")))))</f>
        <v/>
      </c>
      <c r="M115" s="23" t="str">
        <f aca="false">IF($C115="","",IFERROR(MATCH($C115,'Программа тренировок'!$C$6:$C$25,0),""))</f>
        <v/>
      </c>
    </row>
    <row r="116" customFormat="false" ht="15" hidden="false" customHeight="true" outlineLevel="0" collapsed="false">
      <c r="A116" s="20"/>
      <c r="B116" s="21"/>
      <c r="C116" s="19"/>
      <c r="D116" s="18"/>
      <c r="E116" s="17"/>
      <c r="F116" s="18"/>
      <c r="G116" s="18"/>
      <c r="H116" s="21"/>
      <c r="I116" s="19"/>
      <c r="J116" s="8" t="str">
        <f aca="false">IF(OR(E116="",F116=""),"",E116*F116)</f>
        <v/>
      </c>
      <c r="K116" s="22" t="str">
        <f aca="false">IF($M116="","",INDEX('Программа тренировок'!$G$6:$G$25,$M116))</f>
        <v/>
      </c>
      <c r="L116" s="23" t="str">
        <f aca="false">IF(OR($M116="",$F116="",$G116=""),"",IF($H116="Разминка","Разминка",IF($F116&lt;INDEX('Программа тренировок'!$E$6:$E$25,$M116),"Ниже диапазона",IF(AND($F116&gt;=INDEX('Программа тренировок'!$F$6:$F$25,$M116),$G116&gt;=INDEX('Программа тренировок'!$L$6:$L$25,$M116)),"Верх диапазона: пора добавлять вес",IF($G116&lt;INDEX('Программа тренировок'!$L$6:$L$25,$M116),"RIR ниже цели","В диапазоне")))))</f>
        <v/>
      </c>
      <c r="M116" s="23" t="str">
        <f aca="false">IF($C116="","",IFERROR(MATCH($C116,'Программа тренировок'!$C$6:$C$25,0),""))</f>
        <v/>
      </c>
    </row>
    <row r="117" customFormat="false" ht="15" hidden="false" customHeight="true" outlineLevel="0" collapsed="false">
      <c r="A117" s="20"/>
      <c r="B117" s="21"/>
      <c r="C117" s="19"/>
      <c r="D117" s="18"/>
      <c r="E117" s="17"/>
      <c r="F117" s="18"/>
      <c r="G117" s="18"/>
      <c r="H117" s="21"/>
      <c r="I117" s="19"/>
      <c r="J117" s="8" t="str">
        <f aca="false">IF(OR(E117="",F117=""),"",E117*F117)</f>
        <v/>
      </c>
      <c r="K117" s="22" t="str">
        <f aca="false">IF($M117="","",INDEX('Программа тренировок'!$G$6:$G$25,$M117))</f>
        <v/>
      </c>
      <c r="L117" s="23" t="str">
        <f aca="false">IF(OR($M117="",$F117="",$G117=""),"",IF($H117="Разминка","Разминка",IF($F117&lt;INDEX('Программа тренировок'!$E$6:$E$25,$M117),"Ниже диапазона",IF(AND($F117&gt;=INDEX('Программа тренировок'!$F$6:$F$25,$M117),$G117&gt;=INDEX('Программа тренировок'!$L$6:$L$25,$M117)),"Верх диапазона: пора добавлять вес",IF($G117&lt;INDEX('Программа тренировок'!$L$6:$L$25,$M117),"RIR ниже цели","В диапазоне")))))</f>
        <v/>
      </c>
      <c r="M117" s="23" t="str">
        <f aca="false">IF($C117="","",IFERROR(MATCH($C117,'Программа тренировок'!$C$6:$C$25,0),""))</f>
        <v/>
      </c>
    </row>
    <row r="118" customFormat="false" ht="15" hidden="false" customHeight="true" outlineLevel="0" collapsed="false">
      <c r="A118" s="20"/>
      <c r="B118" s="21"/>
      <c r="C118" s="19"/>
      <c r="D118" s="18"/>
      <c r="E118" s="17"/>
      <c r="F118" s="18"/>
      <c r="G118" s="18"/>
      <c r="H118" s="21"/>
      <c r="I118" s="19"/>
      <c r="J118" s="8" t="str">
        <f aca="false">IF(OR(E118="",F118=""),"",E118*F118)</f>
        <v/>
      </c>
      <c r="K118" s="22" t="str">
        <f aca="false">IF($M118="","",INDEX('Программа тренировок'!$G$6:$G$25,$M118))</f>
        <v/>
      </c>
      <c r="L118" s="23" t="str">
        <f aca="false">IF(OR($M118="",$F118="",$G118=""),"",IF($H118="Разминка","Разминка",IF($F118&lt;INDEX('Программа тренировок'!$E$6:$E$25,$M118),"Ниже диапазона",IF(AND($F118&gt;=INDEX('Программа тренировок'!$F$6:$F$25,$M118),$G118&gt;=INDEX('Программа тренировок'!$L$6:$L$25,$M118)),"Верх диапазона: пора добавлять вес",IF($G118&lt;INDEX('Программа тренировок'!$L$6:$L$25,$M118),"RIR ниже цели","В диапазоне")))))</f>
        <v/>
      </c>
      <c r="M118" s="23" t="str">
        <f aca="false">IF($C118="","",IFERROR(MATCH($C118,'Программа тренировок'!$C$6:$C$25,0),""))</f>
        <v/>
      </c>
    </row>
    <row r="119" customFormat="false" ht="15" hidden="false" customHeight="true" outlineLevel="0" collapsed="false">
      <c r="A119" s="20"/>
      <c r="B119" s="21"/>
      <c r="C119" s="19"/>
      <c r="D119" s="18"/>
      <c r="E119" s="17"/>
      <c r="F119" s="18"/>
      <c r="G119" s="18"/>
      <c r="H119" s="21"/>
      <c r="I119" s="19"/>
      <c r="J119" s="8" t="str">
        <f aca="false">IF(OR(E119="",F119=""),"",E119*F119)</f>
        <v/>
      </c>
      <c r="K119" s="22" t="str">
        <f aca="false">IF($M119="","",INDEX('Программа тренировок'!$G$6:$G$25,$M119))</f>
        <v/>
      </c>
      <c r="L119" s="23" t="str">
        <f aca="false">IF(OR($M119="",$F119="",$G119=""),"",IF($H119="Разминка","Разминка",IF($F119&lt;INDEX('Программа тренировок'!$E$6:$E$25,$M119),"Ниже диапазона",IF(AND($F119&gt;=INDEX('Программа тренировок'!$F$6:$F$25,$M119),$G119&gt;=INDEX('Программа тренировок'!$L$6:$L$25,$M119)),"Верх диапазона: пора добавлять вес",IF($G119&lt;INDEX('Программа тренировок'!$L$6:$L$25,$M119),"RIR ниже цели","В диапазоне")))))</f>
        <v/>
      </c>
      <c r="M119" s="23" t="str">
        <f aca="false">IF($C119="","",IFERROR(MATCH($C119,'Программа тренировок'!$C$6:$C$25,0),""))</f>
        <v/>
      </c>
    </row>
    <row r="120" customFormat="false" ht="15" hidden="false" customHeight="true" outlineLevel="0" collapsed="false">
      <c r="A120" s="20"/>
      <c r="B120" s="21"/>
      <c r="C120" s="19"/>
      <c r="D120" s="18"/>
      <c r="E120" s="17"/>
      <c r="F120" s="18"/>
      <c r="G120" s="18"/>
      <c r="H120" s="21"/>
      <c r="I120" s="19"/>
      <c r="J120" s="8" t="str">
        <f aca="false">IF(OR(E120="",F120=""),"",E120*F120)</f>
        <v/>
      </c>
      <c r="K120" s="22" t="str">
        <f aca="false">IF($M120="","",INDEX('Программа тренировок'!$G$6:$G$25,$M120))</f>
        <v/>
      </c>
      <c r="L120" s="23" t="str">
        <f aca="false">IF(OR($M120="",$F120="",$G120=""),"",IF($H120="Разминка","Разминка",IF($F120&lt;INDEX('Программа тренировок'!$E$6:$E$25,$M120),"Ниже диапазона",IF(AND($F120&gt;=INDEX('Программа тренировок'!$F$6:$F$25,$M120),$G120&gt;=INDEX('Программа тренировок'!$L$6:$L$25,$M120)),"Верх диапазона: пора добавлять вес",IF($G120&lt;INDEX('Программа тренировок'!$L$6:$L$25,$M120),"RIR ниже цели","В диапазоне")))))</f>
        <v/>
      </c>
      <c r="M120" s="23" t="str">
        <f aca="false">IF($C120="","",IFERROR(MATCH($C120,'Программа тренировок'!$C$6:$C$25,0),""))</f>
        <v/>
      </c>
    </row>
    <row r="121" customFormat="false" ht="15" hidden="false" customHeight="true" outlineLevel="0" collapsed="false">
      <c r="A121" s="20"/>
      <c r="B121" s="21"/>
      <c r="C121" s="19"/>
      <c r="D121" s="18"/>
      <c r="E121" s="17"/>
      <c r="F121" s="18"/>
      <c r="G121" s="18"/>
      <c r="H121" s="21"/>
      <c r="I121" s="19"/>
      <c r="J121" s="8" t="str">
        <f aca="false">IF(OR(E121="",F121=""),"",E121*F121)</f>
        <v/>
      </c>
      <c r="K121" s="22" t="str">
        <f aca="false">IF($M121="","",INDEX('Программа тренировок'!$G$6:$G$25,$M121))</f>
        <v/>
      </c>
      <c r="L121" s="23" t="str">
        <f aca="false">IF(OR($M121="",$F121="",$G121=""),"",IF($H121="Разминка","Разминка",IF($F121&lt;INDEX('Программа тренировок'!$E$6:$E$25,$M121),"Ниже диапазона",IF(AND($F121&gt;=INDEX('Программа тренировок'!$F$6:$F$25,$M121),$G121&gt;=INDEX('Программа тренировок'!$L$6:$L$25,$M121)),"Верх диапазона: пора добавлять вес",IF($G121&lt;INDEX('Программа тренировок'!$L$6:$L$25,$M121),"RIR ниже цели","В диапазоне")))))</f>
        <v/>
      </c>
      <c r="M121" s="23" t="str">
        <f aca="false">IF($C121="","",IFERROR(MATCH($C121,'Программа тренировок'!$C$6:$C$25,0),""))</f>
        <v/>
      </c>
    </row>
    <row r="122" customFormat="false" ht="15" hidden="false" customHeight="true" outlineLevel="0" collapsed="false">
      <c r="A122" s="20"/>
      <c r="B122" s="21"/>
      <c r="C122" s="19"/>
      <c r="D122" s="18"/>
      <c r="E122" s="17"/>
      <c r="F122" s="18"/>
      <c r="G122" s="18"/>
      <c r="H122" s="21"/>
      <c r="I122" s="19"/>
      <c r="J122" s="8" t="str">
        <f aca="false">IF(OR(E122="",F122=""),"",E122*F122)</f>
        <v/>
      </c>
      <c r="K122" s="22" t="str">
        <f aca="false">IF($M122="","",INDEX('Программа тренировок'!$G$6:$G$25,$M122))</f>
        <v/>
      </c>
      <c r="L122" s="23" t="str">
        <f aca="false">IF(OR($M122="",$F122="",$G122=""),"",IF($H122="Разминка","Разминка",IF($F122&lt;INDEX('Программа тренировок'!$E$6:$E$25,$M122),"Ниже диапазона",IF(AND($F122&gt;=INDEX('Программа тренировок'!$F$6:$F$25,$M122),$G122&gt;=INDEX('Программа тренировок'!$L$6:$L$25,$M122)),"Верх диапазона: пора добавлять вес",IF($G122&lt;INDEX('Программа тренировок'!$L$6:$L$25,$M122),"RIR ниже цели","В диапазоне")))))</f>
        <v/>
      </c>
      <c r="M122" s="23" t="str">
        <f aca="false">IF($C122="","",IFERROR(MATCH($C122,'Программа тренировок'!$C$6:$C$25,0),""))</f>
        <v/>
      </c>
    </row>
    <row r="123" customFormat="false" ht="15" hidden="false" customHeight="true" outlineLevel="0" collapsed="false">
      <c r="A123" s="20"/>
      <c r="B123" s="21"/>
      <c r="C123" s="19"/>
      <c r="D123" s="18"/>
      <c r="E123" s="17"/>
      <c r="F123" s="18"/>
      <c r="G123" s="18"/>
      <c r="H123" s="21"/>
      <c r="I123" s="19"/>
      <c r="J123" s="8" t="str">
        <f aca="false">IF(OR(E123="",F123=""),"",E123*F123)</f>
        <v/>
      </c>
      <c r="K123" s="22" t="str">
        <f aca="false">IF($M123="","",INDEX('Программа тренировок'!$G$6:$G$25,$M123))</f>
        <v/>
      </c>
      <c r="L123" s="23" t="str">
        <f aca="false">IF(OR($M123="",$F123="",$G123=""),"",IF($H123="Разминка","Разминка",IF($F123&lt;INDEX('Программа тренировок'!$E$6:$E$25,$M123),"Ниже диапазона",IF(AND($F123&gt;=INDEX('Программа тренировок'!$F$6:$F$25,$M123),$G123&gt;=INDEX('Программа тренировок'!$L$6:$L$25,$M123)),"Верх диапазона: пора добавлять вес",IF($G123&lt;INDEX('Программа тренировок'!$L$6:$L$25,$M123),"RIR ниже цели","В диапазоне")))))</f>
        <v/>
      </c>
      <c r="M123" s="23" t="str">
        <f aca="false">IF($C123="","",IFERROR(MATCH($C123,'Программа тренировок'!$C$6:$C$25,0),""))</f>
        <v/>
      </c>
    </row>
    <row r="124" customFormat="false" ht="15" hidden="false" customHeight="true" outlineLevel="0" collapsed="false">
      <c r="A124" s="20"/>
      <c r="B124" s="21"/>
      <c r="C124" s="19"/>
      <c r="D124" s="18"/>
      <c r="E124" s="17"/>
      <c r="F124" s="18"/>
      <c r="G124" s="18"/>
      <c r="H124" s="21"/>
      <c r="I124" s="19"/>
      <c r="J124" s="8" t="str">
        <f aca="false">IF(OR(E124="",F124=""),"",E124*F124)</f>
        <v/>
      </c>
      <c r="K124" s="22" t="str">
        <f aca="false">IF($M124="","",INDEX('Программа тренировок'!$G$6:$G$25,$M124))</f>
        <v/>
      </c>
      <c r="L124" s="23" t="str">
        <f aca="false">IF(OR($M124="",$F124="",$G124=""),"",IF($H124="Разминка","Разминка",IF($F124&lt;INDEX('Программа тренировок'!$E$6:$E$25,$M124),"Ниже диапазона",IF(AND($F124&gt;=INDEX('Программа тренировок'!$F$6:$F$25,$M124),$G124&gt;=INDEX('Программа тренировок'!$L$6:$L$25,$M124)),"Верх диапазона: пора добавлять вес",IF($G124&lt;INDEX('Программа тренировок'!$L$6:$L$25,$M124),"RIR ниже цели","В диапазоне")))))</f>
        <v/>
      </c>
      <c r="M124" s="23" t="str">
        <f aca="false">IF($C124="","",IFERROR(MATCH($C124,'Программа тренировок'!$C$6:$C$25,0),""))</f>
        <v/>
      </c>
    </row>
    <row r="125" customFormat="false" ht="15" hidden="false" customHeight="true" outlineLevel="0" collapsed="false">
      <c r="A125" s="20"/>
      <c r="B125" s="21"/>
      <c r="C125" s="19"/>
      <c r="D125" s="18"/>
      <c r="E125" s="17"/>
      <c r="F125" s="18"/>
      <c r="G125" s="18"/>
      <c r="H125" s="21"/>
      <c r="I125" s="19"/>
      <c r="J125" s="8" t="str">
        <f aca="false">IF(OR(E125="",F125=""),"",E125*F125)</f>
        <v/>
      </c>
      <c r="K125" s="22" t="str">
        <f aca="false">IF($M125="","",INDEX('Программа тренировок'!$G$6:$G$25,$M125))</f>
        <v/>
      </c>
      <c r="L125" s="23" t="str">
        <f aca="false">IF(OR($M125="",$F125="",$G125=""),"",IF($H125="Разминка","Разминка",IF($F125&lt;INDEX('Программа тренировок'!$E$6:$E$25,$M125),"Ниже диапазона",IF(AND($F125&gt;=INDEX('Программа тренировок'!$F$6:$F$25,$M125),$G125&gt;=INDEX('Программа тренировок'!$L$6:$L$25,$M125)),"Верх диапазона: пора добавлять вес",IF($G125&lt;INDEX('Программа тренировок'!$L$6:$L$25,$M125),"RIR ниже цели","В диапазоне")))))</f>
        <v/>
      </c>
      <c r="M125" s="23" t="str">
        <f aca="false">IF($C125="","",IFERROR(MATCH($C125,'Программа тренировок'!$C$6:$C$25,0),""))</f>
        <v/>
      </c>
    </row>
    <row r="126" customFormat="false" ht="15" hidden="false" customHeight="true" outlineLevel="0" collapsed="false">
      <c r="A126" s="20"/>
      <c r="B126" s="21"/>
      <c r="C126" s="19"/>
      <c r="D126" s="18"/>
      <c r="E126" s="17"/>
      <c r="F126" s="18"/>
      <c r="G126" s="18"/>
      <c r="H126" s="21"/>
      <c r="I126" s="19"/>
      <c r="J126" s="8" t="str">
        <f aca="false">IF(OR(E126="",F126=""),"",E126*F126)</f>
        <v/>
      </c>
      <c r="K126" s="22" t="str">
        <f aca="false">IF($M126="","",INDEX('Программа тренировок'!$G$6:$G$25,$M126))</f>
        <v/>
      </c>
      <c r="L126" s="23" t="str">
        <f aca="false">IF(OR($M126="",$F126="",$G126=""),"",IF($H126="Разминка","Разминка",IF($F126&lt;INDEX('Программа тренировок'!$E$6:$E$25,$M126),"Ниже диапазона",IF(AND($F126&gt;=INDEX('Программа тренировок'!$F$6:$F$25,$M126),$G126&gt;=INDEX('Программа тренировок'!$L$6:$L$25,$M126)),"Верх диапазона: пора добавлять вес",IF($G126&lt;INDEX('Программа тренировок'!$L$6:$L$25,$M126),"RIR ниже цели","В диапазоне")))))</f>
        <v/>
      </c>
      <c r="M126" s="23" t="str">
        <f aca="false">IF($C126="","",IFERROR(MATCH($C126,'Программа тренировок'!$C$6:$C$25,0),""))</f>
        <v/>
      </c>
    </row>
    <row r="127" customFormat="false" ht="15" hidden="false" customHeight="true" outlineLevel="0" collapsed="false">
      <c r="A127" s="20"/>
      <c r="B127" s="21"/>
      <c r="C127" s="19"/>
      <c r="D127" s="18"/>
      <c r="E127" s="17"/>
      <c r="F127" s="18"/>
      <c r="G127" s="18"/>
      <c r="H127" s="21"/>
      <c r="I127" s="19"/>
      <c r="J127" s="8" t="str">
        <f aca="false">IF(OR(E127="",F127=""),"",E127*F127)</f>
        <v/>
      </c>
      <c r="K127" s="22" t="str">
        <f aca="false">IF($M127="","",INDEX('Программа тренировок'!$G$6:$G$25,$M127))</f>
        <v/>
      </c>
      <c r="L127" s="23" t="str">
        <f aca="false">IF(OR($M127="",$F127="",$G127=""),"",IF($H127="Разминка","Разминка",IF($F127&lt;INDEX('Программа тренировок'!$E$6:$E$25,$M127),"Ниже диапазона",IF(AND($F127&gt;=INDEX('Программа тренировок'!$F$6:$F$25,$M127),$G127&gt;=INDEX('Программа тренировок'!$L$6:$L$25,$M127)),"Верх диапазона: пора добавлять вес",IF($G127&lt;INDEX('Программа тренировок'!$L$6:$L$25,$M127),"RIR ниже цели","В диапазоне")))))</f>
        <v/>
      </c>
      <c r="M127" s="23" t="str">
        <f aca="false">IF($C127="","",IFERROR(MATCH($C127,'Программа тренировок'!$C$6:$C$25,0),""))</f>
        <v/>
      </c>
    </row>
    <row r="128" customFormat="false" ht="15" hidden="false" customHeight="true" outlineLevel="0" collapsed="false">
      <c r="A128" s="20"/>
      <c r="B128" s="21"/>
      <c r="C128" s="19"/>
      <c r="D128" s="18"/>
      <c r="E128" s="17"/>
      <c r="F128" s="18"/>
      <c r="G128" s="18"/>
      <c r="H128" s="21"/>
      <c r="I128" s="19"/>
      <c r="J128" s="8" t="str">
        <f aca="false">IF(OR(E128="",F128=""),"",E128*F128)</f>
        <v/>
      </c>
      <c r="K128" s="22" t="str">
        <f aca="false">IF($M128="","",INDEX('Программа тренировок'!$G$6:$G$25,$M128))</f>
        <v/>
      </c>
      <c r="L128" s="23" t="str">
        <f aca="false">IF(OR($M128="",$F128="",$G128=""),"",IF($H128="Разминка","Разминка",IF($F128&lt;INDEX('Программа тренировок'!$E$6:$E$25,$M128),"Ниже диапазона",IF(AND($F128&gt;=INDEX('Программа тренировок'!$F$6:$F$25,$M128),$G128&gt;=INDEX('Программа тренировок'!$L$6:$L$25,$M128)),"Верх диапазона: пора добавлять вес",IF($G128&lt;INDEX('Программа тренировок'!$L$6:$L$25,$M128),"RIR ниже цели","В диапазоне")))))</f>
        <v/>
      </c>
      <c r="M128" s="23" t="str">
        <f aca="false">IF($C128="","",IFERROR(MATCH($C128,'Программа тренировок'!$C$6:$C$25,0),""))</f>
        <v/>
      </c>
    </row>
    <row r="129" customFormat="false" ht="15" hidden="false" customHeight="true" outlineLevel="0" collapsed="false">
      <c r="A129" s="20"/>
      <c r="B129" s="21"/>
      <c r="C129" s="19"/>
      <c r="D129" s="18"/>
      <c r="E129" s="17"/>
      <c r="F129" s="18"/>
      <c r="G129" s="18"/>
      <c r="H129" s="21"/>
      <c r="I129" s="19"/>
      <c r="J129" s="8" t="str">
        <f aca="false">IF(OR(E129="",F129=""),"",E129*F129)</f>
        <v/>
      </c>
      <c r="K129" s="22" t="str">
        <f aca="false">IF($M129="","",INDEX('Программа тренировок'!$G$6:$G$25,$M129))</f>
        <v/>
      </c>
      <c r="L129" s="23" t="str">
        <f aca="false">IF(OR($M129="",$F129="",$G129=""),"",IF($H129="Разминка","Разминка",IF($F129&lt;INDEX('Программа тренировок'!$E$6:$E$25,$M129),"Ниже диапазона",IF(AND($F129&gt;=INDEX('Программа тренировок'!$F$6:$F$25,$M129),$G129&gt;=INDEX('Программа тренировок'!$L$6:$L$25,$M129)),"Верх диапазона: пора добавлять вес",IF($G129&lt;INDEX('Программа тренировок'!$L$6:$L$25,$M129),"RIR ниже цели","В диапазоне")))))</f>
        <v/>
      </c>
      <c r="M129" s="23" t="str">
        <f aca="false">IF($C129="","",IFERROR(MATCH($C129,'Программа тренировок'!$C$6:$C$25,0),""))</f>
        <v/>
      </c>
    </row>
    <row r="130" customFormat="false" ht="15" hidden="false" customHeight="true" outlineLevel="0" collapsed="false">
      <c r="A130" s="20"/>
      <c r="B130" s="21"/>
      <c r="C130" s="19"/>
      <c r="D130" s="18"/>
      <c r="E130" s="17"/>
      <c r="F130" s="18"/>
      <c r="G130" s="18"/>
      <c r="H130" s="21"/>
      <c r="I130" s="19"/>
      <c r="J130" s="8" t="str">
        <f aca="false">IF(OR(E130="",F130=""),"",E130*F130)</f>
        <v/>
      </c>
      <c r="K130" s="22" t="str">
        <f aca="false">IF($M130="","",INDEX('Программа тренировок'!$G$6:$G$25,$M130))</f>
        <v/>
      </c>
      <c r="L130" s="23" t="str">
        <f aca="false">IF(OR($M130="",$F130="",$G130=""),"",IF($H130="Разминка","Разминка",IF($F130&lt;INDEX('Программа тренировок'!$E$6:$E$25,$M130),"Ниже диапазона",IF(AND($F130&gt;=INDEX('Программа тренировок'!$F$6:$F$25,$M130),$G130&gt;=INDEX('Программа тренировок'!$L$6:$L$25,$M130)),"Верх диапазона: пора добавлять вес",IF($G130&lt;INDEX('Программа тренировок'!$L$6:$L$25,$M130),"RIR ниже цели","В диапазоне")))))</f>
        <v/>
      </c>
      <c r="M130" s="23" t="str">
        <f aca="false">IF($C130="","",IFERROR(MATCH($C130,'Программа тренировок'!$C$6:$C$25,0),""))</f>
        <v/>
      </c>
    </row>
    <row r="131" customFormat="false" ht="15" hidden="false" customHeight="true" outlineLevel="0" collapsed="false">
      <c r="A131" s="20"/>
      <c r="B131" s="21"/>
      <c r="C131" s="19"/>
      <c r="D131" s="18"/>
      <c r="E131" s="17"/>
      <c r="F131" s="18"/>
      <c r="G131" s="18"/>
      <c r="H131" s="21"/>
      <c r="I131" s="19"/>
      <c r="J131" s="8" t="str">
        <f aca="false">IF(OR(E131="",F131=""),"",E131*F131)</f>
        <v/>
      </c>
      <c r="K131" s="22" t="str">
        <f aca="false">IF($M131="","",INDEX('Программа тренировок'!$G$6:$G$25,$M131))</f>
        <v/>
      </c>
      <c r="L131" s="23" t="str">
        <f aca="false">IF(OR($M131="",$F131="",$G131=""),"",IF($H131="Разминка","Разминка",IF($F131&lt;INDEX('Программа тренировок'!$E$6:$E$25,$M131),"Ниже диапазона",IF(AND($F131&gt;=INDEX('Программа тренировок'!$F$6:$F$25,$M131),$G131&gt;=INDEX('Программа тренировок'!$L$6:$L$25,$M131)),"Верх диапазона: пора добавлять вес",IF($G131&lt;INDEX('Программа тренировок'!$L$6:$L$25,$M131),"RIR ниже цели","В диапазоне")))))</f>
        <v/>
      </c>
      <c r="M131" s="23" t="str">
        <f aca="false">IF($C131="","",IFERROR(MATCH($C131,'Программа тренировок'!$C$6:$C$25,0),""))</f>
        <v/>
      </c>
    </row>
    <row r="132" customFormat="false" ht="15" hidden="false" customHeight="true" outlineLevel="0" collapsed="false">
      <c r="A132" s="20"/>
      <c r="B132" s="21"/>
      <c r="C132" s="19"/>
      <c r="D132" s="18"/>
      <c r="E132" s="17"/>
      <c r="F132" s="18"/>
      <c r="G132" s="18"/>
      <c r="H132" s="21"/>
      <c r="I132" s="19"/>
      <c r="J132" s="8" t="str">
        <f aca="false">IF(OR(E132="",F132=""),"",E132*F132)</f>
        <v/>
      </c>
      <c r="K132" s="22" t="str">
        <f aca="false">IF($M132="","",INDEX('Программа тренировок'!$G$6:$G$25,$M132))</f>
        <v/>
      </c>
      <c r="L132" s="23" t="str">
        <f aca="false">IF(OR($M132="",$F132="",$G132=""),"",IF($H132="Разминка","Разминка",IF($F132&lt;INDEX('Программа тренировок'!$E$6:$E$25,$M132),"Ниже диапазона",IF(AND($F132&gt;=INDEX('Программа тренировок'!$F$6:$F$25,$M132),$G132&gt;=INDEX('Программа тренировок'!$L$6:$L$25,$M132)),"Верх диапазона: пора добавлять вес",IF($G132&lt;INDEX('Программа тренировок'!$L$6:$L$25,$M132),"RIR ниже цели","В диапазоне")))))</f>
        <v/>
      </c>
      <c r="M132" s="23" t="str">
        <f aca="false">IF($C132="","",IFERROR(MATCH($C132,'Программа тренировок'!$C$6:$C$25,0),""))</f>
        <v/>
      </c>
    </row>
    <row r="133" customFormat="false" ht="15" hidden="false" customHeight="true" outlineLevel="0" collapsed="false">
      <c r="A133" s="20"/>
      <c r="B133" s="21"/>
      <c r="C133" s="19"/>
      <c r="D133" s="18"/>
      <c r="E133" s="17"/>
      <c r="F133" s="18"/>
      <c r="G133" s="18"/>
      <c r="H133" s="21"/>
      <c r="I133" s="19"/>
      <c r="J133" s="8" t="str">
        <f aca="false">IF(OR(E133="",F133=""),"",E133*F133)</f>
        <v/>
      </c>
      <c r="K133" s="22" t="str">
        <f aca="false">IF($M133="","",INDEX('Программа тренировок'!$G$6:$G$25,$M133))</f>
        <v/>
      </c>
      <c r="L133" s="23" t="str">
        <f aca="false">IF(OR($M133="",$F133="",$G133=""),"",IF($H133="Разминка","Разминка",IF($F133&lt;INDEX('Программа тренировок'!$E$6:$E$25,$M133),"Ниже диапазона",IF(AND($F133&gt;=INDEX('Программа тренировок'!$F$6:$F$25,$M133),$G133&gt;=INDEX('Программа тренировок'!$L$6:$L$25,$M133)),"Верх диапазона: пора добавлять вес",IF($G133&lt;INDEX('Программа тренировок'!$L$6:$L$25,$M133),"RIR ниже цели","В диапазоне")))))</f>
        <v/>
      </c>
      <c r="M133" s="23" t="str">
        <f aca="false">IF($C133="","",IFERROR(MATCH($C133,'Программа тренировок'!$C$6:$C$25,0),""))</f>
        <v/>
      </c>
    </row>
    <row r="134" customFormat="false" ht="15" hidden="false" customHeight="true" outlineLevel="0" collapsed="false">
      <c r="A134" s="20"/>
      <c r="B134" s="21"/>
      <c r="C134" s="19"/>
      <c r="D134" s="18"/>
      <c r="E134" s="17"/>
      <c r="F134" s="18"/>
      <c r="G134" s="18"/>
      <c r="H134" s="21"/>
      <c r="I134" s="19"/>
      <c r="J134" s="8" t="str">
        <f aca="false">IF(OR(E134="",F134=""),"",E134*F134)</f>
        <v/>
      </c>
      <c r="K134" s="22" t="str">
        <f aca="false">IF($M134="","",INDEX('Программа тренировок'!$G$6:$G$25,$M134))</f>
        <v/>
      </c>
      <c r="L134" s="23" t="str">
        <f aca="false">IF(OR($M134="",$F134="",$G134=""),"",IF($H134="Разминка","Разминка",IF($F134&lt;INDEX('Программа тренировок'!$E$6:$E$25,$M134),"Ниже диапазона",IF(AND($F134&gt;=INDEX('Программа тренировок'!$F$6:$F$25,$M134),$G134&gt;=INDEX('Программа тренировок'!$L$6:$L$25,$M134)),"Верх диапазона: пора добавлять вес",IF($G134&lt;INDEX('Программа тренировок'!$L$6:$L$25,$M134),"RIR ниже цели","В диапазоне")))))</f>
        <v/>
      </c>
      <c r="M134" s="23" t="str">
        <f aca="false">IF($C134="","",IFERROR(MATCH($C134,'Программа тренировок'!$C$6:$C$25,0),""))</f>
        <v/>
      </c>
    </row>
    <row r="135" customFormat="false" ht="15" hidden="false" customHeight="true" outlineLevel="0" collapsed="false">
      <c r="A135" s="20"/>
      <c r="B135" s="21"/>
      <c r="C135" s="19"/>
      <c r="D135" s="18"/>
      <c r="E135" s="17"/>
      <c r="F135" s="18"/>
      <c r="G135" s="18"/>
      <c r="H135" s="21"/>
      <c r="I135" s="19"/>
      <c r="J135" s="8" t="str">
        <f aca="false">IF(OR(E135="",F135=""),"",E135*F135)</f>
        <v/>
      </c>
      <c r="K135" s="22" t="str">
        <f aca="false">IF($M135="","",INDEX('Программа тренировок'!$G$6:$G$25,$M135))</f>
        <v/>
      </c>
      <c r="L135" s="23" t="str">
        <f aca="false">IF(OR($M135="",$F135="",$G135=""),"",IF($H135="Разминка","Разминка",IF($F135&lt;INDEX('Программа тренировок'!$E$6:$E$25,$M135),"Ниже диапазона",IF(AND($F135&gt;=INDEX('Программа тренировок'!$F$6:$F$25,$M135),$G135&gt;=INDEX('Программа тренировок'!$L$6:$L$25,$M135)),"Верх диапазона: пора добавлять вес",IF($G135&lt;INDEX('Программа тренировок'!$L$6:$L$25,$M135),"RIR ниже цели","В диапазоне")))))</f>
        <v/>
      </c>
      <c r="M135" s="23" t="str">
        <f aca="false">IF($C135="","",IFERROR(MATCH($C135,'Программа тренировок'!$C$6:$C$25,0),""))</f>
        <v/>
      </c>
    </row>
    <row r="136" customFormat="false" ht="15" hidden="false" customHeight="true" outlineLevel="0" collapsed="false">
      <c r="A136" s="20"/>
      <c r="B136" s="21"/>
      <c r="C136" s="19"/>
      <c r="D136" s="18"/>
      <c r="E136" s="17"/>
      <c r="F136" s="18"/>
      <c r="G136" s="18"/>
      <c r="H136" s="21"/>
      <c r="I136" s="19"/>
      <c r="J136" s="8" t="str">
        <f aca="false">IF(OR(E136="",F136=""),"",E136*F136)</f>
        <v/>
      </c>
      <c r="K136" s="22" t="str">
        <f aca="false">IF($M136="","",INDEX('Программа тренировок'!$G$6:$G$25,$M136))</f>
        <v/>
      </c>
      <c r="L136" s="23" t="str">
        <f aca="false">IF(OR($M136="",$F136="",$G136=""),"",IF($H136="Разминка","Разминка",IF($F136&lt;INDEX('Программа тренировок'!$E$6:$E$25,$M136),"Ниже диапазона",IF(AND($F136&gt;=INDEX('Программа тренировок'!$F$6:$F$25,$M136),$G136&gt;=INDEX('Программа тренировок'!$L$6:$L$25,$M136)),"Верх диапазона: пора добавлять вес",IF($G136&lt;INDEX('Программа тренировок'!$L$6:$L$25,$M136),"RIR ниже цели","В диапазоне")))))</f>
        <v/>
      </c>
      <c r="M136" s="23" t="str">
        <f aca="false">IF($C136="","",IFERROR(MATCH($C136,'Программа тренировок'!$C$6:$C$25,0),""))</f>
        <v/>
      </c>
    </row>
    <row r="137" customFormat="false" ht="15" hidden="false" customHeight="true" outlineLevel="0" collapsed="false">
      <c r="A137" s="20"/>
      <c r="B137" s="21"/>
      <c r="C137" s="19"/>
      <c r="D137" s="18"/>
      <c r="E137" s="17"/>
      <c r="F137" s="18"/>
      <c r="G137" s="18"/>
      <c r="H137" s="21"/>
      <c r="I137" s="19"/>
      <c r="J137" s="8" t="str">
        <f aca="false">IF(OR(E137="",F137=""),"",E137*F137)</f>
        <v/>
      </c>
      <c r="K137" s="22" t="str">
        <f aca="false">IF($M137="","",INDEX('Программа тренировок'!$G$6:$G$25,$M137))</f>
        <v/>
      </c>
      <c r="L137" s="23" t="str">
        <f aca="false">IF(OR($M137="",$F137="",$G137=""),"",IF($H137="Разминка","Разминка",IF($F137&lt;INDEX('Программа тренировок'!$E$6:$E$25,$M137),"Ниже диапазона",IF(AND($F137&gt;=INDEX('Программа тренировок'!$F$6:$F$25,$M137),$G137&gt;=INDEX('Программа тренировок'!$L$6:$L$25,$M137)),"Верх диапазона: пора добавлять вес",IF($G137&lt;INDEX('Программа тренировок'!$L$6:$L$25,$M137),"RIR ниже цели","В диапазоне")))))</f>
        <v/>
      </c>
      <c r="M137" s="23" t="str">
        <f aca="false">IF($C137="","",IFERROR(MATCH($C137,'Программа тренировок'!$C$6:$C$25,0),""))</f>
        <v/>
      </c>
    </row>
    <row r="138" customFormat="false" ht="15" hidden="false" customHeight="true" outlineLevel="0" collapsed="false">
      <c r="A138" s="20"/>
      <c r="B138" s="21"/>
      <c r="C138" s="19"/>
      <c r="D138" s="18"/>
      <c r="E138" s="17"/>
      <c r="F138" s="18"/>
      <c r="G138" s="18"/>
      <c r="H138" s="21"/>
      <c r="I138" s="19"/>
      <c r="J138" s="8" t="str">
        <f aca="false">IF(OR(E138="",F138=""),"",E138*F138)</f>
        <v/>
      </c>
      <c r="K138" s="22" t="str">
        <f aca="false">IF($M138="","",INDEX('Программа тренировок'!$G$6:$G$25,$M138))</f>
        <v/>
      </c>
      <c r="L138" s="23" t="str">
        <f aca="false">IF(OR($M138="",$F138="",$G138=""),"",IF($H138="Разминка","Разминка",IF($F138&lt;INDEX('Программа тренировок'!$E$6:$E$25,$M138),"Ниже диапазона",IF(AND($F138&gt;=INDEX('Программа тренировок'!$F$6:$F$25,$M138),$G138&gt;=INDEX('Программа тренировок'!$L$6:$L$25,$M138)),"Верх диапазона: пора добавлять вес",IF($G138&lt;INDEX('Программа тренировок'!$L$6:$L$25,$M138),"RIR ниже цели","В диапазоне")))))</f>
        <v/>
      </c>
      <c r="M138" s="23" t="str">
        <f aca="false">IF($C138="","",IFERROR(MATCH($C138,'Программа тренировок'!$C$6:$C$25,0),""))</f>
        <v/>
      </c>
    </row>
    <row r="139" customFormat="false" ht="15" hidden="false" customHeight="true" outlineLevel="0" collapsed="false">
      <c r="A139" s="20"/>
      <c r="B139" s="21"/>
      <c r="C139" s="19"/>
      <c r="D139" s="18"/>
      <c r="E139" s="17"/>
      <c r="F139" s="18"/>
      <c r="G139" s="18"/>
      <c r="H139" s="21"/>
      <c r="I139" s="19"/>
      <c r="J139" s="8" t="str">
        <f aca="false">IF(OR(E139="",F139=""),"",E139*F139)</f>
        <v/>
      </c>
      <c r="K139" s="22" t="str">
        <f aca="false">IF($M139="","",INDEX('Программа тренировок'!$G$6:$G$25,$M139))</f>
        <v/>
      </c>
      <c r="L139" s="23" t="str">
        <f aca="false">IF(OR($M139="",$F139="",$G139=""),"",IF($H139="Разминка","Разминка",IF($F139&lt;INDEX('Программа тренировок'!$E$6:$E$25,$M139),"Ниже диапазона",IF(AND($F139&gt;=INDEX('Программа тренировок'!$F$6:$F$25,$M139),$G139&gt;=INDEX('Программа тренировок'!$L$6:$L$25,$M139)),"Верх диапазона: пора добавлять вес",IF($G139&lt;INDEX('Программа тренировок'!$L$6:$L$25,$M139),"RIR ниже цели","В диапазоне")))))</f>
        <v/>
      </c>
      <c r="M139" s="23" t="str">
        <f aca="false">IF($C139="","",IFERROR(MATCH($C139,'Программа тренировок'!$C$6:$C$25,0),""))</f>
        <v/>
      </c>
    </row>
    <row r="140" customFormat="false" ht="15" hidden="false" customHeight="true" outlineLevel="0" collapsed="false">
      <c r="A140" s="20"/>
      <c r="B140" s="21"/>
      <c r="C140" s="19"/>
      <c r="D140" s="18"/>
      <c r="E140" s="17"/>
      <c r="F140" s="18"/>
      <c r="G140" s="18"/>
      <c r="H140" s="21"/>
      <c r="I140" s="19"/>
      <c r="J140" s="8" t="str">
        <f aca="false">IF(OR(E140="",F140=""),"",E140*F140)</f>
        <v/>
      </c>
      <c r="K140" s="22" t="str">
        <f aca="false">IF($M140="","",INDEX('Программа тренировок'!$G$6:$G$25,$M140))</f>
        <v/>
      </c>
      <c r="L140" s="23" t="str">
        <f aca="false">IF(OR($M140="",$F140="",$G140=""),"",IF($H140="Разминка","Разминка",IF($F140&lt;INDEX('Программа тренировок'!$E$6:$E$25,$M140),"Ниже диапазона",IF(AND($F140&gt;=INDEX('Программа тренировок'!$F$6:$F$25,$M140),$G140&gt;=INDEX('Программа тренировок'!$L$6:$L$25,$M140)),"Верх диапазона: пора добавлять вес",IF($G140&lt;INDEX('Программа тренировок'!$L$6:$L$25,$M140),"RIR ниже цели","В диапазоне")))))</f>
        <v/>
      </c>
      <c r="M140" s="23" t="str">
        <f aca="false">IF($C140="","",IFERROR(MATCH($C140,'Программа тренировок'!$C$6:$C$25,0),""))</f>
        <v/>
      </c>
    </row>
    <row r="141" customFormat="false" ht="15" hidden="false" customHeight="true" outlineLevel="0" collapsed="false">
      <c r="A141" s="20"/>
      <c r="B141" s="21"/>
      <c r="C141" s="19"/>
      <c r="D141" s="18"/>
      <c r="E141" s="17"/>
      <c r="F141" s="18"/>
      <c r="G141" s="18"/>
      <c r="H141" s="21"/>
      <c r="I141" s="19"/>
      <c r="J141" s="8" t="str">
        <f aca="false">IF(OR(E141="",F141=""),"",E141*F141)</f>
        <v/>
      </c>
      <c r="K141" s="22" t="str">
        <f aca="false">IF($M141="","",INDEX('Программа тренировок'!$G$6:$G$25,$M141))</f>
        <v/>
      </c>
      <c r="L141" s="23" t="str">
        <f aca="false">IF(OR($M141="",$F141="",$G141=""),"",IF($H141="Разминка","Разминка",IF($F141&lt;INDEX('Программа тренировок'!$E$6:$E$25,$M141),"Ниже диапазона",IF(AND($F141&gt;=INDEX('Программа тренировок'!$F$6:$F$25,$M141),$G141&gt;=INDEX('Программа тренировок'!$L$6:$L$25,$M141)),"Верх диапазона: пора добавлять вес",IF($G141&lt;INDEX('Программа тренировок'!$L$6:$L$25,$M141),"RIR ниже цели","В диапазоне")))))</f>
        <v/>
      </c>
      <c r="M141" s="23" t="str">
        <f aca="false">IF($C141="","",IFERROR(MATCH($C141,'Программа тренировок'!$C$6:$C$25,0),""))</f>
        <v/>
      </c>
    </row>
    <row r="142" customFormat="false" ht="15" hidden="false" customHeight="true" outlineLevel="0" collapsed="false">
      <c r="A142" s="20"/>
      <c r="B142" s="21"/>
      <c r="C142" s="19"/>
      <c r="D142" s="18"/>
      <c r="E142" s="17"/>
      <c r="F142" s="18"/>
      <c r="G142" s="18"/>
      <c r="H142" s="21"/>
      <c r="I142" s="19"/>
      <c r="J142" s="8" t="str">
        <f aca="false">IF(OR(E142="",F142=""),"",E142*F142)</f>
        <v/>
      </c>
      <c r="K142" s="22" t="str">
        <f aca="false">IF($M142="","",INDEX('Программа тренировок'!$G$6:$G$25,$M142))</f>
        <v/>
      </c>
      <c r="L142" s="23" t="str">
        <f aca="false">IF(OR($M142="",$F142="",$G142=""),"",IF($H142="Разминка","Разминка",IF($F142&lt;INDEX('Программа тренировок'!$E$6:$E$25,$M142),"Ниже диапазона",IF(AND($F142&gt;=INDEX('Программа тренировок'!$F$6:$F$25,$M142),$G142&gt;=INDEX('Программа тренировок'!$L$6:$L$25,$M142)),"Верх диапазона: пора добавлять вес",IF($G142&lt;INDEX('Программа тренировок'!$L$6:$L$25,$M142),"RIR ниже цели","В диапазоне")))))</f>
        <v/>
      </c>
      <c r="M142" s="23" t="str">
        <f aca="false">IF($C142="","",IFERROR(MATCH($C142,'Программа тренировок'!$C$6:$C$25,0),""))</f>
        <v/>
      </c>
    </row>
    <row r="143" customFormat="false" ht="15" hidden="false" customHeight="true" outlineLevel="0" collapsed="false">
      <c r="A143" s="20"/>
      <c r="B143" s="21"/>
      <c r="C143" s="19"/>
      <c r="D143" s="18"/>
      <c r="E143" s="17"/>
      <c r="F143" s="18"/>
      <c r="G143" s="18"/>
      <c r="H143" s="21"/>
      <c r="I143" s="19"/>
      <c r="J143" s="8" t="str">
        <f aca="false">IF(OR(E143="",F143=""),"",E143*F143)</f>
        <v/>
      </c>
      <c r="K143" s="22" t="str">
        <f aca="false">IF($M143="","",INDEX('Программа тренировок'!$G$6:$G$25,$M143))</f>
        <v/>
      </c>
      <c r="L143" s="23" t="str">
        <f aca="false">IF(OR($M143="",$F143="",$G143=""),"",IF($H143="Разминка","Разминка",IF($F143&lt;INDEX('Программа тренировок'!$E$6:$E$25,$M143),"Ниже диапазона",IF(AND($F143&gt;=INDEX('Программа тренировок'!$F$6:$F$25,$M143),$G143&gt;=INDEX('Программа тренировок'!$L$6:$L$25,$M143)),"Верх диапазона: пора добавлять вес",IF($G143&lt;INDEX('Программа тренировок'!$L$6:$L$25,$M143),"RIR ниже цели","В диапазоне")))))</f>
        <v/>
      </c>
      <c r="M143" s="23" t="str">
        <f aca="false">IF($C143="","",IFERROR(MATCH($C143,'Программа тренировок'!$C$6:$C$25,0),""))</f>
        <v/>
      </c>
    </row>
    <row r="144" customFormat="false" ht="15" hidden="false" customHeight="true" outlineLevel="0" collapsed="false">
      <c r="A144" s="20"/>
      <c r="B144" s="21"/>
      <c r="C144" s="19"/>
      <c r="D144" s="18"/>
      <c r="E144" s="17"/>
      <c r="F144" s="18"/>
      <c r="G144" s="18"/>
      <c r="H144" s="21"/>
      <c r="I144" s="19"/>
      <c r="J144" s="8" t="str">
        <f aca="false">IF(OR(E144="",F144=""),"",E144*F144)</f>
        <v/>
      </c>
      <c r="K144" s="22" t="str">
        <f aca="false">IF($M144="","",INDEX('Программа тренировок'!$G$6:$G$25,$M144))</f>
        <v/>
      </c>
      <c r="L144" s="23" t="str">
        <f aca="false">IF(OR($M144="",$F144="",$G144=""),"",IF($H144="Разминка","Разминка",IF($F144&lt;INDEX('Программа тренировок'!$E$6:$E$25,$M144),"Ниже диапазона",IF(AND($F144&gt;=INDEX('Программа тренировок'!$F$6:$F$25,$M144),$G144&gt;=INDEX('Программа тренировок'!$L$6:$L$25,$M144)),"Верх диапазона: пора добавлять вес",IF($G144&lt;INDEX('Программа тренировок'!$L$6:$L$25,$M144),"RIR ниже цели","В диапазоне")))))</f>
        <v/>
      </c>
      <c r="M144" s="23" t="str">
        <f aca="false">IF($C144="","",IFERROR(MATCH($C144,'Программа тренировок'!$C$6:$C$25,0),""))</f>
        <v/>
      </c>
    </row>
    <row r="145" customFormat="false" ht="15" hidden="false" customHeight="true" outlineLevel="0" collapsed="false">
      <c r="A145" s="20"/>
      <c r="B145" s="21"/>
      <c r="C145" s="19"/>
      <c r="D145" s="18"/>
      <c r="E145" s="17"/>
      <c r="F145" s="18"/>
      <c r="G145" s="18"/>
      <c r="H145" s="21"/>
      <c r="I145" s="19"/>
      <c r="J145" s="8" t="str">
        <f aca="false">IF(OR(E145="",F145=""),"",E145*F145)</f>
        <v/>
      </c>
      <c r="K145" s="22" t="str">
        <f aca="false">IF($M145="","",INDEX('Программа тренировок'!$G$6:$G$25,$M145))</f>
        <v/>
      </c>
      <c r="L145" s="23" t="str">
        <f aca="false">IF(OR($M145="",$F145="",$G145=""),"",IF($H145="Разминка","Разминка",IF($F145&lt;INDEX('Программа тренировок'!$E$6:$E$25,$M145),"Ниже диапазона",IF(AND($F145&gt;=INDEX('Программа тренировок'!$F$6:$F$25,$M145),$G145&gt;=INDEX('Программа тренировок'!$L$6:$L$25,$M145)),"Верх диапазона: пора добавлять вес",IF($G145&lt;INDEX('Программа тренировок'!$L$6:$L$25,$M145),"RIR ниже цели","В диапазоне")))))</f>
        <v/>
      </c>
      <c r="M145" s="23" t="str">
        <f aca="false">IF($C145="","",IFERROR(MATCH($C145,'Программа тренировок'!$C$6:$C$25,0),""))</f>
        <v/>
      </c>
    </row>
    <row r="146" customFormat="false" ht="15" hidden="false" customHeight="true" outlineLevel="0" collapsed="false">
      <c r="A146" s="20"/>
      <c r="B146" s="21"/>
      <c r="C146" s="19"/>
      <c r="D146" s="18"/>
      <c r="E146" s="17"/>
      <c r="F146" s="18"/>
      <c r="G146" s="18"/>
      <c r="H146" s="21"/>
      <c r="I146" s="19"/>
      <c r="J146" s="8" t="str">
        <f aca="false">IF(OR(E146="",F146=""),"",E146*F146)</f>
        <v/>
      </c>
      <c r="K146" s="22" t="str">
        <f aca="false">IF($M146="","",INDEX('Программа тренировок'!$G$6:$G$25,$M146))</f>
        <v/>
      </c>
      <c r="L146" s="23" t="str">
        <f aca="false">IF(OR($M146="",$F146="",$G146=""),"",IF($H146="Разминка","Разминка",IF($F146&lt;INDEX('Программа тренировок'!$E$6:$E$25,$M146),"Ниже диапазона",IF(AND($F146&gt;=INDEX('Программа тренировок'!$F$6:$F$25,$M146),$G146&gt;=INDEX('Программа тренировок'!$L$6:$L$25,$M146)),"Верх диапазона: пора добавлять вес",IF($G146&lt;INDEX('Программа тренировок'!$L$6:$L$25,$M146),"RIR ниже цели","В диапазоне")))))</f>
        <v/>
      </c>
      <c r="M146" s="23" t="str">
        <f aca="false">IF($C146="","",IFERROR(MATCH($C146,'Программа тренировок'!$C$6:$C$25,0),""))</f>
        <v/>
      </c>
    </row>
    <row r="147" customFormat="false" ht="15" hidden="false" customHeight="true" outlineLevel="0" collapsed="false">
      <c r="A147" s="20"/>
      <c r="B147" s="21"/>
      <c r="C147" s="19"/>
      <c r="D147" s="18"/>
      <c r="E147" s="17"/>
      <c r="F147" s="18"/>
      <c r="G147" s="18"/>
      <c r="H147" s="21"/>
      <c r="I147" s="19"/>
      <c r="J147" s="8" t="str">
        <f aca="false">IF(OR(E147="",F147=""),"",E147*F147)</f>
        <v/>
      </c>
      <c r="K147" s="22" t="str">
        <f aca="false">IF($M147="","",INDEX('Программа тренировок'!$G$6:$G$25,$M147))</f>
        <v/>
      </c>
      <c r="L147" s="23" t="str">
        <f aca="false">IF(OR($M147="",$F147="",$G147=""),"",IF($H147="Разминка","Разминка",IF($F147&lt;INDEX('Программа тренировок'!$E$6:$E$25,$M147),"Ниже диапазона",IF(AND($F147&gt;=INDEX('Программа тренировок'!$F$6:$F$25,$M147),$G147&gt;=INDEX('Программа тренировок'!$L$6:$L$25,$M147)),"Верх диапазона: пора добавлять вес",IF($G147&lt;INDEX('Программа тренировок'!$L$6:$L$25,$M147),"RIR ниже цели","В диапазоне")))))</f>
        <v/>
      </c>
      <c r="M147" s="23" t="str">
        <f aca="false">IF($C147="","",IFERROR(MATCH($C147,'Программа тренировок'!$C$6:$C$25,0),""))</f>
        <v/>
      </c>
    </row>
    <row r="148" customFormat="false" ht="15" hidden="false" customHeight="true" outlineLevel="0" collapsed="false">
      <c r="A148" s="20"/>
      <c r="B148" s="21"/>
      <c r="C148" s="19"/>
      <c r="D148" s="18"/>
      <c r="E148" s="17"/>
      <c r="F148" s="18"/>
      <c r="G148" s="18"/>
      <c r="H148" s="21"/>
      <c r="I148" s="19"/>
      <c r="J148" s="8" t="str">
        <f aca="false">IF(OR(E148="",F148=""),"",E148*F148)</f>
        <v/>
      </c>
      <c r="K148" s="22" t="str">
        <f aca="false">IF($M148="","",INDEX('Программа тренировок'!$G$6:$G$25,$M148))</f>
        <v/>
      </c>
      <c r="L148" s="23" t="str">
        <f aca="false">IF(OR($M148="",$F148="",$G148=""),"",IF($H148="Разминка","Разминка",IF($F148&lt;INDEX('Программа тренировок'!$E$6:$E$25,$M148),"Ниже диапазона",IF(AND($F148&gt;=INDEX('Программа тренировок'!$F$6:$F$25,$M148),$G148&gt;=INDEX('Программа тренировок'!$L$6:$L$25,$M148)),"Верх диапазона: пора добавлять вес",IF($G148&lt;INDEX('Программа тренировок'!$L$6:$L$25,$M148),"RIR ниже цели","В диапазоне")))))</f>
        <v/>
      </c>
      <c r="M148" s="23" t="str">
        <f aca="false">IF($C148="","",IFERROR(MATCH($C148,'Программа тренировок'!$C$6:$C$25,0),""))</f>
        <v/>
      </c>
    </row>
    <row r="149" customFormat="false" ht="15" hidden="false" customHeight="true" outlineLevel="0" collapsed="false">
      <c r="A149" s="20"/>
      <c r="B149" s="21"/>
      <c r="C149" s="19"/>
      <c r="D149" s="18"/>
      <c r="E149" s="17"/>
      <c r="F149" s="18"/>
      <c r="G149" s="18"/>
      <c r="H149" s="21"/>
      <c r="I149" s="19"/>
      <c r="J149" s="8" t="str">
        <f aca="false">IF(OR(E149="",F149=""),"",E149*F149)</f>
        <v/>
      </c>
      <c r="K149" s="22" t="str">
        <f aca="false">IF($M149="","",INDEX('Программа тренировок'!$G$6:$G$25,$M149))</f>
        <v/>
      </c>
      <c r="L149" s="23" t="str">
        <f aca="false">IF(OR($M149="",$F149="",$G149=""),"",IF($H149="Разминка","Разминка",IF($F149&lt;INDEX('Программа тренировок'!$E$6:$E$25,$M149),"Ниже диапазона",IF(AND($F149&gt;=INDEX('Программа тренировок'!$F$6:$F$25,$M149),$G149&gt;=INDEX('Программа тренировок'!$L$6:$L$25,$M149)),"Верх диапазона: пора добавлять вес",IF($G149&lt;INDEX('Программа тренировок'!$L$6:$L$25,$M149),"RIR ниже цели","В диапазоне")))))</f>
        <v/>
      </c>
      <c r="M149" s="23" t="str">
        <f aca="false">IF($C149="","",IFERROR(MATCH($C149,'Программа тренировок'!$C$6:$C$25,0),""))</f>
        <v/>
      </c>
    </row>
    <row r="150" customFormat="false" ht="15" hidden="false" customHeight="true" outlineLevel="0" collapsed="false">
      <c r="A150" s="20"/>
      <c r="B150" s="21"/>
      <c r="C150" s="19"/>
      <c r="D150" s="18"/>
      <c r="E150" s="17"/>
      <c r="F150" s="18"/>
      <c r="G150" s="18"/>
      <c r="H150" s="21"/>
      <c r="I150" s="19"/>
      <c r="J150" s="8" t="str">
        <f aca="false">IF(OR(E150="",F150=""),"",E150*F150)</f>
        <v/>
      </c>
      <c r="K150" s="22" t="str">
        <f aca="false">IF($M150="","",INDEX('Программа тренировок'!$G$6:$G$25,$M150))</f>
        <v/>
      </c>
      <c r="L150" s="23" t="str">
        <f aca="false">IF(OR($M150="",$F150="",$G150=""),"",IF($H150="Разминка","Разминка",IF($F150&lt;INDEX('Программа тренировок'!$E$6:$E$25,$M150),"Ниже диапазона",IF(AND($F150&gt;=INDEX('Программа тренировок'!$F$6:$F$25,$M150),$G150&gt;=INDEX('Программа тренировок'!$L$6:$L$25,$M150)),"Верх диапазона: пора добавлять вес",IF($G150&lt;INDEX('Программа тренировок'!$L$6:$L$25,$M150),"RIR ниже цели","В диапазоне")))))</f>
        <v/>
      </c>
      <c r="M150" s="23" t="str">
        <f aca="false">IF($C150="","",IFERROR(MATCH($C150,'Программа тренировок'!$C$6:$C$25,0),""))</f>
        <v/>
      </c>
    </row>
    <row r="151" customFormat="false" ht="15" hidden="false" customHeight="true" outlineLevel="0" collapsed="false">
      <c r="A151" s="20"/>
      <c r="B151" s="21"/>
      <c r="C151" s="19"/>
      <c r="D151" s="18"/>
      <c r="E151" s="17"/>
      <c r="F151" s="18"/>
      <c r="G151" s="18"/>
      <c r="H151" s="21"/>
      <c r="I151" s="19"/>
      <c r="J151" s="8" t="str">
        <f aca="false">IF(OR(E151="",F151=""),"",E151*F151)</f>
        <v/>
      </c>
      <c r="K151" s="22" t="str">
        <f aca="false">IF($M151="","",INDEX('Программа тренировок'!$G$6:$G$25,$M151))</f>
        <v/>
      </c>
      <c r="L151" s="23" t="str">
        <f aca="false">IF(OR($M151="",$F151="",$G151=""),"",IF($H151="Разминка","Разминка",IF($F151&lt;INDEX('Программа тренировок'!$E$6:$E$25,$M151),"Ниже диапазона",IF(AND($F151&gt;=INDEX('Программа тренировок'!$F$6:$F$25,$M151),$G151&gt;=INDEX('Программа тренировок'!$L$6:$L$25,$M151)),"Верх диапазона: пора добавлять вес",IF($G151&lt;INDEX('Программа тренировок'!$L$6:$L$25,$M151),"RIR ниже цели","В диапазоне")))))</f>
        <v/>
      </c>
      <c r="M151" s="23" t="str">
        <f aca="false">IF($C151="","",IFERROR(MATCH($C151,'Программа тренировок'!$C$6:$C$25,0),""))</f>
        <v/>
      </c>
    </row>
    <row r="152" customFormat="false" ht="15" hidden="false" customHeight="true" outlineLevel="0" collapsed="false">
      <c r="A152" s="20"/>
      <c r="B152" s="21"/>
      <c r="C152" s="19"/>
      <c r="D152" s="18"/>
      <c r="E152" s="17"/>
      <c r="F152" s="18"/>
      <c r="G152" s="18"/>
      <c r="H152" s="21"/>
      <c r="I152" s="19"/>
      <c r="J152" s="8" t="str">
        <f aca="false">IF(OR(E152="",F152=""),"",E152*F152)</f>
        <v/>
      </c>
      <c r="K152" s="22" t="str">
        <f aca="false">IF($M152="","",INDEX('Программа тренировок'!$G$6:$G$25,$M152))</f>
        <v/>
      </c>
      <c r="L152" s="23" t="str">
        <f aca="false">IF(OR($M152="",$F152="",$G152=""),"",IF($H152="Разминка","Разминка",IF($F152&lt;INDEX('Программа тренировок'!$E$6:$E$25,$M152),"Ниже диапазона",IF(AND($F152&gt;=INDEX('Программа тренировок'!$F$6:$F$25,$M152),$G152&gt;=INDEX('Программа тренировок'!$L$6:$L$25,$M152)),"Верх диапазона: пора добавлять вес",IF($G152&lt;INDEX('Программа тренировок'!$L$6:$L$25,$M152),"RIR ниже цели","В диапазоне")))))</f>
        <v/>
      </c>
      <c r="M152" s="23" t="str">
        <f aca="false">IF($C152="","",IFERROR(MATCH($C152,'Программа тренировок'!$C$6:$C$25,0),""))</f>
        <v/>
      </c>
    </row>
    <row r="153" customFormat="false" ht="15" hidden="false" customHeight="true" outlineLevel="0" collapsed="false">
      <c r="A153" s="20"/>
      <c r="B153" s="21"/>
      <c r="C153" s="19"/>
      <c r="D153" s="18"/>
      <c r="E153" s="17"/>
      <c r="F153" s="18"/>
      <c r="G153" s="18"/>
      <c r="H153" s="21"/>
      <c r="I153" s="19"/>
      <c r="J153" s="8" t="str">
        <f aca="false">IF(OR(E153="",F153=""),"",E153*F153)</f>
        <v/>
      </c>
      <c r="K153" s="22" t="str">
        <f aca="false">IF($M153="","",INDEX('Программа тренировок'!$G$6:$G$25,$M153))</f>
        <v/>
      </c>
      <c r="L153" s="23" t="str">
        <f aca="false">IF(OR($M153="",$F153="",$G153=""),"",IF($H153="Разминка","Разминка",IF($F153&lt;INDEX('Программа тренировок'!$E$6:$E$25,$M153),"Ниже диапазона",IF(AND($F153&gt;=INDEX('Программа тренировок'!$F$6:$F$25,$M153),$G153&gt;=INDEX('Программа тренировок'!$L$6:$L$25,$M153)),"Верх диапазона: пора добавлять вес",IF($G153&lt;INDEX('Программа тренировок'!$L$6:$L$25,$M153),"RIR ниже цели","В диапазоне")))))</f>
        <v/>
      </c>
      <c r="M153" s="23" t="str">
        <f aca="false">IF($C153="","",IFERROR(MATCH($C153,'Программа тренировок'!$C$6:$C$25,0),""))</f>
        <v/>
      </c>
    </row>
    <row r="154" customFormat="false" ht="15" hidden="false" customHeight="true" outlineLevel="0" collapsed="false">
      <c r="A154" s="20"/>
      <c r="B154" s="21"/>
      <c r="C154" s="19"/>
      <c r="D154" s="18"/>
      <c r="E154" s="17"/>
      <c r="F154" s="18"/>
      <c r="G154" s="18"/>
      <c r="H154" s="21"/>
      <c r="I154" s="19"/>
      <c r="J154" s="8" t="str">
        <f aca="false">IF(OR(E154="",F154=""),"",E154*F154)</f>
        <v/>
      </c>
      <c r="K154" s="22" t="str">
        <f aca="false">IF($M154="","",INDEX('Программа тренировок'!$G$6:$G$25,$M154))</f>
        <v/>
      </c>
      <c r="L154" s="23" t="str">
        <f aca="false">IF(OR($M154="",$F154="",$G154=""),"",IF($H154="Разминка","Разминка",IF($F154&lt;INDEX('Программа тренировок'!$E$6:$E$25,$M154),"Ниже диапазона",IF(AND($F154&gt;=INDEX('Программа тренировок'!$F$6:$F$25,$M154),$G154&gt;=INDEX('Программа тренировок'!$L$6:$L$25,$M154)),"Верх диапазона: пора добавлять вес",IF($G154&lt;INDEX('Программа тренировок'!$L$6:$L$25,$M154),"RIR ниже цели","В диапазоне")))))</f>
        <v/>
      </c>
      <c r="M154" s="23" t="str">
        <f aca="false">IF($C154="","",IFERROR(MATCH($C154,'Программа тренировок'!$C$6:$C$25,0),""))</f>
        <v/>
      </c>
    </row>
    <row r="155" customFormat="false" ht="15" hidden="false" customHeight="true" outlineLevel="0" collapsed="false">
      <c r="A155" s="20"/>
      <c r="B155" s="21"/>
      <c r="C155" s="19"/>
      <c r="D155" s="18"/>
      <c r="E155" s="17"/>
      <c r="F155" s="18"/>
      <c r="G155" s="18"/>
      <c r="H155" s="21"/>
      <c r="I155" s="19"/>
      <c r="J155" s="8" t="str">
        <f aca="false">IF(OR(E155="",F155=""),"",E155*F155)</f>
        <v/>
      </c>
      <c r="K155" s="22" t="str">
        <f aca="false">IF($M155="","",INDEX('Программа тренировок'!$G$6:$G$25,$M155))</f>
        <v/>
      </c>
      <c r="L155" s="23" t="str">
        <f aca="false">IF(OR($M155="",$F155="",$G155=""),"",IF($H155="Разминка","Разминка",IF($F155&lt;INDEX('Программа тренировок'!$E$6:$E$25,$M155),"Ниже диапазона",IF(AND($F155&gt;=INDEX('Программа тренировок'!$F$6:$F$25,$M155),$G155&gt;=INDEX('Программа тренировок'!$L$6:$L$25,$M155)),"Верх диапазона: пора добавлять вес",IF($G155&lt;INDEX('Программа тренировок'!$L$6:$L$25,$M155),"RIR ниже цели","В диапазоне")))))</f>
        <v/>
      </c>
      <c r="M155" s="23" t="str">
        <f aca="false">IF($C155="","",IFERROR(MATCH($C155,'Программа тренировок'!$C$6:$C$25,0),""))</f>
        <v/>
      </c>
    </row>
    <row r="156" customFormat="false" ht="15" hidden="false" customHeight="true" outlineLevel="0" collapsed="false">
      <c r="A156" s="20"/>
      <c r="B156" s="21"/>
      <c r="C156" s="19"/>
      <c r="D156" s="18"/>
      <c r="E156" s="17"/>
      <c r="F156" s="18"/>
      <c r="G156" s="18"/>
      <c r="H156" s="21"/>
      <c r="I156" s="19"/>
      <c r="J156" s="8" t="str">
        <f aca="false">IF(OR(E156="",F156=""),"",E156*F156)</f>
        <v/>
      </c>
      <c r="K156" s="22" t="str">
        <f aca="false">IF($M156="","",INDEX('Программа тренировок'!$G$6:$G$25,$M156))</f>
        <v/>
      </c>
      <c r="L156" s="23" t="str">
        <f aca="false">IF(OR($M156="",$F156="",$G156=""),"",IF($H156="Разминка","Разминка",IF($F156&lt;INDEX('Программа тренировок'!$E$6:$E$25,$M156),"Ниже диапазона",IF(AND($F156&gt;=INDEX('Программа тренировок'!$F$6:$F$25,$M156),$G156&gt;=INDEX('Программа тренировок'!$L$6:$L$25,$M156)),"Верх диапазона: пора добавлять вес",IF($G156&lt;INDEX('Программа тренировок'!$L$6:$L$25,$M156),"RIR ниже цели","В диапазоне")))))</f>
        <v/>
      </c>
      <c r="M156" s="23" t="str">
        <f aca="false">IF($C156="","",IFERROR(MATCH($C156,'Программа тренировок'!$C$6:$C$25,0),""))</f>
        <v/>
      </c>
    </row>
    <row r="157" customFormat="false" ht="15" hidden="false" customHeight="true" outlineLevel="0" collapsed="false">
      <c r="A157" s="20"/>
      <c r="B157" s="21"/>
      <c r="C157" s="19"/>
      <c r="D157" s="18"/>
      <c r="E157" s="17"/>
      <c r="F157" s="18"/>
      <c r="G157" s="18"/>
      <c r="H157" s="21"/>
      <c r="I157" s="19"/>
      <c r="J157" s="8" t="str">
        <f aca="false">IF(OR(E157="",F157=""),"",E157*F157)</f>
        <v/>
      </c>
      <c r="K157" s="22" t="str">
        <f aca="false">IF($M157="","",INDEX('Программа тренировок'!$G$6:$G$25,$M157))</f>
        <v/>
      </c>
      <c r="L157" s="23" t="str">
        <f aca="false">IF(OR($M157="",$F157="",$G157=""),"",IF($H157="Разминка","Разминка",IF($F157&lt;INDEX('Программа тренировок'!$E$6:$E$25,$M157),"Ниже диапазона",IF(AND($F157&gt;=INDEX('Программа тренировок'!$F$6:$F$25,$M157),$G157&gt;=INDEX('Программа тренировок'!$L$6:$L$25,$M157)),"Верх диапазона: пора добавлять вес",IF($G157&lt;INDEX('Программа тренировок'!$L$6:$L$25,$M157),"RIR ниже цели","В диапазоне")))))</f>
        <v/>
      </c>
      <c r="M157" s="23" t="str">
        <f aca="false">IF($C157="","",IFERROR(MATCH($C157,'Программа тренировок'!$C$6:$C$25,0),""))</f>
        <v/>
      </c>
    </row>
    <row r="158" customFormat="false" ht="15" hidden="false" customHeight="true" outlineLevel="0" collapsed="false">
      <c r="A158" s="20"/>
      <c r="B158" s="21"/>
      <c r="C158" s="19"/>
      <c r="D158" s="18"/>
      <c r="E158" s="17"/>
      <c r="F158" s="18"/>
      <c r="G158" s="18"/>
      <c r="H158" s="21"/>
      <c r="I158" s="19"/>
      <c r="J158" s="8" t="str">
        <f aca="false">IF(OR(E158="",F158=""),"",E158*F158)</f>
        <v/>
      </c>
      <c r="K158" s="22" t="str">
        <f aca="false">IF($M158="","",INDEX('Программа тренировок'!$G$6:$G$25,$M158))</f>
        <v/>
      </c>
      <c r="L158" s="23" t="str">
        <f aca="false">IF(OR($M158="",$F158="",$G158=""),"",IF($H158="Разминка","Разминка",IF($F158&lt;INDEX('Программа тренировок'!$E$6:$E$25,$M158),"Ниже диапазона",IF(AND($F158&gt;=INDEX('Программа тренировок'!$F$6:$F$25,$M158),$G158&gt;=INDEX('Программа тренировок'!$L$6:$L$25,$M158)),"Верх диапазона: пора добавлять вес",IF($G158&lt;INDEX('Программа тренировок'!$L$6:$L$25,$M158),"RIR ниже цели","В диапазоне")))))</f>
        <v/>
      </c>
      <c r="M158" s="23" t="str">
        <f aca="false">IF($C158="","",IFERROR(MATCH($C158,'Программа тренировок'!$C$6:$C$25,0),""))</f>
        <v/>
      </c>
    </row>
    <row r="159" customFormat="false" ht="15" hidden="false" customHeight="true" outlineLevel="0" collapsed="false">
      <c r="A159" s="20"/>
      <c r="B159" s="21"/>
      <c r="C159" s="19"/>
      <c r="D159" s="18"/>
      <c r="E159" s="17"/>
      <c r="F159" s="18"/>
      <c r="G159" s="18"/>
      <c r="H159" s="21"/>
      <c r="I159" s="19"/>
      <c r="J159" s="8" t="str">
        <f aca="false">IF(OR(E159="",F159=""),"",E159*F159)</f>
        <v/>
      </c>
      <c r="K159" s="22" t="str">
        <f aca="false">IF($M159="","",INDEX('Программа тренировок'!$G$6:$G$25,$M159))</f>
        <v/>
      </c>
      <c r="L159" s="23" t="str">
        <f aca="false">IF(OR($M159="",$F159="",$G159=""),"",IF($H159="Разминка","Разминка",IF($F159&lt;INDEX('Программа тренировок'!$E$6:$E$25,$M159),"Ниже диапазона",IF(AND($F159&gt;=INDEX('Программа тренировок'!$F$6:$F$25,$M159),$G159&gt;=INDEX('Программа тренировок'!$L$6:$L$25,$M159)),"Верх диапазона: пора добавлять вес",IF($G159&lt;INDEX('Программа тренировок'!$L$6:$L$25,$M159),"RIR ниже цели","В диапазоне")))))</f>
        <v/>
      </c>
      <c r="M159" s="23" t="str">
        <f aca="false">IF($C159="","",IFERROR(MATCH($C159,'Программа тренировок'!$C$6:$C$25,0),""))</f>
        <v/>
      </c>
    </row>
    <row r="160" customFormat="false" ht="15" hidden="false" customHeight="true" outlineLevel="0" collapsed="false">
      <c r="A160" s="20"/>
      <c r="B160" s="21"/>
      <c r="C160" s="19"/>
      <c r="D160" s="18"/>
      <c r="E160" s="17"/>
      <c r="F160" s="18"/>
      <c r="G160" s="18"/>
      <c r="H160" s="21"/>
      <c r="I160" s="19"/>
      <c r="J160" s="8" t="str">
        <f aca="false">IF(OR(E160="",F160=""),"",E160*F160)</f>
        <v/>
      </c>
      <c r="K160" s="22" t="str">
        <f aca="false">IF($M160="","",INDEX('Программа тренировок'!$G$6:$G$25,$M160))</f>
        <v/>
      </c>
      <c r="L160" s="23" t="str">
        <f aca="false">IF(OR($M160="",$F160="",$G160=""),"",IF($H160="Разминка","Разминка",IF($F160&lt;INDEX('Программа тренировок'!$E$6:$E$25,$M160),"Ниже диапазона",IF(AND($F160&gt;=INDEX('Программа тренировок'!$F$6:$F$25,$M160),$G160&gt;=INDEX('Программа тренировок'!$L$6:$L$25,$M160)),"Верх диапазона: пора добавлять вес",IF($G160&lt;INDEX('Программа тренировок'!$L$6:$L$25,$M160),"RIR ниже цели","В диапазоне")))))</f>
        <v/>
      </c>
      <c r="M160" s="23" t="str">
        <f aca="false">IF($C160="","",IFERROR(MATCH($C160,'Программа тренировок'!$C$6:$C$25,0),""))</f>
        <v/>
      </c>
    </row>
    <row r="161" customFormat="false" ht="15" hidden="false" customHeight="true" outlineLevel="0" collapsed="false">
      <c r="A161" s="20"/>
      <c r="B161" s="21"/>
      <c r="C161" s="19"/>
      <c r="D161" s="18"/>
      <c r="E161" s="17"/>
      <c r="F161" s="18"/>
      <c r="G161" s="18"/>
      <c r="H161" s="21"/>
      <c r="I161" s="19"/>
      <c r="J161" s="8" t="str">
        <f aca="false">IF(OR(E161="",F161=""),"",E161*F161)</f>
        <v/>
      </c>
      <c r="K161" s="22" t="str">
        <f aca="false">IF($M161="","",INDEX('Программа тренировок'!$G$6:$G$25,$M161))</f>
        <v/>
      </c>
      <c r="L161" s="23" t="str">
        <f aca="false">IF(OR($M161="",$F161="",$G161=""),"",IF($H161="Разминка","Разминка",IF($F161&lt;INDEX('Программа тренировок'!$E$6:$E$25,$M161),"Ниже диапазона",IF(AND($F161&gt;=INDEX('Программа тренировок'!$F$6:$F$25,$M161),$G161&gt;=INDEX('Программа тренировок'!$L$6:$L$25,$M161)),"Верх диапазона: пора добавлять вес",IF($G161&lt;INDEX('Программа тренировок'!$L$6:$L$25,$M161),"RIR ниже цели","В диапазоне")))))</f>
        <v/>
      </c>
      <c r="M161" s="23" t="str">
        <f aca="false">IF($C161="","",IFERROR(MATCH($C161,'Программа тренировок'!$C$6:$C$25,0),""))</f>
        <v/>
      </c>
    </row>
    <row r="162" customFormat="false" ht="15" hidden="false" customHeight="true" outlineLevel="0" collapsed="false">
      <c r="A162" s="20"/>
      <c r="B162" s="21"/>
      <c r="C162" s="19"/>
      <c r="D162" s="18"/>
      <c r="E162" s="17"/>
      <c r="F162" s="18"/>
      <c r="G162" s="18"/>
      <c r="H162" s="21"/>
      <c r="I162" s="19"/>
      <c r="J162" s="8" t="str">
        <f aca="false">IF(OR(E162="",F162=""),"",E162*F162)</f>
        <v/>
      </c>
      <c r="K162" s="22" t="str">
        <f aca="false">IF($M162="","",INDEX('Программа тренировок'!$G$6:$G$25,$M162))</f>
        <v/>
      </c>
      <c r="L162" s="23" t="str">
        <f aca="false">IF(OR($M162="",$F162="",$G162=""),"",IF($H162="Разминка","Разминка",IF($F162&lt;INDEX('Программа тренировок'!$E$6:$E$25,$M162),"Ниже диапазона",IF(AND($F162&gt;=INDEX('Программа тренировок'!$F$6:$F$25,$M162),$G162&gt;=INDEX('Программа тренировок'!$L$6:$L$25,$M162)),"Верх диапазона: пора добавлять вес",IF($G162&lt;INDEX('Программа тренировок'!$L$6:$L$25,$M162),"RIR ниже цели","В диапазоне")))))</f>
        <v/>
      </c>
      <c r="M162" s="23" t="str">
        <f aca="false">IF($C162="","",IFERROR(MATCH($C162,'Программа тренировок'!$C$6:$C$25,0),""))</f>
        <v/>
      </c>
    </row>
    <row r="163" customFormat="false" ht="15" hidden="false" customHeight="true" outlineLevel="0" collapsed="false">
      <c r="A163" s="20"/>
      <c r="B163" s="21"/>
      <c r="C163" s="19"/>
      <c r="D163" s="18"/>
      <c r="E163" s="17"/>
      <c r="F163" s="18"/>
      <c r="G163" s="18"/>
      <c r="H163" s="21"/>
      <c r="I163" s="19"/>
      <c r="J163" s="8" t="str">
        <f aca="false">IF(OR(E163="",F163=""),"",E163*F163)</f>
        <v/>
      </c>
      <c r="K163" s="22" t="str">
        <f aca="false">IF($M163="","",INDEX('Программа тренировок'!$G$6:$G$25,$M163))</f>
        <v/>
      </c>
      <c r="L163" s="23" t="str">
        <f aca="false">IF(OR($M163="",$F163="",$G163=""),"",IF($H163="Разминка","Разминка",IF($F163&lt;INDEX('Программа тренировок'!$E$6:$E$25,$M163),"Ниже диапазона",IF(AND($F163&gt;=INDEX('Программа тренировок'!$F$6:$F$25,$M163),$G163&gt;=INDEX('Программа тренировок'!$L$6:$L$25,$M163)),"Верх диапазона: пора добавлять вес",IF($G163&lt;INDEX('Программа тренировок'!$L$6:$L$25,$M163),"RIR ниже цели","В диапазоне")))))</f>
        <v/>
      </c>
      <c r="M163" s="23" t="str">
        <f aca="false">IF($C163="","",IFERROR(MATCH($C163,'Программа тренировок'!$C$6:$C$25,0),""))</f>
        <v/>
      </c>
    </row>
    <row r="164" customFormat="false" ht="15" hidden="false" customHeight="true" outlineLevel="0" collapsed="false">
      <c r="A164" s="20"/>
      <c r="B164" s="21"/>
      <c r="C164" s="19"/>
      <c r="D164" s="18"/>
      <c r="E164" s="17"/>
      <c r="F164" s="18"/>
      <c r="G164" s="18"/>
      <c r="H164" s="21"/>
      <c r="I164" s="19"/>
      <c r="J164" s="8" t="str">
        <f aca="false">IF(OR(E164="",F164=""),"",E164*F164)</f>
        <v/>
      </c>
      <c r="K164" s="22" t="str">
        <f aca="false">IF($M164="","",INDEX('Программа тренировок'!$G$6:$G$25,$M164))</f>
        <v/>
      </c>
      <c r="L164" s="23" t="str">
        <f aca="false">IF(OR($M164="",$F164="",$G164=""),"",IF($H164="Разминка","Разминка",IF($F164&lt;INDEX('Программа тренировок'!$E$6:$E$25,$M164),"Ниже диапазона",IF(AND($F164&gt;=INDEX('Программа тренировок'!$F$6:$F$25,$M164),$G164&gt;=INDEX('Программа тренировок'!$L$6:$L$25,$M164)),"Верх диапазона: пора добавлять вес",IF($G164&lt;INDEX('Программа тренировок'!$L$6:$L$25,$M164),"RIR ниже цели","В диапазоне")))))</f>
        <v/>
      </c>
      <c r="M164" s="23" t="str">
        <f aca="false">IF($C164="","",IFERROR(MATCH($C164,'Программа тренировок'!$C$6:$C$25,0),""))</f>
        <v/>
      </c>
    </row>
    <row r="165" customFormat="false" ht="15" hidden="false" customHeight="true" outlineLevel="0" collapsed="false">
      <c r="A165" s="20"/>
      <c r="B165" s="21"/>
      <c r="C165" s="19"/>
      <c r="D165" s="18"/>
      <c r="E165" s="17"/>
      <c r="F165" s="18"/>
      <c r="G165" s="18"/>
      <c r="H165" s="21"/>
      <c r="I165" s="19"/>
      <c r="J165" s="8" t="str">
        <f aca="false">IF(OR(E165="",F165=""),"",E165*F165)</f>
        <v/>
      </c>
      <c r="K165" s="22" t="str">
        <f aca="false">IF($M165="","",INDEX('Программа тренировок'!$G$6:$G$25,$M165))</f>
        <v/>
      </c>
      <c r="L165" s="23" t="str">
        <f aca="false">IF(OR($M165="",$F165="",$G165=""),"",IF($H165="Разминка","Разминка",IF($F165&lt;INDEX('Программа тренировок'!$E$6:$E$25,$M165),"Ниже диапазона",IF(AND($F165&gt;=INDEX('Программа тренировок'!$F$6:$F$25,$M165),$G165&gt;=INDEX('Программа тренировок'!$L$6:$L$25,$M165)),"Верх диапазона: пора добавлять вес",IF($G165&lt;INDEX('Программа тренировок'!$L$6:$L$25,$M165),"RIR ниже цели","В диапазоне")))))</f>
        <v/>
      </c>
      <c r="M165" s="23" t="str">
        <f aca="false">IF($C165="","",IFERROR(MATCH($C165,'Программа тренировок'!$C$6:$C$25,0),""))</f>
        <v/>
      </c>
    </row>
    <row r="166" customFormat="false" ht="15" hidden="false" customHeight="true" outlineLevel="0" collapsed="false">
      <c r="A166" s="20"/>
      <c r="B166" s="21"/>
      <c r="C166" s="19"/>
      <c r="D166" s="18"/>
      <c r="E166" s="17"/>
      <c r="F166" s="18"/>
      <c r="G166" s="18"/>
      <c r="H166" s="21"/>
      <c r="I166" s="19"/>
      <c r="J166" s="8" t="str">
        <f aca="false">IF(OR(E166="",F166=""),"",E166*F166)</f>
        <v/>
      </c>
      <c r="K166" s="22" t="str">
        <f aca="false">IF($M166="","",INDEX('Программа тренировок'!$G$6:$G$25,$M166))</f>
        <v/>
      </c>
      <c r="L166" s="23" t="str">
        <f aca="false">IF(OR($M166="",$F166="",$G166=""),"",IF($H166="Разминка","Разминка",IF($F166&lt;INDEX('Программа тренировок'!$E$6:$E$25,$M166),"Ниже диапазона",IF(AND($F166&gt;=INDEX('Программа тренировок'!$F$6:$F$25,$M166),$G166&gt;=INDEX('Программа тренировок'!$L$6:$L$25,$M166)),"Верх диапазона: пора добавлять вес",IF($G166&lt;INDEX('Программа тренировок'!$L$6:$L$25,$M166),"RIR ниже цели","В диапазоне")))))</f>
        <v/>
      </c>
      <c r="M166" s="23" t="str">
        <f aca="false">IF($C166="","",IFERROR(MATCH($C166,'Программа тренировок'!$C$6:$C$25,0),""))</f>
        <v/>
      </c>
    </row>
    <row r="167" customFormat="false" ht="15" hidden="false" customHeight="true" outlineLevel="0" collapsed="false">
      <c r="A167" s="20"/>
      <c r="B167" s="21"/>
      <c r="C167" s="19"/>
      <c r="D167" s="18"/>
      <c r="E167" s="17"/>
      <c r="F167" s="18"/>
      <c r="G167" s="18"/>
      <c r="H167" s="21"/>
      <c r="I167" s="19"/>
      <c r="J167" s="8" t="str">
        <f aca="false">IF(OR(E167="",F167=""),"",E167*F167)</f>
        <v/>
      </c>
      <c r="K167" s="22" t="str">
        <f aca="false">IF($M167="","",INDEX('Программа тренировок'!$G$6:$G$25,$M167))</f>
        <v/>
      </c>
      <c r="L167" s="23" t="str">
        <f aca="false">IF(OR($M167="",$F167="",$G167=""),"",IF($H167="Разминка","Разминка",IF($F167&lt;INDEX('Программа тренировок'!$E$6:$E$25,$M167),"Ниже диапазона",IF(AND($F167&gt;=INDEX('Программа тренировок'!$F$6:$F$25,$M167),$G167&gt;=INDEX('Программа тренировок'!$L$6:$L$25,$M167)),"Верх диапазона: пора добавлять вес",IF($G167&lt;INDEX('Программа тренировок'!$L$6:$L$25,$M167),"RIR ниже цели","В диапазоне")))))</f>
        <v/>
      </c>
      <c r="M167" s="23" t="str">
        <f aca="false">IF($C167="","",IFERROR(MATCH($C167,'Программа тренировок'!$C$6:$C$25,0),""))</f>
        <v/>
      </c>
    </row>
    <row r="168" customFormat="false" ht="15" hidden="false" customHeight="true" outlineLevel="0" collapsed="false">
      <c r="A168" s="20"/>
      <c r="B168" s="21"/>
      <c r="C168" s="19"/>
      <c r="D168" s="18"/>
      <c r="E168" s="17"/>
      <c r="F168" s="18"/>
      <c r="G168" s="18"/>
      <c r="H168" s="21"/>
      <c r="I168" s="19"/>
      <c r="J168" s="8" t="str">
        <f aca="false">IF(OR(E168="",F168=""),"",E168*F168)</f>
        <v/>
      </c>
      <c r="K168" s="22" t="str">
        <f aca="false">IF($M168="","",INDEX('Программа тренировок'!$G$6:$G$25,$M168))</f>
        <v/>
      </c>
      <c r="L168" s="23" t="str">
        <f aca="false">IF(OR($M168="",$F168="",$G168=""),"",IF($H168="Разминка","Разминка",IF($F168&lt;INDEX('Программа тренировок'!$E$6:$E$25,$M168),"Ниже диапазона",IF(AND($F168&gt;=INDEX('Программа тренировок'!$F$6:$F$25,$M168),$G168&gt;=INDEX('Программа тренировок'!$L$6:$L$25,$M168)),"Верх диапазона: пора добавлять вес",IF($G168&lt;INDEX('Программа тренировок'!$L$6:$L$25,$M168),"RIR ниже цели","В диапазоне")))))</f>
        <v/>
      </c>
      <c r="M168" s="23" t="str">
        <f aca="false">IF($C168="","",IFERROR(MATCH($C168,'Программа тренировок'!$C$6:$C$25,0),""))</f>
        <v/>
      </c>
    </row>
    <row r="169" customFormat="false" ht="15" hidden="false" customHeight="true" outlineLevel="0" collapsed="false">
      <c r="A169" s="20"/>
      <c r="B169" s="21"/>
      <c r="C169" s="19"/>
      <c r="D169" s="18"/>
      <c r="E169" s="17"/>
      <c r="F169" s="18"/>
      <c r="G169" s="18"/>
      <c r="H169" s="21"/>
      <c r="I169" s="19"/>
      <c r="J169" s="8" t="str">
        <f aca="false">IF(OR(E169="",F169=""),"",E169*F169)</f>
        <v/>
      </c>
      <c r="K169" s="22" t="str">
        <f aca="false">IF($M169="","",INDEX('Программа тренировок'!$G$6:$G$25,$M169))</f>
        <v/>
      </c>
      <c r="L169" s="23" t="str">
        <f aca="false">IF(OR($M169="",$F169="",$G169=""),"",IF($H169="Разминка","Разминка",IF($F169&lt;INDEX('Программа тренировок'!$E$6:$E$25,$M169),"Ниже диапазона",IF(AND($F169&gt;=INDEX('Программа тренировок'!$F$6:$F$25,$M169),$G169&gt;=INDEX('Программа тренировок'!$L$6:$L$25,$M169)),"Верх диапазона: пора добавлять вес",IF($G169&lt;INDEX('Программа тренировок'!$L$6:$L$25,$M169),"RIR ниже цели","В диапазоне")))))</f>
        <v/>
      </c>
      <c r="M169" s="23" t="str">
        <f aca="false">IF($C169="","",IFERROR(MATCH($C169,'Программа тренировок'!$C$6:$C$25,0),""))</f>
        <v/>
      </c>
    </row>
    <row r="170" customFormat="false" ht="15" hidden="false" customHeight="true" outlineLevel="0" collapsed="false">
      <c r="A170" s="20"/>
      <c r="B170" s="21"/>
      <c r="C170" s="19"/>
      <c r="D170" s="18"/>
      <c r="E170" s="17"/>
      <c r="F170" s="18"/>
      <c r="G170" s="18"/>
      <c r="H170" s="21"/>
      <c r="I170" s="19"/>
      <c r="J170" s="8" t="str">
        <f aca="false">IF(OR(E170="",F170=""),"",E170*F170)</f>
        <v/>
      </c>
      <c r="K170" s="22" t="str">
        <f aca="false">IF($M170="","",INDEX('Программа тренировок'!$G$6:$G$25,$M170))</f>
        <v/>
      </c>
      <c r="L170" s="23" t="str">
        <f aca="false">IF(OR($M170="",$F170="",$G170=""),"",IF($H170="Разминка","Разминка",IF($F170&lt;INDEX('Программа тренировок'!$E$6:$E$25,$M170),"Ниже диапазона",IF(AND($F170&gt;=INDEX('Программа тренировок'!$F$6:$F$25,$M170),$G170&gt;=INDEX('Программа тренировок'!$L$6:$L$25,$M170)),"Верх диапазона: пора добавлять вес",IF($G170&lt;INDEX('Программа тренировок'!$L$6:$L$25,$M170),"RIR ниже цели","В диапазоне")))))</f>
        <v/>
      </c>
      <c r="M170" s="23" t="str">
        <f aca="false">IF($C170="","",IFERROR(MATCH($C170,'Программа тренировок'!$C$6:$C$25,0),""))</f>
        <v/>
      </c>
    </row>
    <row r="171" customFormat="false" ht="15" hidden="false" customHeight="true" outlineLevel="0" collapsed="false">
      <c r="A171" s="20"/>
      <c r="B171" s="21"/>
      <c r="C171" s="19"/>
      <c r="D171" s="18"/>
      <c r="E171" s="17"/>
      <c r="F171" s="18"/>
      <c r="G171" s="18"/>
      <c r="H171" s="21"/>
      <c r="I171" s="19"/>
      <c r="J171" s="8" t="str">
        <f aca="false">IF(OR(E171="",F171=""),"",E171*F171)</f>
        <v/>
      </c>
      <c r="K171" s="22" t="str">
        <f aca="false">IF($M171="","",INDEX('Программа тренировок'!$G$6:$G$25,$M171))</f>
        <v/>
      </c>
      <c r="L171" s="23" t="str">
        <f aca="false">IF(OR($M171="",$F171="",$G171=""),"",IF($H171="Разминка","Разминка",IF($F171&lt;INDEX('Программа тренировок'!$E$6:$E$25,$M171),"Ниже диапазона",IF(AND($F171&gt;=INDEX('Программа тренировок'!$F$6:$F$25,$M171),$G171&gt;=INDEX('Программа тренировок'!$L$6:$L$25,$M171)),"Верх диапазона: пора добавлять вес",IF($G171&lt;INDEX('Программа тренировок'!$L$6:$L$25,$M171),"RIR ниже цели","В диапазоне")))))</f>
        <v/>
      </c>
      <c r="M171" s="23" t="str">
        <f aca="false">IF($C171="","",IFERROR(MATCH($C171,'Программа тренировок'!$C$6:$C$25,0),""))</f>
        <v/>
      </c>
    </row>
    <row r="172" customFormat="false" ht="15" hidden="false" customHeight="true" outlineLevel="0" collapsed="false">
      <c r="A172" s="20"/>
      <c r="B172" s="21"/>
      <c r="C172" s="19"/>
      <c r="D172" s="18"/>
      <c r="E172" s="17"/>
      <c r="F172" s="18"/>
      <c r="G172" s="18"/>
      <c r="H172" s="21"/>
      <c r="I172" s="19"/>
      <c r="J172" s="8" t="str">
        <f aca="false">IF(OR(E172="",F172=""),"",E172*F172)</f>
        <v/>
      </c>
      <c r="K172" s="22" t="str">
        <f aca="false">IF($M172="","",INDEX('Программа тренировок'!$G$6:$G$25,$M172))</f>
        <v/>
      </c>
      <c r="L172" s="23" t="str">
        <f aca="false">IF(OR($M172="",$F172="",$G172=""),"",IF($H172="Разминка","Разминка",IF($F172&lt;INDEX('Программа тренировок'!$E$6:$E$25,$M172),"Ниже диапазона",IF(AND($F172&gt;=INDEX('Программа тренировок'!$F$6:$F$25,$M172),$G172&gt;=INDEX('Программа тренировок'!$L$6:$L$25,$M172)),"Верх диапазона: пора добавлять вес",IF($G172&lt;INDEX('Программа тренировок'!$L$6:$L$25,$M172),"RIR ниже цели","В диапазоне")))))</f>
        <v/>
      </c>
      <c r="M172" s="23" t="str">
        <f aca="false">IF($C172="","",IFERROR(MATCH($C172,'Программа тренировок'!$C$6:$C$25,0),""))</f>
        <v/>
      </c>
    </row>
    <row r="173" customFormat="false" ht="15" hidden="false" customHeight="true" outlineLevel="0" collapsed="false">
      <c r="A173" s="20"/>
      <c r="B173" s="21"/>
      <c r="C173" s="19"/>
      <c r="D173" s="18"/>
      <c r="E173" s="17"/>
      <c r="F173" s="18"/>
      <c r="G173" s="18"/>
      <c r="H173" s="21"/>
      <c r="I173" s="19"/>
      <c r="J173" s="8" t="str">
        <f aca="false">IF(OR(E173="",F173=""),"",E173*F173)</f>
        <v/>
      </c>
      <c r="K173" s="22" t="str">
        <f aca="false">IF($M173="","",INDEX('Программа тренировок'!$G$6:$G$25,$M173))</f>
        <v/>
      </c>
      <c r="L173" s="23" t="str">
        <f aca="false">IF(OR($M173="",$F173="",$G173=""),"",IF($H173="Разминка","Разминка",IF($F173&lt;INDEX('Программа тренировок'!$E$6:$E$25,$M173),"Ниже диапазона",IF(AND($F173&gt;=INDEX('Программа тренировок'!$F$6:$F$25,$M173),$G173&gt;=INDEX('Программа тренировок'!$L$6:$L$25,$M173)),"Верх диапазона: пора добавлять вес",IF($G173&lt;INDEX('Программа тренировок'!$L$6:$L$25,$M173),"RIR ниже цели","В диапазоне")))))</f>
        <v/>
      </c>
      <c r="M173" s="23" t="str">
        <f aca="false">IF($C173="","",IFERROR(MATCH($C173,'Программа тренировок'!$C$6:$C$25,0),""))</f>
        <v/>
      </c>
    </row>
    <row r="174" customFormat="false" ht="15" hidden="false" customHeight="true" outlineLevel="0" collapsed="false">
      <c r="A174" s="20"/>
      <c r="B174" s="21"/>
      <c r="C174" s="19"/>
      <c r="D174" s="18"/>
      <c r="E174" s="17"/>
      <c r="F174" s="18"/>
      <c r="G174" s="18"/>
      <c r="H174" s="21"/>
      <c r="I174" s="19"/>
      <c r="J174" s="8" t="str">
        <f aca="false">IF(OR(E174="",F174=""),"",E174*F174)</f>
        <v/>
      </c>
      <c r="K174" s="22" t="str">
        <f aca="false">IF($M174="","",INDEX('Программа тренировок'!$G$6:$G$25,$M174))</f>
        <v/>
      </c>
      <c r="L174" s="23" t="str">
        <f aca="false">IF(OR($M174="",$F174="",$G174=""),"",IF($H174="Разминка","Разминка",IF($F174&lt;INDEX('Программа тренировок'!$E$6:$E$25,$M174),"Ниже диапазона",IF(AND($F174&gt;=INDEX('Программа тренировок'!$F$6:$F$25,$M174),$G174&gt;=INDEX('Программа тренировок'!$L$6:$L$25,$M174)),"Верх диапазона: пора добавлять вес",IF($G174&lt;INDEX('Программа тренировок'!$L$6:$L$25,$M174),"RIR ниже цели","В диапазоне")))))</f>
        <v/>
      </c>
      <c r="M174" s="23" t="str">
        <f aca="false">IF($C174="","",IFERROR(MATCH($C174,'Программа тренировок'!$C$6:$C$25,0),""))</f>
        <v/>
      </c>
    </row>
    <row r="175" customFormat="false" ht="15" hidden="false" customHeight="true" outlineLevel="0" collapsed="false">
      <c r="A175" s="20"/>
      <c r="B175" s="21"/>
      <c r="C175" s="19"/>
      <c r="D175" s="18"/>
      <c r="E175" s="17"/>
      <c r="F175" s="18"/>
      <c r="G175" s="18"/>
      <c r="H175" s="21"/>
      <c r="I175" s="19"/>
      <c r="J175" s="8" t="str">
        <f aca="false">IF(OR(E175="",F175=""),"",E175*F175)</f>
        <v/>
      </c>
      <c r="K175" s="22" t="str">
        <f aca="false">IF($M175="","",INDEX('Программа тренировок'!$G$6:$G$25,$M175))</f>
        <v/>
      </c>
      <c r="L175" s="23" t="str">
        <f aca="false">IF(OR($M175="",$F175="",$G175=""),"",IF($H175="Разминка","Разминка",IF($F175&lt;INDEX('Программа тренировок'!$E$6:$E$25,$M175),"Ниже диапазона",IF(AND($F175&gt;=INDEX('Программа тренировок'!$F$6:$F$25,$M175),$G175&gt;=INDEX('Программа тренировок'!$L$6:$L$25,$M175)),"Верх диапазона: пора добавлять вес",IF($G175&lt;INDEX('Программа тренировок'!$L$6:$L$25,$M175),"RIR ниже цели","В диапазоне")))))</f>
        <v/>
      </c>
      <c r="M175" s="23" t="str">
        <f aca="false">IF($C175="","",IFERROR(MATCH($C175,'Программа тренировок'!$C$6:$C$25,0),""))</f>
        <v/>
      </c>
    </row>
    <row r="176" customFormat="false" ht="15" hidden="false" customHeight="true" outlineLevel="0" collapsed="false">
      <c r="A176" s="20"/>
      <c r="B176" s="21"/>
      <c r="C176" s="19"/>
      <c r="D176" s="18"/>
      <c r="E176" s="17"/>
      <c r="F176" s="18"/>
      <c r="G176" s="18"/>
      <c r="H176" s="21"/>
      <c r="I176" s="19"/>
      <c r="J176" s="8" t="str">
        <f aca="false">IF(OR(E176="",F176=""),"",E176*F176)</f>
        <v/>
      </c>
      <c r="K176" s="22" t="str">
        <f aca="false">IF($M176="","",INDEX('Программа тренировок'!$G$6:$G$25,$M176))</f>
        <v/>
      </c>
      <c r="L176" s="23" t="str">
        <f aca="false">IF(OR($M176="",$F176="",$G176=""),"",IF($H176="Разминка","Разминка",IF($F176&lt;INDEX('Программа тренировок'!$E$6:$E$25,$M176),"Ниже диапазона",IF(AND($F176&gt;=INDEX('Программа тренировок'!$F$6:$F$25,$M176),$G176&gt;=INDEX('Программа тренировок'!$L$6:$L$25,$M176)),"Верх диапазона: пора добавлять вес",IF($G176&lt;INDEX('Программа тренировок'!$L$6:$L$25,$M176),"RIR ниже цели","В диапазоне")))))</f>
        <v/>
      </c>
      <c r="M176" s="23" t="str">
        <f aca="false">IF($C176="","",IFERROR(MATCH($C176,'Программа тренировок'!$C$6:$C$25,0),""))</f>
        <v/>
      </c>
    </row>
    <row r="177" customFormat="false" ht="15" hidden="false" customHeight="true" outlineLevel="0" collapsed="false">
      <c r="A177" s="20"/>
      <c r="B177" s="21"/>
      <c r="C177" s="19"/>
      <c r="D177" s="18"/>
      <c r="E177" s="17"/>
      <c r="F177" s="18"/>
      <c r="G177" s="18"/>
      <c r="H177" s="21"/>
      <c r="I177" s="19"/>
      <c r="J177" s="8" t="str">
        <f aca="false">IF(OR(E177="",F177=""),"",E177*F177)</f>
        <v/>
      </c>
      <c r="K177" s="22" t="str">
        <f aca="false">IF($M177="","",INDEX('Программа тренировок'!$G$6:$G$25,$M177))</f>
        <v/>
      </c>
      <c r="L177" s="23" t="str">
        <f aca="false">IF(OR($M177="",$F177="",$G177=""),"",IF($H177="Разминка","Разминка",IF($F177&lt;INDEX('Программа тренировок'!$E$6:$E$25,$M177),"Ниже диапазона",IF(AND($F177&gt;=INDEX('Программа тренировок'!$F$6:$F$25,$M177),$G177&gt;=INDEX('Программа тренировок'!$L$6:$L$25,$M177)),"Верх диапазона: пора добавлять вес",IF($G177&lt;INDEX('Программа тренировок'!$L$6:$L$25,$M177),"RIR ниже цели","В диапазоне")))))</f>
        <v/>
      </c>
      <c r="M177" s="23" t="str">
        <f aca="false">IF($C177="","",IFERROR(MATCH($C177,'Программа тренировок'!$C$6:$C$25,0),""))</f>
        <v/>
      </c>
    </row>
    <row r="178" customFormat="false" ht="15" hidden="false" customHeight="true" outlineLevel="0" collapsed="false">
      <c r="A178" s="20"/>
      <c r="B178" s="21"/>
      <c r="C178" s="19"/>
      <c r="D178" s="18"/>
      <c r="E178" s="17"/>
      <c r="F178" s="18"/>
      <c r="G178" s="18"/>
      <c r="H178" s="21"/>
      <c r="I178" s="19"/>
      <c r="J178" s="8" t="str">
        <f aca="false">IF(OR(E178="",F178=""),"",E178*F178)</f>
        <v/>
      </c>
      <c r="K178" s="22" t="str">
        <f aca="false">IF($M178="","",INDEX('Программа тренировок'!$G$6:$G$25,$M178))</f>
        <v/>
      </c>
      <c r="L178" s="23" t="str">
        <f aca="false">IF(OR($M178="",$F178="",$G178=""),"",IF($H178="Разминка","Разминка",IF($F178&lt;INDEX('Программа тренировок'!$E$6:$E$25,$M178),"Ниже диапазона",IF(AND($F178&gt;=INDEX('Программа тренировок'!$F$6:$F$25,$M178),$G178&gt;=INDEX('Программа тренировок'!$L$6:$L$25,$M178)),"Верх диапазона: пора добавлять вес",IF($G178&lt;INDEX('Программа тренировок'!$L$6:$L$25,$M178),"RIR ниже цели","В диапазоне")))))</f>
        <v/>
      </c>
      <c r="M178" s="23" t="str">
        <f aca="false">IF($C178="","",IFERROR(MATCH($C178,'Программа тренировок'!$C$6:$C$25,0),""))</f>
        <v/>
      </c>
    </row>
    <row r="179" customFormat="false" ht="15" hidden="false" customHeight="true" outlineLevel="0" collapsed="false">
      <c r="A179" s="20"/>
      <c r="B179" s="21"/>
      <c r="C179" s="19"/>
      <c r="D179" s="18"/>
      <c r="E179" s="17"/>
      <c r="F179" s="18"/>
      <c r="G179" s="18"/>
      <c r="H179" s="21"/>
      <c r="I179" s="19"/>
      <c r="J179" s="8" t="str">
        <f aca="false">IF(OR(E179="",F179=""),"",E179*F179)</f>
        <v/>
      </c>
      <c r="K179" s="22" t="str">
        <f aca="false">IF($M179="","",INDEX('Программа тренировок'!$G$6:$G$25,$M179))</f>
        <v/>
      </c>
      <c r="L179" s="23" t="str">
        <f aca="false">IF(OR($M179="",$F179="",$G179=""),"",IF($H179="Разминка","Разминка",IF($F179&lt;INDEX('Программа тренировок'!$E$6:$E$25,$M179),"Ниже диапазона",IF(AND($F179&gt;=INDEX('Программа тренировок'!$F$6:$F$25,$M179),$G179&gt;=INDEX('Программа тренировок'!$L$6:$L$25,$M179)),"Верх диапазона: пора добавлять вес",IF($G179&lt;INDEX('Программа тренировок'!$L$6:$L$25,$M179),"RIR ниже цели","В диапазоне")))))</f>
        <v/>
      </c>
      <c r="M179" s="23" t="str">
        <f aca="false">IF($C179="","",IFERROR(MATCH($C179,'Программа тренировок'!$C$6:$C$25,0),""))</f>
        <v/>
      </c>
    </row>
    <row r="180" customFormat="false" ht="15" hidden="false" customHeight="true" outlineLevel="0" collapsed="false">
      <c r="A180" s="20"/>
      <c r="B180" s="21"/>
      <c r="C180" s="19"/>
      <c r="D180" s="18"/>
      <c r="E180" s="17"/>
      <c r="F180" s="18"/>
      <c r="G180" s="18"/>
      <c r="H180" s="21"/>
      <c r="I180" s="19"/>
      <c r="J180" s="8" t="str">
        <f aca="false">IF(OR(E180="",F180=""),"",E180*F180)</f>
        <v/>
      </c>
      <c r="K180" s="22" t="str">
        <f aca="false">IF($M180="","",INDEX('Программа тренировок'!$G$6:$G$25,$M180))</f>
        <v/>
      </c>
      <c r="L180" s="23" t="str">
        <f aca="false">IF(OR($M180="",$F180="",$G180=""),"",IF($H180="Разминка","Разминка",IF($F180&lt;INDEX('Программа тренировок'!$E$6:$E$25,$M180),"Ниже диапазона",IF(AND($F180&gt;=INDEX('Программа тренировок'!$F$6:$F$25,$M180),$G180&gt;=INDEX('Программа тренировок'!$L$6:$L$25,$M180)),"Верх диапазона: пора добавлять вес",IF($G180&lt;INDEX('Программа тренировок'!$L$6:$L$25,$M180),"RIR ниже цели","В диапазоне")))))</f>
        <v/>
      </c>
      <c r="M180" s="23" t="str">
        <f aca="false">IF($C180="","",IFERROR(MATCH($C180,'Программа тренировок'!$C$6:$C$25,0),""))</f>
        <v/>
      </c>
    </row>
    <row r="181" customFormat="false" ht="15" hidden="false" customHeight="true" outlineLevel="0" collapsed="false">
      <c r="A181" s="20"/>
      <c r="B181" s="21"/>
      <c r="C181" s="19"/>
      <c r="D181" s="18"/>
      <c r="E181" s="17"/>
      <c r="F181" s="18"/>
      <c r="G181" s="18"/>
      <c r="H181" s="21"/>
      <c r="I181" s="19"/>
      <c r="J181" s="8" t="str">
        <f aca="false">IF(OR(E181="",F181=""),"",E181*F181)</f>
        <v/>
      </c>
      <c r="K181" s="22" t="str">
        <f aca="false">IF($M181="","",INDEX('Программа тренировок'!$G$6:$G$25,$M181))</f>
        <v/>
      </c>
      <c r="L181" s="23" t="str">
        <f aca="false">IF(OR($M181="",$F181="",$G181=""),"",IF($H181="Разминка","Разминка",IF($F181&lt;INDEX('Программа тренировок'!$E$6:$E$25,$M181),"Ниже диапазона",IF(AND($F181&gt;=INDEX('Программа тренировок'!$F$6:$F$25,$M181),$G181&gt;=INDEX('Программа тренировок'!$L$6:$L$25,$M181)),"Верх диапазона: пора добавлять вес",IF($G181&lt;INDEX('Программа тренировок'!$L$6:$L$25,$M181),"RIR ниже цели","В диапазоне")))))</f>
        <v/>
      </c>
      <c r="M181" s="23" t="str">
        <f aca="false">IF($C181="","",IFERROR(MATCH($C181,'Программа тренировок'!$C$6:$C$25,0),""))</f>
        <v/>
      </c>
    </row>
    <row r="182" customFormat="false" ht="15" hidden="false" customHeight="true" outlineLevel="0" collapsed="false">
      <c r="A182" s="20"/>
      <c r="B182" s="21"/>
      <c r="C182" s="19"/>
      <c r="D182" s="18"/>
      <c r="E182" s="17"/>
      <c r="F182" s="18"/>
      <c r="G182" s="18"/>
      <c r="H182" s="21"/>
      <c r="I182" s="19"/>
      <c r="J182" s="8" t="str">
        <f aca="false">IF(OR(E182="",F182=""),"",E182*F182)</f>
        <v/>
      </c>
      <c r="K182" s="22" t="str">
        <f aca="false">IF($M182="","",INDEX('Программа тренировок'!$G$6:$G$25,$M182))</f>
        <v/>
      </c>
      <c r="L182" s="23" t="str">
        <f aca="false">IF(OR($M182="",$F182="",$G182=""),"",IF($H182="Разминка","Разминка",IF($F182&lt;INDEX('Программа тренировок'!$E$6:$E$25,$M182),"Ниже диапазона",IF(AND($F182&gt;=INDEX('Программа тренировок'!$F$6:$F$25,$M182),$G182&gt;=INDEX('Программа тренировок'!$L$6:$L$25,$M182)),"Верх диапазона: пора добавлять вес",IF($G182&lt;INDEX('Программа тренировок'!$L$6:$L$25,$M182),"RIR ниже цели","В диапазоне")))))</f>
        <v/>
      </c>
      <c r="M182" s="23" t="str">
        <f aca="false">IF($C182="","",IFERROR(MATCH($C182,'Программа тренировок'!$C$6:$C$25,0),""))</f>
        <v/>
      </c>
    </row>
    <row r="183" customFormat="false" ht="15" hidden="false" customHeight="true" outlineLevel="0" collapsed="false">
      <c r="A183" s="20"/>
      <c r="B183" s="21"/>
      <c r="C183" s="19"/>
      <c r="D183" s="18"/>
      <c r="E183" s="17"/>
      <c r="F183" s="18"/>
      <c r="G183" s="18"/>
      <c r="H183" s="21"/>
      <c r="I183" s="19"/>
      <c r="J183" s="8" t="str">
        <f aca="false">IF(OR(E183="",F183=""),"",E183*F183)</f>
        <v/>
      </c>
      <c r="K183" s="22" t="str">
        <f aca="false">IF($M183="","",INDEX('Программа тренировок'!$G$6:$G$25,$M183))</f>
        <v/>
      </c>
      <c r="L183" s="23" t="str">
        <f aca="false">IF(OR($M183="",$F183="",$G183=""),"",IF($H183="Разминка","Разминка",IF($F183&lt;INDEX('Программа тренировок'!$E$6:$E$25,$M183),"Ниже диапазона",IF(AND($F183&gt;=INDEX('Программа тренировок'!$F$6:$F$25,$M183),$G183&gt;=INDEX('Программа тренировок'!$L$6:$L$25,$M183)),"Верх диапазона: пора добавлять вес",IF($G183&lt;INDEX('Программа тренировок'!$L$6:$L$25,$M183),"RIR ниже цели","В диапазоне")))))</f>
        <v/>
      </c>
      <c r="M183" s="23" t="str">
        <f aca="false">IF($C183="","",IFERROR(MATCH($C183,'Программа тренировок'!$C$6:$C$25,0),""))</f>
        <v/>
      </c>
    </row>
    <row r="184" customFormat="false" ht="15" hidden="false" customHeight="true" outlineLevel="0" collapsed="false">
      <c r="A184" s="20"/>
      <c r="B184" s="21"/>
      <c r="C184" s="19"/>
      <c r="D184" s="18"/>
      <c r="E184" s="17"/>
      <c r="F184" s="18"/>
      <c r="G184" s="18"/>
      <c r="H184" s="21"/>
      <c r="I184" s="19"/>
      <c r="J184" s="8" t="str">
        <f aca="false">IF(OR(E184="",F184=""),"",E184*F184)</f>
        <v/>
      </c>
      <c r="K184" s="22" t="str">
        <f aca="false">IF($M184="","",INDEX('Программа тренировок'!$G$6:$G$25,$M184))</f>
        <v/>
      </c>
      <c r="L184" s="23" t="str">
        <f aca="false">IF(OR($M184="",$F184="",$G184=""),"",IF($H184="Разминка","Разминка",IF($F184&lt;INDEX('Программа тренировок'!$E$6:$E$25,$M184),"Ниже диапазона",IF(AND($F184&gt;=INDEX('Программа тренировок'!$F$6:$F$25,$M184),$G184&gt;=INDEX('Программа тренировок'!$L$6:$L$25,$M184)),"Верх диапазона: пора добавлять вес",IF($G184&lt;INDEX('Программа тренировок'!$L$6:$L$25,$M184),"RIR ниже цели","В диапазоне")))))</f>
        <v/>
      </c>
      <c r="M184" s="23" t="str">
        <f aca="false">IF($C184="","",IFERROR(MATCH($C184,'Программа тренировок'!$C$6:$C$25,0),""))</f>
        <v/>
      </c>
    </row>
    <row r="185" customFormat="false" ht="15" hidden="false" customHeight="true" outlineLevel="0" collapsed="false">
      <c r="A185" s="20"/>
      <c r="B185" s="21"/>
      <c r="C185" s="19"/>
      <c r="D185" s="18"/>
      <c r="E185" s="17"/>
      <c r="F185" s="18"/>
      <c r="G185" s="18"/>
      <c r="H185" s="21"/>
      <c r="I185" s="19"/>
      <c r="J185" s="8" t="str">
        <f aca="false">IF(OR(E185="",F185=""),"",E185*F185)</f>
        <v/>
      </c>
      <c r="K185" s="22" t="str">
        <f aca="false">IF($M185="","",INDEX('Программа тренировок'!$G$6:$G$25,$M185))</f>
        <v/>
      </c>
      <c r="L185" s="23" t="str">
        <f aca="false">IF(OR($M185="",$F185="",$G185=""),"",IF($H185="Разминка","Разминка",IF($F185&lt;INDEX('Программа тренировок'!$E$6:$E$25,$M185),"Ниже диапазона",IF(AND($F185&gt;=INDEX('Программа тренировок'!$F$6:$F$25,$M185),$G185&gt;=INDEX('Программа тренировок'!$L$6:$L$25,$M185)),"Верх диапазона: пора добавлять вес",IF($G185&lt;INDEX('Программа тренировок'!$L$6:$L$25,$M185),"RIR ниже цели","В диапазоне")))))</f>
        <v/>
      </c>
      <c r="M185" s="23" t="str">
        <f aca="false">IF($C185="","",IFERROR(MATCH($C185,'Программа тренировок'!$C$6:$C$25,0),""))</f>
        <v/>
      </c>
    </row>
    <row r="186" customFormat="false" ht="15" hidden="false" customHeight="true" outlineLevel="0" collapsed="false">
      <c r="A186" s="20"/>
      <c r="B186" s="21"/>
      <c r="C186" s="19"/>
      <c r="D186" s="18"/>
      <c r="E186" s="17"/>
      <c r="F186" s="18"/>
      <c r="G186" s="18"/>
      <c r="H186" s="21"/>
      <c r="I186" s="19"/>
      <c r="J186" s="8" t="str">
        <f aca="false">IF(OR(E186="",F186=""),"",E186*F186)</f>
        <v/>
      </c>
      <c r="K186" s="22" t="str">
        <f aca="false">IF($M186="","",INDEX('Программа тренировок'!$G$6:$G$25,$M186))</f>
        <v/>
      </c>
      <c r="L186" s="23" t="str">
        <f aca="false">IF(OR($M186="",$F186="",$G186=""),"",IF($H186="Разминка","Разминка",IF($F186&lt;INDEX('Программа тренировок'!$E$6:$E$25,$M186),"Ниже диапазона",IF(AND($F186&gt;=INDEX('Программа тренировок'!$F$6:$F$25,$M186),$G186&gt;=INDEX('Программа тренировок'!$L$6:$L$25,$M186)),"Верх диапазона: пора добавлять вес",IF($G186&lt;INDEX('Программа тренировок'!$L$6:$L$25,$M186),"RIR ниже цели","В диапазоне")))))</f>
        <v/>
      </c>
      <c r="M186" s="23" t="str">
        <f aca="false">IF($C186="","",IFERROR(MATCH($C186,'Программа тренировок'!$C$6:$C$25,0),""))</f>
        <v/>
      </c>
    </row>
    <row r="187" customFormat="false" ht="15" hidden="false" customHeight="true" outlineLevel="0" collapsed="false">
      <c r="A187" s="20"/>
      <c r="B187" s="21"/>
      <c r="C187" s="19"/>
      <c r="D187" s="18"/>
      <c r="E187" s="17"/>
      <c r="F187" s="18"/>
      <c r="G187" s="18"/>
      <c r="H187" s="21"/>
      <c r="I187" s="19"/>
      <c r="J187" s="8" t="str">
        <f aca="false">IF(OR(E187="",F187=""),"",E187*F187)</f>
        <v/>
      </c>
      <c r="K187" s="22" t="str">
        <f aca="false">IF($M187="","",INDEX('Программа тренировок'!$G$6:$G$25,$M187))</f>
        <v/>
      </c>
      <c r="L187" s="23" t="str">
        <f aca="false">IF(OR($M187="",$F187="",$G187=""),"",IF($H187="Разминка","Разминка",IF($F187&lt;INDEX('Программа тренировок'!$E$6:$E$25,$M187),"Ниже диапазона",IF(AND($F187&gt;=INDEX('Программа тренировок'!$F$6:$F$25,$M187),$G187&gt;=INDEX('Программа тренировок'!$L$6:$L$25,$M187)),"Верх диапазона: пора добавлять вес",IF($G187&lt;INDEX('Программа тренировок'!$L$6:$L$25,$M187),"RIR ниже цели","В диапазоне")))))</f>
        <v/>
      </c>
      <c r="M187" s="23" t="str">
        <f aca="false">IF($C187="","",IFERROR(MATCH($C187,'Программа тренировок'!$C$6:$C$25,0),""))</f>
        <v/>
      </c>
    </row>
    <row r="188" customFormat="false" ht="15" hidden="false" customHeight="true" outlineLevel="0" collapsed="false">
      <c r="A188" s="20"/>
      <c r="B188" s="21"/>
      <c r="C188" s="19"/>
      <c r="D188" s="18"/>
      <c r="E188" s="17"/>
      <c r="F188" s="18"/>
      <c r="G188" s="18"/>
      <c r="H188" s="21"/>
      <c r="I188" s="19"/>
      <c r="J188" s="8" t="str">
        <f aca="false">IF(OR(E188="",F188=""),"",E188*F188)</f>
        <v/>
      </c>
      <c r="K188" s="22" t="str">
        <f aca="false">IF($M188="","",INDEX('Программа тренировок'!$G$6:$G$25,$M188))</f>
        <v/>
      </c>
      <c r="L188" s="23" t="str">
        <f aca="false">IF(OR($M188="",$F188="",$G188=""),"",IF($H188="Разминка","Разминка",IF($F188&lt;INDEX('Программа тренировок'!$E$6:$E$25,$M188),"Ниже диапазона",IF(AND($F188&gt;=INDEX('Программа тренировок'!$F$6:$F$25,$M188),$G188&gt;=INDEX('Программа тренировок'!$L$6:$L$25,$M188)),"Верх диапазона: пора добавлять вес",IF($G188&lt;INDEX('Программа тренировок'!$L$6:$L$25,$M188),"RIR ниже цели","В диапазоне")))))</f>
        <v/>
      </c>
      <c r="M188" s="23" t="str">
        <f aca="false">IF($C188="","",IFERROR(MATCH($C188,'Программа тренировок'!$C$6:$C$25,0),""))</f>
        <v/>
      </c>
    </row>
    <row r="189" customFormat="false" ht="15" hidden="false" customHeight="true" outlineLevel="0" collapsed="false">
      <c r="A189" s="20"/>
      <c r="B189" s="21"/>
      <c r="C189" s="19"/>
      <c r="D189" s="18"/>
      <c r="E189" s="17"/>
      <c r="F189" s="18"/>
      <c r="G189" s="18"/>
      <c r="H189" s="21"/>
      <c r="I189" s="19"/>
      <c r="J189" s="8" t="str">
        <f aca="false">IF(OR(E189="",F189=""),"",E189*F189)</f>
        <v/>
      </c>
      <c r="K189" s="22" t="str">
        <f aca="false">IF($M189="","",INDEX('Программа тренировок'!$G$6:$G$25,$M189))</f>
        <v/>
      </c>
      <c r="L189" s="23" t="str">
        <f aca="false">IF(OR($M189="",$F189="",$G189=""),"",IF($H189="Разминка","Разминка",IF($F189&lt;INDEX('Программа тренировок'!$E$6:$E$25,$M189),"Ниже диапазона",IF(AND($F189&gt;=INDEX('Программа тренировок'!$F$6:$F$25,$M189),$G189&gt;=INDEX('Программа тренировок'!$L$6:$L$25,$M189)),"Верх диапазона: пора добавлять вес",IF($G189&lt;INDEX('Программа тренировок'!$L$6:$L$25,$M189),"RIR ниже цели","В диапазоне")))))</f>
        <v/>
      </c>
      <c r="M189" s="23" t="str">
        <f aca="false">IF($C189="","",IFERROR(MATCH($C189,'Программа тренировок'!$C$6:$C$25,0),""))</f>
        <v/>
      </c>
    </row>
    <row r="190" customFormat="false" ht="15" hidden="false" customHeight="true" outlineLevel="0" collapsed="false">
      <c r="A190" s="20"/>
      <c r="B190" s="21"/>
      <c r="C190" s="19"/>
      <c r="D190" s="18"/>
      <c r="E190" s="17"/>
      <c r="F190" s="18"/>
      <c r="G190" s="18"/>
      <c r="H190" s="21"/>
      <c r="I190" s="19"/>
      <c r="J190" s="8" t="str">
        <f aca="false">IF(OR(E190="",F190=""),"",E190*F190)</f>
        <v/>
      </c>
      <c r="K190" s="22" t="str">
        <f aca="false">IF($M190="","",INDEX('Программа тренировок'!$G$6:$G$25,$M190))</f>
        <v/>
      </c>
      <c r="L190" s="23" t="str">
        <f aca="false">IF(OR($M190="",$F190="",$G190=""),"",IF($H190="Разминка","Разминка",IF($F190&lt;INDEX('Программа тренировок'!$E$6:$E$25,$M190),"Ниже диапазона",IF(AND($F190&gt;=INDEX('Программа тренировок'!$F$6:$F$25,$M190),$G190&gt;=INDEX('Программа тренировок'!$L$6:$L$25,$M190)),"Верх диапазона: пора добавлять вес",IF($G190&lt;INDEX('Программа тренировок'!$L$6:$L$25,$M190),"RIR ниже цели","В диапазоне")))))</f>
        <v/>
      </c>
      <c r="M190" s="23" t="str">
        <f aca="false">IF($C190="","",IFERROR(MATCH($C190,'Программа тренировок'!$C$6:$C$25,0),""))</f>
        <v/>
      </c>
    </row>
    <row r="191" customFormat="false" ht="15" hidden="false" customHeight="true" outlineLevel="0" collapsed="false">
      <c r="A191" s="20"/>
      <c r="B191" s="21"/>
      <c r="C191" s="19"/>
      <c r="D191" s="18"/>
      <c r="E191" s="17"/>
      <c r="F191" s="18"/>
      <c r="G191" s="18"/>
      <c r="H191" s="21"/>
      <c r="I191" s="19"/>
      <c r="J191" s="8" t="str">
        <f aca="false">IF(OR(E191="",F191=""),"",E191*F191)</f>
        <v/>
      </c>
      <c r="K191" s="22" t="str">
        <f aca="false">IF($M191="","",INDEX('Программа тренировок'!$G$6:$G$25,$M191))</f>
        <v/>
      </c>
      <c r="L191" s="23" t="str">
        <f aca="false">IF(OR($M191="",$F191="",$G191=""),"",IF($H191="Разминка","Разминка",IF($F191&lt;INDEX('Программа тренировок'!$E$6:$E$25,$M191),"Ниже диапазона",IF(AND($F191&gt;=INDEX('Программа тренировок'!$F$6:$F$25,$M191),$G191&gt;=INDEX('Программа тренировок'!$L$6:$L$25,$M191)),"Верх диапазона: пора добавлять вес",IF($G191&lt;INDEX('Программа тренировок'!$L$6:$L$25,$M191),"RIR ниже цели","В диапазоне")))))</f>
        <v/>
      </c>
      <c r="M191" s="23" t="str">
        <f aca="false">IF($C191="","",IFERROR(MATCH($C191,'Программа тренировок'!$C$6:$C$25,0),""))</f>
        <v/>
      </c>
    </row>
    <row r="192" customFormat="false" ht="15" hidden="false" customHeight="true" outlineLevel="0" collapsed="false">
      <c r="A192" s="20"/>
      <c r="B192" s="21"/>
      <c r="C192" s="19"/>
      <c r="D192" s="18"/>
      <c r="E192" s="17"/>
      <c r="F192" s="18"/>
      <c r="G192" s="18"/>
      <c r="H192" s="21"/>
      <c r="I192" s="19"/>
      <c r="J192" s="8" t="str">
        <f aca="false">IF(OR(E192="",F192=""),"",E192*F192)</f>
        <v/>
      </c>
      <c r="K192" s="22" t="str">
        <f aca="false">IF($M192="","",INDEX('Программа тренировок'!$G$6:$G$25,$M192))</f>
        <v/>
      </c>
      <c r="L192" s="23" t="str">
        <f aca="false">IF(OR($M192="",$F192="",$G192=""),"",IF($H192="Разминка","Разминка",IF($F192&lt;INDEX('Программа тренировок'!$E$6:$E$25,$M192),"Ниже диапазона",IF(AND($F192&gt;=INDEX('Программа тренировок'!$F$6:$F$25,$M192),$G192&gt;=INDEX('Программа тренировок'!$L$6:$L$25,$M192)),"Верх диапазона: пора добавлять вес",IF($G192&lt;INDEX('Программа тренировок'!$L$6:$L$25,$M192),"RIR ниже цели","В диапазоне")))))</f>
        <v/>
      </c>
      <c r="M192" s="23" t="str">
        <f aca="false">IF($C192="","",IFERROR(MATCH($C192,'Программа тренировок'!$C$6:$C$25,0),""))</f>
        <v/>
      </c>
    </row>
    <row r="193" customFormat="false" ht="15" hidden="false" customHeight="true" outlineLevel="0" collapsed="false">
      <c r="A193" s="20"/>
      <c r="B193" s="21"/>
      <c r="C193" s="19"/>
      <c r="D193" s="18"/>
      <c r="E193" s="17"/>
      <c r="F193" s="18"/>
      <c r="G193" s="18"/>
      <c r="H193" s="21"/>
      <c r="I193" s="19"/>
      <c r="J193" s="8" t="str">
        <f aca="false">IF(OR(E193="",F193=""),"",E193*F193)</f>
        <v/>
      </c>
      <c r="K193" s="22" t="str">
        <f aca="false">IF($M193="","",INDEX('Программа тренировок'!$G$6:$G$25,$M193))</f>
        <v/>
      </c>
      <c r="L193" s="23" t="str">
        <f aca="false">IF(OR($M193="",$F193="",$G193=""),"",IF($H193="Разминка","Разминка",IF($F193&lt;INDEX('Программа тренировок'!$E$6:$E$25,$M193),"Ниже диапазона",IF(AND($F193&gt;=INDEX('Программа тренировок'!$F$6:$F$25,$M193),$G193&gt;=INDEX('Программа тренировок'!$L$6:$L$25,$M193)),"Верх диапазона: пора добавлять вес",IF($G193&lt;INDEX('Программа тренировок'!$L$6:$L$25,$M193),"RIR ниже цели","В диапазоне")))))</f>
        <v/>
      </c>
      <c r="M193" s="23" t="str">
        <f aca="false">IF($C193="","",IFERROR(MATCH($C193,'Программа тренировок'!$C$6:$C$25,0),""))</f>
        <v/>
      </c>
    </row>
    <row r="194" customFormat="false" ht="15" hidden="false" customHeight="true" outlineLevel="0" collapsed="false">
      <c r="A194" s="20"/>
      <c r="B194" s="21"/>
      <c r="C194" s="19"/>
      <c r="D194" s="18"/>
      <c r="E194" s="17"/>
      <c r="F194" s="18"/>
      <c r="G194" s="18"/>
      <c r="H194" s="21"/>
      <c r="I194" s="19"/>
      <c r="J194" s="8" t="str">
        <f aca="false">IF(OR(E194="",F194=""),"",E194*F194)</f>
        <v/>
      </c>
      <c r="K194" s="22" t="str">
        <f aca="false">IF($M194="","",INDEX('Программа тренировок'!$G$6:$G$25,$M194))</f>
        <v/>
      </c>
      <c r="L194" s="23" t="str">
        <f aca="false">IF(OR($M194="",$F194="",$G194=""),"",IF($H194="Разминка","Разминка",IF($F194&lt;INDEX('Программа тренировок'!$E$6:$E$25,$M194),"Ниже диапазона",IF(AND($F194&gt;=INDEX('Программа тренировок'!$F$6:$F$25,$M194),$G194&gt;=INDEX('Программа тренировок'!$L$6:$L$25,$M194)),"Верх диапазона: пора добавлять вес",IF($G194&lt;INDEX('Программа тренировок'!$L$6:$L$25,$M194),"RIR ниже цели","В диапазоне")))))</f>
        <v/>
      </c>
      <c r="M194" s="23" t="str">
        <f aca="false">IF($C194="","",IFERROR(MATCH($C194,'Программа тренировок'!$C$6:$C$25,0),""))</f>
        <v/>
      </c>
    </row>
    <row r="195" customFormat="false" ht="15" hidden="false" customHeight="true" outlineLevel="0" collapsed="false">
      <c r="A195" s="20"/>
      <c r="B195" s="21"/>
      <c r="C195" s="19"/>
      <c r="D195" s="18"/>
      <c r="E195" s="17"/>
      <c r="F195" s="18"/>
      <c r="G195" s="18"/>
      <c r="H195" s="21"/>
      <c r="I195" s="19"/>
      <c r="J195" s="8" t="str">
        <f aca="false">IF(OR(E195="",F195=""),"",E195*F195)</f>
        <v/>
      </c>
      <c r="K195" s="22" t="str">
        <f aca="false">IF($M195="","",INDEX('Программа тренировок'!$G$6:$G$25,$M195))</f>
        <v/>
      </c>
      <c r="L195" s="23" t="str">
        <f aca="false">IF(OR($M195="",$F195="",$G195=""),"",IF($H195="Разминка","Разминка",IF($F195&lt;INDEX('Программа тренировок'!$E$6:$E$25,$M195),"Ниже диапазона",IF(AND($F195&gt;=INDEX('Программа тренировок'!$F$6:$F$25,$M195),$G195&gt;=INDEX('Программа тренировок'!$L$6:$L$25,$M195)),"Верх диапазона: пора добавлять вес",IF($G195&lt;INDEX('Программа тренировок'!$L$6:$L$25,$M195),"RIR ниже цели","В диапазоне")))))</f>
        <v/>
      </c>
      <c r="M195" s="23" t="str">
        <f aca="false">IF($C195="","",IFERROR(MATCH($C195,'Программа тренировок'!$C$6:$C$25,0),""))</f>
        <v/>
      </c>
    </row>
    <row r="196" customFormat="false" ht="15" hidden="false" customHeight="true" outlineLevel="0" collapsed="false">
      <c r="A196" s="20"/>
      <c r="B196" s="21"/>
      <c r="C196" s="19"/>
      <c r="D196" s="18"/>
      <c r="E196" s="17"/>
      <c r="F196" s="18"/>
      <c r="G196" s="18"/>
      <c r="H196" s="21"/>
      <c r="I196" s="19"/>
      <c r="J196" s="8" t="str">
        <f aca="false">IF(OR(E196="",F196=""),"",E196*F196)</f>
        <v/>
      </c>
      <c r="K196" s="22" t="str">
        <f aca="false">IF($M196="","",INDEX('Программа тренировок'!$G$6:$G$25,$M196))</f>
        <v/>
      </c>
      <c r="L196" s="23" t="str">
        <f aca="false">IF(OR($M196="",$F196="",$G196=""),"",IF($H196="Разминка","Разминка",IF($F196&lt;INDEX('Программа тренировок'!$E$6:$E$25,$M196),"Ниже диапазона",IF(AND($F196&gt;=INDEX('Программа тренировок'!$F$6:$F$25,$M196),$G196&gt;=INDEX('Программа тренировок'!$L$6:$L$25,$M196)),"Верх диапазона: пора добавлять вес",IF($G196&lt;INDEX('Программа тренировок'!$L$6:$L$25,$M196),"RIR ниже цели","В диапазоне")))))</f>
        <v/>
      </c>
      <c r="M196" s="23" t="str">
        <f aca="false">IF($C196="","",IFERROR(MATCH($C196,'Программа тренировок'!$C$6:$C$25,0),""))</f>
        <v/>
      </c>
    </row>
    <row r="197" customFormat="false" ht="15" hidden="false" customHeight="true" outlineLevel="0" collapsed="false">
      <c r="A197" s="20"/>
      <c r="B197" s="21"/>
      <c r="C197" s="19"/>
      <c r="D197" s="18"/>
      <c r="E197" s="17"/>
      <c r="F197" s="18"/>
      <c r="G197" s="18"/>
      <c r="H197" s="21"/>
      <c r="I197" s="19"/>
      <c r="J197" s="8" t="str">
        <f aca="false">IF(OR(E197="",F197=""),"",E197*F197)</f>
        <v/>
      </c>
      <c r="K197" s="22" t="str">
        <f aca="false">IF($M197="","",INDEX('Программа тренировок'!$G$6:$G$25,$M197))</f>
        <v/>
      </c>
      <c r="L197" s="23" t="str">
        <f aca="false">IF(OR($M197="",$F197="",$G197=""),"",IF($H197="Разминка","Разминка",IF($F197&lt;INDEX('Программа тренировок'!$E$6:$E$25,$M197),"Ниже диапазона",IF(AND($F197&gt;=INDEX('Программа тренировок'!$F$6:$F$25,$M197),$G197&gt;=INDEX('Программа тренировок'!$L$6:$L$25,$M197)),"Верх диапазона: пора добавлять вес",IF($G197&lt;INDEX('Программа тренировок'!$L$6:$L$25,$M197),"RIR ниже цели","В диапазоне")))))</f>
        <v/>
      </c>
      <c r="M197" s="23" t="str">
        <f aca="false">IF($C197="","",IFERROR(MATCH($C197,'Программа тренировок'!$C$6:$C$25,0),""))</f>
        <v/>
      </c>
    </row>
    <row r="198" customFormat="false" ht="15" hidden="false" customHeight="true" outlineLevel="0" collapsed="false">
      <c r="A198" s="20"/>
      <c r="B198" s="21"/>
      <c r="C198" s="19"/>
      <c r="D198" s="18"/>
      <c r="E198" s="17"/>
      <c r="F198" s="18"/>
      <c r="G198" s="18"/>
      <c r="H198" s="21"/>
      <c r="I198" s="19"/>
      <c r="J198" s="8" t="str">
        <f aca="false">IF(OR(E198="",F198=""),"",E198*F198)</f>
        <v/>
      </c>
      <c r="K198" s="22" t="str">
        <f aca="false">IF($M198="","",INDEX('Программа тренировок'!$G$6:$G$25,$M198))</f>
        <v/>
      </c>
      <c r="L198" s="23" t="str">
        <f aca="false">IF(OR($M198="",$F198="",$G198=""),"",IF($H198="Разминка","Разминка",IF($F198&lt;INDEX('Программа тренировок'!$E$6:$E$25,$M198),"Ниже диапазона",IF(AND($F198&gt;=INDEX('Программа тренировок'!$F$6:$F$25,$M198),$G198&gt;=INDEX('Программа тренировок'!$L$6:$L$25,$M198)),"Верх диапазона: пора добавлять вес",IF($G198&lt;INDEX('Программа тренировок'!$L$6:$L$25,$M198),"RIR ниже цели","В диапазоне")))))</f>
        <v/>
      </c>
      <c r="M198" s="23" t="str">
        <f aca="false">IF($C198="","",IFERROR(MATCH($C198,'Программа тренировок'!$C$6:$C$25,0),""))</f>
        <v/>
      </c>
    </row>
    <row r="199" customFormat="false" ht="15" hidden="false" customHeight="true" outlineLevel="0" collapsed="false">
      <c r="A199" s="20"/>
      <c r="B199" s="21"/>
      <c r="C199" s="19"/>
      <c r="D199" s="18"/>
      <c r="E199" s="17"/>
      <c r="F199" s="18"/>
      <c r="G199" s="18"/>
      <c r="H199" s="21"/>
      <c r="I199" s="19"/>
      <c r="J199" s="8" t="str">
        <f aca="false">IF(OR(E199="",F199=""),"",E199*F199)</f>
        <v/>
      </c>
      <c r="K199" s="22" t="str">
        <f aca="false">IF($M199="","",INDEX('Программа тренировок'!$G$6:$G$25,$M199))</f>
        <v/>
      </c>
      <c r="L199" s="23" t="str">
        <f aca="false">IF(OR($M199="",$F199="",$G199=""),"",IF($H199="Разминка","Разминка",IF($F199&lt;INDEX('Программа тренировок'!$E$6:$E$25,$M199),"Ниже диапазона",IF(AND($F199&gt;=INDEX('Программа тренировок'!$F$6:$F$25,$M199),$G199&gt;=INDEX('Программа тренировок'!$L$6:$L$25,$M199)),"Верх диапазона: пора добавлять вес",IF($G199&lt;INDEX('Программа тренировок'!$L$6:$L$25,$M199),"RIR ниже цели","В диапазоне")))))</f>
        <v/>
      </c>
      <c r="M199" s="23" t="str">
        <f aca="false">IF($C199="","",IFERROR(MATCH($C199,'Программа тренировок'!$C$6:$C$25,0),""))</f>
        <v/>
      </c>
    </row>
    <row r="200" customFormat="false" ht="15" hidden="false" customHeight="true" outlineLevel="0" collapsed="false">
      <c r="A200" s="20"/>
      <c r="B200" s="21"/>
      <c r="C200" s="19"/>
      <c r="D200" s="18"/>
      <c r="E200" s="17"/>
      <c r="F200" s="18"/>
      <c r="G200" s="18"/>
      <c r="H200" s="21"/>
      <c r="I200" s="19"/>
      <c r="J200" s="8" t="str">
        <f aca="false">IF(OR(E200="",F200=""),"",E200*F200)</f>
        <v/>
      </c>
      <c r="K200" s="22" t="str">
        <f aca="false">IF($M200="","",INDEX('Программа тренировок'!$G$6:$G$25,$M200))</f>
        <v/>
      </c>
      <c r="L200" s="23" t="str">
        <f aca="false">IF(OR($M200="",$F200="",$G200=""),"",IF($H200="Разминка","Разминка",IF($F200&lt;INDEX('Программа тренировок'!$E$6:$E$25,$M200),"Ниже диапазона",IF(AND($F200&gt;=INDEX('Программа тренировок'!$F$6:$F$25,$M200),$G200&gt;=INDEX('Программа тренировок'!$L$6:$L$25,$M200)),"Верх диапазона: пора добавлять вес",IF($G200&lt;INDEX('Программа тренировок'!$L$6:$L$25,$M200),"RIR ниже цели","В диапазоне")))))</f>
        <v/>
      </c>
      <c r="M200" s="23" t="str">
        <f aca="false">IF($C200="","",IFERROR(MATCH($C200,'Программа тренировок'!$C$6:$C$25,0),""))</f>
        <v/>
      </c>
    </row>
    <row r="201" customFormat="false" ht="15" hidden="false" customHeight="true" outlineLevel="0" collapsed="false">
      <c r="A201" s="20"/>
      <c r="B201" s="21"/>
      <c r="C201" s="19"/>
      <c r="D201" s="18"/>
      <c r="E201" s="17"/>
      <c r="F201" s="18"/>
      <c r="G201" s="18"/>
      <c r="H201" s="21"/>
      <c r="I201" s="19"/>
      <c r="J201" s="8" t="str">
        <f aca="false">IF(OR(E201="",F201=""),"",E201*F201)</f>
        <v/>
      </c>
      <c r="K201" s="22" t="str">
        <f aca="false">IF($M201="","",INDEX('Программа тренировок'!$G$6:$G$25,$M201))</f>
        <v/>
      </c>
      <c r="L201" s="23" t="str">
        <f aca="false">IF(OR($M201="",$F201="",$G201=""),"",IF($H201="Разминка","Разминка",IF($F201&lt;INDEX('Программа тренировок'!$E$6:$E$25,$M201),"Ниже диапазона",IF(AND($F201&gt;=INDEX('Программа тренировок'!$F$6:$F$25,$M201),$G201&gt;=INDEX('Программа тренировок'!$L$6:$L$25,$M201)),"Верх диапазона: пора добавлять вес",IF($G201&lt;INDEX('Программа тренировок'!$L$6:$L$25,$M201),"RIR ниже цели","В диапазоне")))))</f>
        <v/>
      </c>
      <c r="M201" s="23" t="str">
        <f aca="false">IF($C201="","",IFERROR(MATCH($C201,'Программа тренировок'!$C$6:$C$25,0),""))</f>
        <v/>
      </c>
    </row>
    <row r="202" customFormat="false" ht="15" hidden="false" customHeight="true" outlineLevel="0" collapsed="false">
      <c r="A202" s="20"/>
      <c r="B202" s="21"/>
      <c r="C202" s="19"/>
      <c r="D202" s="18"/>
      <c r="E202" s="17"/>
      <c r="F202" s="18"/>
      <c r="G202" s="18"/>
      <c r="H202" s="21"/>
      <c r="I202" s="19"/>
      <c r="J202" s="8" t="str">
        <f aca="false">IF(OR(E202="",F202=""),"",E202*F202)</f>
        <v/>
      </c>
      <c r="K202" s="22" t="str">
        <f aca="false">IF($M202="","",INDEX('Программа тренировок'!$G$6:$G$25,$M202))</f>
        <v/>
      </c>
      <c r="L202" s="23" t="str">
        <f aca="false">IF(OR($M202="",$F202="",$G202=""),"",IF($H202="Разминка","Разминка",IF($F202&lt;INDEX('Программа тренировок'!$E$6:$E$25,$M202),"Ниже диапазона",IF(AND($F202&gt;=INDEX('Программа тренировок'!$F$6:$F$25,$M202),$G202&gt;=INDEX('Программа тренировок'!$L$6:$L$25,$M202)),"Верх диапазона: пора добавлять вес",IF($G202&lt;INDEX('Программа тренировок'!$L$6:$L$25,$M202),"RIR ниже цели","В диапазоне")))))</f>
        <v/>
      </c>
      <c r="M202" s="23" t="str">
        <f aca="false">IF($C202="","",IFERROR(MATCH($C202,'Программа тренировок'!$C$6:$C$25,0),""))</f>
        <v/>
      </c>
    </row>
    <row r="203" customFormat="false" ht="15" hidden="false" customHeight="true" outlineLevel="0" collapsed="false">
      <c r="A203" s="20"/>
      <c r="B203" s="21"/>
      <c r="C203" s="19"/>
      <c r="D203" s="18"/>
      <c r="E203" s="17"/>
      <c r="F203" s="18"/>
      <c r="G203" s="18"/>
      <c r="H203" s="21"/>
      <c r="I203" s="19"/>
      <c r="J203" s="8" t="str">
        <f aca="false">IF(OR(E203="",F203=""),"",E203*F203)</f>
        <v/>
      </c>
      <c r="K203" s="22" t="str">
        <f aca="false">IF($M203="","",INDEX('Программа тренировок'!$G$6:$G$25,$M203))</f>
        <v/>
      </c>
      <c r="L203" s="23" t="str">
        <f aca="false">IF(OR($M203="",$F203="",$G203=""),"",IF($H203="Разминка","Разминка",IF($F203&lt;INDEX('Программа тренировок'!$E$6:$E$25,$M203),"Ниже диапазона",IF(AND($F203&gt;=INDEX('Программа тренировок'!$F$6:$F$25,$M203),$G203&gt;=INDEX('Программа тренировок'!$L$6:$L$25,$M203)),"Верх диапазона: пора добавлять вес",IF($G203&lt;INDEX('Программа тренировок'!$L$6:$L$25,$M203),"RIR ниже цели","В диапазоне")))))</f>
        <v/>
      </c>
      <c r="M203" s="23" t="str">
        <f aca="false">IF($C203="","",IFERROR(MATCH($C203,'Программа тренировок'!$C$6:$C$25,0),""))</f>
        <v/>
      </c>
    </row>
    <row r="204" customFormat="false" ht="15" hidden="false" customHeight="true" outlineLevel="0" collapsed="false">
      <c r="A204" s="20"/>
      <c r="B204" s="21"/>
      <c r="C204" s="19"/>
      <c r="D204" s="18"/>
      <c r="E204" s="17"/>
      <c r="F204" s="18"/>
      <c r="G204" s="18"/>
      <c r="H204" s="21"/>
      <c r="I204" s="19"/>
      <c r="J204" s="8" t="str">
        <f aca="false">IF(OR(E204="",F204=""),"",E204*F204)</f>
        <v/>
      </c>
      <c r="K204" s="22" t="str">
        <f aca="false">IF($M204="","",INDEX('Программа тренировок'!$G$6:$G$25,$M204))</f>
        <v/>
      </c>
      <c r="L204" s="23" t="str">
        <f aca="false">IF(OR($M204="",$F204="",$G204=""),"",IF($H204="Разминка","Разминка",IF($F204&lt;INDEX('Программа тренировок'!$E$6:$E$25,$M204),"Ниже диапазона",IF(AND($F204&gt;=INDEX('Программа тренировок'!$F$6:$F$25,$M204),$G204&gt;=INDEX('Программа тренировок'!$L$6:$L$25,$M204)),"Верх диапазона: пора добавлять вес",IF($G204&lt;INDEX('Программа тренировок'!$L$6:$L$25,$M204),"RIR ниже цели","В диапазоне")))))</f>
        <v/>
      </c>
      <c r="M204" s="23" t="str">
        <f aca="false">IF($C204="","",IFERROR(MATCH($C204,'Программа тренировок'!$C$6:$C$25,0),""))</f>
        <v/>
      </c>
    </row>
    <row r="205" customFormat="false" ht="15" hidden="false" customHeight="true" outlineLevel="0" collapsed="false">
      <c r="A205" s="20"/>
      <c r="B205" s="21"/>
      <c r="C205" s="19"/>
      <c r="D205" s="18"/>
      <c r="E205" s="17"/>
      <c r="F205" s="18"/>
      <c r="G205" s="18"/>
      <c r="H205" s="21"/>
      <c r="I205" s="19"/>
      <c r="J205" s="8" t="str">
        <f aca="false">IF(OR(E205="",F205=""),"",E205*F205)</f>
        <v/>
      </c>
      <c r="K205" s="22" t="str">
        <f aca="false">IF($M205="","",INDEX('Программа тренировок'!$G$6:$G$25,$M205))</f>
        <v/>
      </c>
      <c r="L205" s="23" t="str">
        <f aca="false">IF(OR($M205="",$F205="",$G205=""),"",IF($H205="Разминка","Разминка",IF($F205&lt;INDEX('Программа тренировок'!$E$6:$E$25,$M205),"Ниже диапазона",IF(AND($F205&gt;=INDEX('Программа тренировок'!$F$6:$F$25,$M205),$G205&gt;=INDEX('Программа тренировок'!$L$6:$L$25,$M205)),"Верх диапазона: пора добавлять вес",IF($G205&lt;INDEX('Программа тренировок'!$L$6:$L$25,$M205),"RIR ниже цели","В диапазоне")))))</f>
        <v/>
      </c>
      <c r="M205" s="23" t="str">
        <f aca="false">IF($C205="","",IFERROR(MATCH($C205,'Программа тренировок'!$C$6:$C$25,0),""))</f>
        <v/>
      </c>
    </row>
    <row r="206" customFormat="false" ht="15" hidden="false" customHeight="true" outlineLevel="0" collapsed="false">
      <c r="A206" s="20"/>
      <c r="B206" s="21"/>
      <c r="C206" s="19"/>
      <c r="D206" s="18"/>
      <c r="E206" s="17"/>
      <c r="F206" s="18"/>
      <c r="G206" s="18"/>
      <c r="H206" s="21"/>
      <c r="I206" s="19"/>
      <c r="J206" s="8" t="str">
        <f aca="false">IF(OR(E206="",F206=""),"",E206*F206)</f>
        <v/>
      </c>
      <c r="K206" s="22" t="str">
        <f aca="false">IF($M206="","",INDEX('Программа тренировок'!$G$6:$G$25,$M206))</f>
        <v/>
      </c>
      <c r="L206" s="23" t="str">
        <f aca="false">IF(OR($M206="",$F206="",$G206=""),"",IF($H206="Разминка","Разминка",IF($F206&lt;INDEX('Программа тренировок'!$E$6:$E$25,$M206),"Ниже диапазона",IF(AND($F206&gt;=INDEX('Программа тренировок'!$F$6:$F$25,$M206),$G206&gt;=INDEX('Программа тренировок'!$L$6:$L$25,$M206)),"Верх диапазона: пора добавлять вес",IF($G206&lt;INDEX('Программа тренировок'!$L$6:$L$25,$M206),"RIR ниже цели","В диапазоне")))))</f>
        <v/>
      </c>
      <c r="M206" s="23" t="str">
        <f aca="false">IF($C206="","",IFERROR(MATCH($C206,'Программа тренировок'!$C$6:$C$25,0),""))</f>
        <v/>
      </c>
    </row>
    <row r="207" customFormat="false" ht="15" hidden="false" customHeight="true" outlineLevel="0" collapsed="false">
      <c r="A207" s="20"/>
      <c r="B207" s="21"/>
      <c r="C207" s="19"/>
      <c r="D207" s="18"/>
      <c r="E207" s="17"/>
      <c r="F207" s="18"/>
      <c r="G207" s="18"/>
      <c r="H207" s="21"/>
      <c r="I207" s="19"/>
      <c r="J207" s="8" t="str">
        <f aca="false">IF(OR(E207="",F207=""),"",E207*F207)</f>
        <v/>
      </c>
      <c r="K207" s="22" t="str">
        <f aca="false">IF($M207="","",INDEX('Программа тренировок'!$G$6:$G$25,$M207))</f>
        <v/>
      </c>
      <c r="L207" s="23" t="str">
        <f aca="false">IF(OR($M207="",$F207="",$G207=""),"",IF($H207="Разминка","Разминка",IF($F207&lt;INDEX('Программа тренировок'!$E$6:$E$25,$M207),"Ниже диапазона",IF(AND($F207&gt;=INDEX('Программа тренировок'!$F$6:$F$25,$M207),$G207&gt;=INDEX('Программа тренировок'!$L$6:$L$25,$M207)),"Верх диапазона: пора добавлять вес",IF($G207&lt;INDEX('Программа тренировок'!$L$6:$L$25,$M207),"RIR ниже цели","В диапазоне")))))</f>
        <v/>
      </c>
      <c r="M207" s="23" t="str">
        <f aca="false">IF($C207="","",IFERROR(MATCH($C207,'Программа тренировок'!$C$6:$C$25,0),""))</f>
        <v/>
      </c>
    </row>
    <row r="208" customFormat="false" ht="15" hidden="false" customHeight="true" outlineLevel="0" collapsed="false">
      <c r="A208" s="20"/>
      <c r="B208" s="21"/>
      <c r="C208" s="19"/>
      <c r="D208" s="18"/>
      <c r="E208" s="17"/>
      <c r="F208" s="18"/>
      <c r="G208" s="18"/>
      <c r="H208" s="21"/>
      <c r="I208" s="19"/>
      <c r="J208" s="8" t="str">
        <f aca="false">IF(OR(E208="",F208=""),"",E208*F208)</f>
        <v/>
      </c>
      <c r="K208" s="22" t="str">
        <f aca="false">IF($M208="","",INDEX('Программа тренировок'!$G$6:$G$25,$M208))</f>
        <v/>
      </c>
      <c r="L208" s="23" t="str">
        <f aca="false">IF(OR($M208="",$F208="",$G208=""),"",IF($H208="Разминка","Разминка",IF($F208&lt;INDEX('Программа тренировок'!$E$6:$E$25,$M208),"Ниже диапазона",IF(AND($F208&gt;=INDEX('Программа тренировок'!$F$6:$F$25,$M208),$G208&gt;=INDEX('Программа тренировок'!$L$6:$L$25,$M208)),"Верх диапазона: пора добавлять вес",IF($G208&lt;INDEX('Программа тренировок'!$L$6:$L$25,$M208),"RIR ниже цели","В диапазоне")))))</f>
        <v/>
      </c>
      <c r="M208" s="23" t="str">
        <f aca="false">IF($C208="","",IFERROR(MATCH($C208,'Программа тренировок'!$C$6:$C$25,0),""))</f>
        <v/>
      </c>
    </row>
    <row r="209" customFormat="false" ht="15" hidden="false" customHeight="true" outlineLevel="0" collapsed="false">
      <c r="A209" s="20"/>
      <c r="B209" s="21"/>
      <c r="C209" s="19"/>
      <c r="D209" s="18"/>
      <c r="E209" s="17"/>
      <c r="F209" s="18"/>
      <c r="G209" s="18"/>
      <c r="H209" s="21"/>
      <c r="I209" s="19"/>
      <c r="J209" s="8" t="str">
        <f aca="false">IF(OR(E209="",F209=""),"",E209*F209)</f>
        <v/>
      </c>
      <c r="K209" s="22" t="str">
        <f aca="false">IF($M209="","",INDEX('Программа тренировок'!$G$6:$G$25,$M209))</f>
        <v/>
      </c>
      <c r="L209" s="23" t="str">
        <f aca="false">IF(OR($M209="",$F209="",$G209=""),"",IF($H209="Разминка","Разминка",IF($F209&lt;INDEX('Программа тренировок'!$E$6:$E$25,$M209),"Ниже диапазона",IF(AND($F209&gt;=INDEX('Программа тренировок'!$F$6:$F$25,$M209),$G209&gt;=INDEX('Программа тренировок'!$L$6:$L$25,$M209)),"Верх диапазона: пора добавлять вес",IF($G209&lt;INDEX('Программа тренировок'!$L$6:$L$25,$M209),"RIR ниже цели","В диапазоне")))))</f>
        <v/>
      </c>
      <c r="M209" s="23" t="str">
        <f aca="false">IF($C209="","",IFERROR(MATCH($C209,'Программа тренировок'!$C$6:$C$25,0),""))</f>
        <v/>
      </c>
    </row>
    <row r="210" customFormat="false" ht="15" hidden="false" customHeight="true" outlineLevel="0" collapsed="false">
      <c r="A210" s="20"/>
      <c r="B210" s="21"/>
      <c r="C210" s="19"/>
      <c r="D210" s="18"/>
      <c r="E210" s="17"/>
      <c r="F210" s="18"/>
      <c r="G210" s="18"/>
      <c r="H210" s="21"/>
      <c r="I210" s="19"/>
      <c r="J210" s="8" t="str">
        <f aca="false">IF(OR(E210="",F210=""),"",E210*F210)</f>
        <v/>
      </c>
      <c r="K210" s="22" t="str">
        <f aca="false">IF($M210="","",INDEX('Программа тренировок'!$G$6:$G$25,$M210))</f>
        <v/>
      </c>
      <c r="L210" s="23" t="str">
        <f aca="false">IF(OR($M210="",$F210="",$G210=""),"",IF($H210="Разминка","Разминка",IF($F210&lt;INDEX('Программа тренировок'!$E$6:$E$25,$M210),"Ниже диапазона",IF(AND($F210&gt;=INDEX('Программа тренировок'!$F$6:$F$25,$M210),$G210&gt;=INDEX('Программа тренировок'!$L$6:$L$25,$M210)),"Верх диапазона: пора добавлять вес",IF($G210&lt;INDEX('Программа тренировок'!$L$6:$L$25,$M210),"RIR ниже цели","В диапазоне")))))</f>
        <v/>
      </c>
      <c r="M210" s="23" t="str">
        <f aca="false">IF($C210="","",IFERROR(MATCH($C210,'Программа тренировок'!$C$6:$C$25,0),""))</f>
        <v/>
      </c>
    </row>
    <row r="211" customFormat="false" ht="15" hidden="false" customHeight="true" outlineLevel="0" collapsed="false">
      <c r="A211" s="20"/>
      <c r="B211" s="21"/>
      <c r="C211" s="19"/>
      <c r="D211" s="18"/>
      <c r="E211" s="17"/>
      <c r="F211" s="18"/>
      <c r="G211" s="18"/>
      <c r="H211" s="21"/>
      <c r="I211" s="19"/>
      <c r="J211" s="8" t="str">
        <f aca="false">IF(OR(E211="",F211=""),"",E211*F211)</f>
        <v/>
      </c>
      <c r="K211" s="22" t="str">
        <f aca="false">IF($M211="","",INDEX('Программа тренировок'!$G$6:$G$25,$M211))</f>
        <v/>
      </c>
      <c r="L211" s="23" t="str">
        <f aca="false">IF(OR($M211="",$F211="",$G211=""),"",IF($H211="Разминка","Разминка",IF($F211&lt;INDEX('Программа тренировок'!$E$6:$E$25,$M211),"Ниже диапазона",IF(AND($F211&gt;=INDEX('Программа тренировок'!$F$6:$F$25,$M211),$G211&gt;=INDEX('Программа тренировок'!$L$6:$L$25,$M211)),"Верх диапазона: пора добавлять вес",IF($G211&lt;INDEX('Программа тренировок'!$L$6:$L$25,$M211),"RIR ниже цели","В диапазоне")))))</f>
        <v/>
      </c>
      <c r="M211" s="23" t="str">
        <f aca="false">IF($C211="","",IFERROR(MATCH($C211,'Программа тренировок'!$C$6:$C$25,0),""))</f>
        <v/>
      </c>
    </row>
    <row r="212" customFormat="false" ht="15" hidden="false" customHeight="true" outlineLevel="0" collapsed="false">
      <c r="A212" s="20"/>
      <c r="B212" s="21"/>
      <c r="C212" s="19"/>
      <c r="D212" s="18"/>
      <c r="E212" s="17"/>
      <c r="F212" s="18"/>
      <c r="G212" s="18"/>
      <c r="H212" s="21"/>
      <c r="I212" s="19"/>
      <c r="J212" s="8" t="str">
        <f aca="false">IF(OR(E212="",F212=""),"",E212*F212)</f>
        <v/>
      </c>
      <c r="K212" s="22" t="str">
        <f aca="false">IF($M212="","",INDEX('Программа тренировок'!$G$6:$G$25,$M212))</f>
        <v/>
      </c>
      <c r="L212" s="23" t="str">
        <f aca="false">IF(OR($M212="",$F212="",$G212=""),"",IF($H212="Разминка","Разминка",IF($F212&lt;INDEX('Программа тренировок'!$E$6:$E$25,$M212),"Ниже диапазона",IF(AND($F212&gt;=INDEX('Программа тренировок'!$F$6:$F$25,$M212),$G212&gt;=INDEX('Программа тренировок'!$L$6:$L$25,$M212)),"Верх диапазона: пора добавлять вес",IF($G212&lt;INDEX('Программа тренировок'!$L$6:$L$25,$M212),"RIR ниже цели","В диапазоне")))))</f>
        <v/>
      </c>
      <c r="M212" s="23" t="str">
        <f aca="false">IF($C212="","",IFERROR(MATCH($C212,'Программа тренировок'!$C$6:$C$25,0),""))</f>
        <v/>
      </c>
    </row>
    <row r="213" customFormat="false" ht="15" hidden="false" customHeight="true" outlineLevel="0" collapsed="false">
      <c r="A213" s="20"/>
      <c r="B213" s="21"/>
      <c r="C213" s="19"/>
      <c r="D213" s="18"/>
      <c r="E213" s="17"/>
      <c r="F213" s="18"/>
      <c r="G213" s="18"/>
      <c r="H213" s="21"/>
      <c r="I213" s="19"/>
      <c r="J213" s="8" t="str">
        <f aca="false">IF(OR(E213="",F213=""),"",E213*F213)</f>
        <v/>
      </c>
      <c r="K213" s="22" t="str">
        <f aca="false">IF($M213="","",INDEX('Программа тренировок'!$G$6:$G$25,$M213))</f>
        <v/>
      </c>
      <c r="L213" s="23" t="str">
        <f aca="false">IF(OR($M213="",$F213="",$G213=""),"",IF($H213="Разминка","Разминка",IF($F213&lt;INDEX('Программа тренировок'!$E$6:$E$25,$M213),"Ниже диапазона",IF(AND($F213&gt;=INDEX('Программа тренировок'!$F$6:$F$25,$M213),$G213&gt;=INDEX('Программа тренировок'!$L$6:$L$25,$M213)),"Верх диапазона: пора добавлять вес",IF($G213&lt;INDEX('Программа тренировок'!$L$6:$L$25,$M213),"RIR ниже цели","В диапазоне")))))</f>
        <v/>
      </c>
      <c r="M213" s="23" t="str">
        <f aca="false">IF($C213="","",IFERROR(MATCH($C213,'Программа тренировок'!$C$6:$C$25,0),""))</f>
        <v/>
      </c>
    </row>
    <row r="214" customFormat="false" ht="15" hidden="false" customHeight="true" outlineLevel="0" collapsed="false">
      <c r="A214" s="20"/>
      <c r="B214" s="21"/>
      <c r="C214" s="19"/>
      <c r="D214" s="18"/>
      <c r="E214" s="17"/>
      <c r="F214" s="18"/>
      <c r="G214" s="18"/>
      <c r="H214" s="21"/>
      <c r="I214" s="19"/>
      <c r="J214" s="8" t="str">
        <f aca="false">IF(OR(E214="",F214=""),"",E214*F214)</f>
        <v/>
      </c>
      <c r="K214" s="22" t="str">
        <f aca="false">IF($M214="","",INDEX('Программа тренировок'!$G$6:$G$25,$M214))</f>
        <v/>
      </c>
      <c r="L214" s="23" t="str">
        <f aca="false">IF(OR($M214="",$F214="",$G214=""),"",IF($H214="Разминка","Разминка",IF($F214&lt;INDEX('Программа тренировок'!$E$6:$E$25,$M214),"Ниже диапазона",IF(AND($F214&gt;=INDEX('Программа тренировок'!$F$6:$F$25,$M214),$G214&gt;=INDEX('Программа тренировок'!$L$6:$L$25,$M214)),"Верх диапазона: пора добавлять вес",IF($G214&lt;INDEX('Программа тренировок'!$L$6:$L$25,$M214),"RIR ниже цели","В диапазоне")))))</f>
        <v/>
      </c>
      <c r="M214" s="23" t="str">
        <f aca="false">IF($C214="","",IFERROR(MATCH($C214,'Программа тренировок'!$C$6:$C$25,0),""))</f>
        <v/>
      </c>
    </row>
    <row r="215" customFormat="false" ht="15" hidden="false" customHeight="true" outlineLevel="0" collapsed="false">
      <c r="A215" s="20"/>
      <c r="B215" s="21"/>
      <c r="C215" s="19"/>
      <c r="D215" s="18"/>
      <c r="E215" s="17"/>
      <c r="F215" s="18"/>
      <c r="G215" s="18"/>
      <c r="H215" s="21"/>
      <c r="I215" s="19"/>
      <c r="J215" s="8" t="str">
        <f aca="false">IF(OR(E215="",F215=""),"",E215*F215)</f>
        <v/>
      </c>
      <c r="K215" s="22" t="str">
        <f aca="false">IF($M215="","",INDEX('Программа тренировок'!$G$6:$G$25,$M215))</f>
        <v/>
      </c>
      <c r="L215" s="23" t="str">
        <f aca="false">IF(OR($M215="",$F215="",$G215=""),"",IF($H215="Разминка","Разминка",IF($F215&lt;INDEX('Программа тренировок'!$E$6:$E$25,$M215),"Ниже диапазона",IF(AND($F215&gt;=INDEX('Программа тренировок'!$F$6:$F$25,$M215),$G215&gt;=INDEX('Программа тренировок'!$L$6:$L$25,$M215)),"Верх диапазона: пора добавлять вес",IF($G215&lt;INDEX('Программа тренировок'!$L$6:$L$25,$M215),"RIR ниже цели","В диапазоне")))))</f>
        <v/>
      </c>
      <c r="M215" s="23" t="str">
        <f aca="false">IF($C215="","",IFERROR(MATCH($C215,'Программа тренировок'!$C$6:$C$25,0),""))</f>
        <v/>
      </c>
    </row>
    <row r="216" customFormat="false" ht="15" hidden="false" customHeight="true" outlineLevel="0" collapsed="false">
      <c r="A216" s="20"/>
      <c r="B216" s="21"/>
      <c r="C216" s="19"/>
      <c r="D216" s="18"/>
      <c r="E216" s="17"/>
      <c r="F216" s="18"/>
      <c r="G216" s="18"/>
      <c r="H216" s="21"/>
      <c r="I216" s="19"/>
      <c r="J216" s="8" t="str">
        <f aca="false">IF(OR(E216="",F216=""),"",E216*F216)</f>
        <v/>
      </c>
      <c r="K216" s="22" t="str">
        <f aca="false">IF($M216="","",INDEX('Программа тренировок'!$G$6:$G$25,$M216))</f>
        <v/>
      </c>
      <c r="L216" s="23" t="str">
        <f aca="false">IF(OR($M216="",$F216="",$G216=""),"",IF($H216="Разминка","Разминка",IF($F216&lt;INDEX('Программа тренировок'!$E$6:$E$25,$M216),"Ниже диапазона",IF(AND($F216&gt;=INDEX('Программа тренировок'!$F$6:$F$25,$M216),$G216&gt;=INDEX('Программа тренировок'!$L$6:$L$25,$M216)),"Верх диапазона: пора добавлять вес",IF($G216&lt;INDEX('Программа тренировок'!$L$6:$L$25,$M216),"RIR ниже цели","В диапазоне")))))</f>
        <v/>
      </c>
      <c r="M216" s="23" t="str">
        <f aca="false">IF($C216="","",IFERROR(MATCH($C216,'Программа тренировок'!$C$6:$C$25,0),""))</f>
        <v/>
      </c>
    </row>
    <row r="217" customFormat="false" ht="15" hidden="false" customHeight="true" outlineLevel="0" collapsed="false">
      <c r="A217" s="20"/>
      <c r="B217" s="21"/>
      <c r="C217" s="19"/>
      <c r="D217" s="18"/>
      <c r="E217" s="17"/>
      <c r="F217" s="18"/>
      <c r="G217" s="18"/>
      <c r="H217" s="21"/>
      <c r="I217" s="19"/>
      <c r="J217" s="8" t="str">
        <f aca="false">IF(OR(E217="",F217=""),"",E217*F217)</f>
        <v/>
      </c>
      <c r="K217" s="22" t="str">
        <f aca="false">IF($M217="","",INDEX('Программа тренировок'!$G$6:$G$25,$M217))</f>
        <v/>
      </c>
      <c r="L217" s="23" t="str">
        <f aca="false">IF(OR($M217="",$F217="",$G217=""),"",IF($H217="Разминка","Разминка",IF($F217&lt;INDEX('Программа тренировок'!$E$6:$E$25,$M217),"Ниже диапазона",IF(AND($F217&gt;=INDEX('Программа тренировок'!$F$6:$F$25,$M217),$G217&gt;=INDEX('Программа тренировок'!$L$6:$L$25,$M217)),"Верх диапазона: пора добавлять вес",IF($G217&lt;INDEX('Программа тренировок'!$L$6:$L$25,$M217),"RIR ниже цели","В диапазоне")))))</f>
        <v/>
      </c>
      <c r="M217" s="23" t="str">
        <f aca="false">IF($C217="","",IFERROR(MATCH($C217,'Программа тренировок'!$C$6:$C$25,0),""))</f>
        <v/>
      </c>
    </row>
    <row r="218" customFormat="false" ht="15" hidden="false" customHeight="true" outlineLevel="0" collapsed="false">
      <c r="A218" s="20"/>
      <c r="B218" s="21"/>
      <c r="C218" s="19"/>
      <c r="D218" s="18"/>
      <c r="E218" s="17"/>
      <c r="F218" s="18"/>
      <c r="G218" s="18"/>
      <c r="H218" s="21"/>
      <c r="I218" s="19"/>
      <c r="J218" s="8" t="str">
        <f aca="false">IF(OR(E218="",F218=""),"",E218*F218)</f>
        <v/>
      </c>
      <c r="K218" s="22" t="str">
        <f aca="false">IF($M218="","",INDEX('Программа тренировок'!$G$6:$G$25,$M218))</f>
        <v/>
      </c>
      <c r="L218" s="23" t="str">
        <f aca="false">IF(OR($M218="",$F218="",$G218=""),"",IF($H218="Разминка","Разминка",IF($F218&lt;INDEX('Программа тренировок'!$E$6:$E$25,$M218),"Ниже диапазона",IF(AND($F218&gt;=INDEX('Программа тренировок'!$F$6:$F$25,$M218),$G218&gt;=INDEX('Программа тренировок'!$L$6:$L$25,$M218)),"Верх диапазона: пора добавлять вес",IF($G218&lt;INDEX('Программа тренировок'!$L$6:$L$25,$M218),"RIR ниже цели","В диапазоне")))))</f>
        <v/>
      </c>
      <c r="M218" s="23" t="str">
        <f aca="false">IF($C218="","",IFERROR(MATCH($C218,'Программа тренировок'!$C$6:$C$25,0),""))</f>
        <v/>
      </c>
    </row>
    <row r="219" customFormat="false" ht="15" hidden="false" customHeight="true" outlineLevel="0" collapsed="false">
      <c r="A219" s="20"/>
      <c r="B219" s="21"/>
      <c r="C219" s="19"/>
      <c r="D219" s="18"/>
      <c r="E219" s="17"/>
      <c r="F219" s="18"/>
      <c r="G219" s="18"/>
      <c r="H219" s="21"/>
      <c r="I219" s="19"/>
      <c r="J219" s="8" t="str">
        <f aca="false">IF(OR(E219="",F219=""),"",E219*F219)</f>
        <v/>
      </c>
      <c r="K219" s="22" t="str">
        <f aca="false">IF($M219="","",INDEX('Программа тренировок'!$G$6:$G$25,$M219))</f>
        <v/>
      </c>
      <c r="L219" s="23" t="str">
        <f aca="false">IF(OR($M219="",$F219="",$G219=""),"",IF($H219="Разминка","Разминка",IF($F219&lt;INDEX('Программа тренировок'!$E$6:$E$25,$M219),"Ниже диапазона",IF(AND($F219&gt;=INDEX('Программа тренировок'!$F$6:$F$25,$M219),$G219&gt;=INDEX('Программа тренировок'!$L$6:$L$25,$M219)),"Верх диапазона: пора добавлять вес",IF($G219&lt;INDEX('Программа тренировок'!$L$6:$L$25,$M219),"RIR ниже цели","В диапазоне")))))</f>
        <v/>
      </c>
      <c r="M219" s="23" t="str">
        <f aca="false">IF($C219="","",IFERROR(MATCH($C219,'Программа тренировок'!$C$6:$C$25,0),""))</f>
        <v/>
      </c>
    </row>
    <row r="220" customFormat="false" ht="15" hidden="false" customHeight="true" outlineLevel="0" collapsed="false">
      <c r="A220" s="20"/>
      <c r="B220" s="21"/>
      <c r="C220" s="19"/>
      <c r="D220" s="18"/>
      <c r="E220" s="17"/>
      <c r="F220" s="18"/>
      <c r="G220" s="18"/>
      <c r="H220" s="21"/>
      <c r="I220" s="19"/>
      <c r="J220" s="8" t="str">
        <f aca="false">IF(OR(E220="",F220=""),"",E220*F220)</f>
        <v/>
      </c>
      <c r="K220" s="22" t="str">
        <f aca="false">IF($M220="","",INDEX('Программа тренировок'!$G$6:$G$25,$M220))</f>
        <v/>
      </c>
      <c r="L220" s="23" t="str">
        <f aca="false">IF(OR($M220="",$F220="",$G220=""),"",IF($H220="Разминка","Разминка",IF($F220&lt;INDEX('Программа тренировок'!$E$6:$E$25,$M220),"Ниже диапазона",IF(AND($F220&gt;=INDEX('Программа тренировок'!$F$6:$F$25,$M220),$G220&gt;=INDEX('Программа тренировок'!$L$6:$L$25,$M220)),"Верх диапазона: пора добавлять вес",IF($G220&lt;INDEX('Программа тренировок'!$L$6:$L$25,$M220),"RIR ниже цели","В диапазоне")))))</f>
        <v/>
      </c>
      <c r="M220" s="23" t="str">
        <f aca="false">IF($C220="","",IFERROR(MATCH($C220,'Программа тренировок'!$C$6:$C$25,0),""))</f>
        <v/>
      </c>
    </row>
    <row r="221" customFormat="false" ht="15" hidden="false" customHeight="true" outlineLevel="0" collapsed="false">
      <c r="A221" s="20"/>
      <c r="B221" s="21"/>
      <c r="C221" s="19"/>
      <c r="D221" s="18"/>
      <c r="E221" s="17"/>
      <c r="F221" s="18"/>
      <c r="G221" s="18"/>
      <c r="H221" s="21"/>
      <c r="I221" s="19"/>
      <c r="J221" s="8" t="str">
        <f aca="false">IF(OR(E221="",F221=""),"",E221*F221)</f>
        <v/>
      </c>
      <c r="K221" s="22" t="str">
        <f aca="false">IF($M221="","",INDEX('Программа тренировок'!$G$6:$G$25,$M221))</f>
        <v/>
      </c>
      <c r="L221" s="23" t="str">
        <f aca="false">IF(OR($M221="",$F221="",$G221=""),"",IF($H221="Разминка","Разминка",IF($F221&lt;INDEX('Программа тренировок'!$E$6:$E$25,$M221),"Ниже диапазона",IF(AND($F221&gt;=INDEX('Программа тренировок'!$F$6:$F$25,$M221),$G221&gt;=INDEX('Программа тренировок'!$L$6:$L$25,$M221)),"Верх диапазона: пора добавлять вес",IF($G221&lt;INDEX('Программа тренировок'!$L$6:$L$25,$M221),"RIR ниже цели","В диапазоне")))))</f>
        <v/>
      </c>
      <c r="M221" s="23" t="str">
        <f aca="false">IF($C221="","",IFERROR(MATCH($C221,'Программа тренировок'!$C$6:$C$25,0),""))</f>
        <v/>
      </c>
    </row>
    <row r="222" customFormat="false" ht="15" hidden="false" customHeight="true" outlineLevel="0" collapsed="false">
      <c r="A222" s="20"/>
      <c r="B222" s="21"/>
      <c r="C222" s="19"/>
      <c r="D222" s="18"/>
      <c r="E222" s="17"/>
      <c r="F222" s="18"/>
      <c r="G222" s="18"/>
      <c r="H222" s="21"/>
      <c r="I222" s="19"/>
      <c r="J222" s="8" t="str">
        <f aca="false">IF(OR(E222="",F222=""),"",E222*F222)</f>
        <v/>
      </c>
      <c r="K222" s="22" t="str">
        <f aca="false">IF($M222="","",INDEX('Программа тренировок'!$G$6:$G$25,$M222))</f>
        <v/>
      </c>
      <c r="L222" s="23" t="str">
        <f aca="false">IF(OR($M222="",$F222="",$G222=""),"",IF($H222="Разминка","Разминка",IF($F222&lt;INDEX('Программа тренировок'!$E$6:$E$25,$M222),"Ниже диапазона",IF(AND($F222&gt;=INDEX('Программа тренировок'!$F$6:$F$25,$M222),$G222&gt;=INDEX('Программа тренировок'!$L$6:$L$25,$M222)),"Верх диапазона: пора добавлять вес",IF($G222&lt;INDEX('Программа тренировок'!$L$6:$L$25,$M222),"RIR ниже цели","В диапазоне")))))</f>
        <v/>
      </c>
      <c r="M222" s="23" t="str">
        <f aca="false">IF($C222="","",IFERROR(MATCH($C222,'Программа тренировок'!$C$6:$C$25,0),""))</f>
        <v/>
      </c>
    </row>
    <row r="223" customFormat="false" ht="15" hidden="false" customHeight="true" outlineLevel="0" collapsed="false">
      <c r="A223" s="20"/>
      <c r="B223" s="21"/>
      <c r="C223" s="19"/>
      <c r="D223" s="18"/>
      <c r="E223" s="17"/>
      <c r="F223" s="18"/>
      <c r="G223" s="18"/>
      <c r="H223" s="21"/>
      <c r="I223" s="19"/>
      <c r="J223" s="8" t="str">
        <f aca="false">IF(OR(E223="",F223=""),"",E223*F223)</f>
        <v/>
      </c>
      <c r="K223" s="22" t="str">
        <f aca="false">IF($M223="","",INDEX('Программа тренировок'!$G$6:$G$25,$M223))</f>
        <v/>
      </c>
      <c r="L223" s="23" t="str">
        <f aca="false">IF(OR($M223="",$F223="",$G223=""),"",IF($H223="Разминка","Разминка",IF($F223&lt;INDEX('Программа тренировок'!$E$6:$E$25,$M223),"Ниже диапазона",IF(AND($F223&gt;=INDEX('Программа тренировок'!$F$6:$F$25,$M223),$G223&gt;=INDEX('Программа тренировок'!$L$6:$L$25,$M223)),"Верх диапазона: пора добавлять вес",IF($G223&lt;INDEX('Программа тренировок'!$L$6:$L$25,$M223),"RIR ниже цели","В диапазоне")))))</f>
        <v/>
      </c>
      <c r="M223" s="23" t="str">
        <f aca="false">IF($C223="","",IFERROR(MATCH($C223,'Программа тренировок'!$C$6:$C$25,0),""))</f>
        <v/>
      </c>
    </row>
    <row r="224" customFormat="false" ht="15" hidden="false" customHeight="true" outlineLevel="0" collapsed="false">
      <c r="A224" s="20"/>
      <c r="B224" s="21"/>
      <c r="C224" s="19"/>
      <c r="D224" s="18"/>
      <c r="E224" s="17"/>
      <c r="F224" s="18"/>
      <c r="G224" s="18"/>
      <c r="H224" s="21"/>
      <c r="I224" s="19"/>
      <c r="J224" s="8" t="str">
        <f aca="false">IF(OR(E224="",F224=""),"",E224*F224)</f>
        <v/>
      </c>
      <c r="K224" s="22" t="str">
        <f aca="false">IF($M224="","",INDEX('Программа тренировок'!$G$6:$G$25,$M224))</f>
        <v/>
      </c>
      <c r="L224" s="23" t="str">
        <f aca="false">IF(OR($M224="",$F224="",$G224=""),"",IF($H224="Разминка","Разминка",IF($F224&lt;INDEX('Программа тренировок'!$E$6:$E$25,$M224),"Ниже диапазона",IF(AND($F224&gt;=INDEX('Программа тренировок'!$F$6:$F$25,$M224),$G224&gt;=INDEX('Программа тренировок'!$L$6:$L$25,$M224)),"Верх диапазона: пора добавлять вес",IF($G224&lt;INDEX('Программа тренировок'!$L$6:$L$25,$M224),"RIR ниже цели","В диапазоне")))))</f>
        <v/>
      </c>
      <c r="M224" s="23" t="str">
        <f aca="false">IF($C224="","",IFERROR(MATCH($C224,'Программа тренировок'!$C$6:$C$25,0),""))</f>
        <v/>
      </c>
    </row>
    <row r="225" customFormat="false" ht="15" hidden="false" customHeight="true" outlineLevel="0" collapsed="false">
      <c r="A225" s="20"/>
      <c r="B225" s="21"/>
      <c r="C225" s="19"/>
      <c r="D225" s="18"/>
      <c r="E225" s="17"/>
      <c r="F225" s="18"/>
      <c r="G225" s="18"/>
      <c r="H225" s="21"/>
      <c r="I225" s="19"/>
      <c r="J225" s="8" t="str">
        <f aca="false">IF(OR(E225="",F225=""),"",E225*F225)</f>
        <v/>
      </c>
      <c r="K225" s="22" t="str">
        <f aca="false">IF($M225="","",INDEX('Программа тренировок'!$G$6:$G$25,$M225))</f>
        <v/>
      </c>
      <c r="L225" s="23" t="str">
        <f aca="false">IF(OR($M225="",$F225="",$G225=""),"",IF($H225="Разминка","Разминка",IF($F225&lt;INDEX('Программа тренировок'!$E$6:$E$25,$M225),"Ниже диапазона",IF(AND($F225&gt;=INDEX('Программа тренировок'!$F$6:$F$25,$M225),$G225&gt;=INDEX('Программа тренировок'!$L$6:$L$25,$M225)),"Верх диапазона: пора добавлять вес",IF($G225&lt;INDEX('Программа тренировок'!$L$6:$L$25,$M225),"RIR ниже цели","В диапазоне")))))</f>
        <v/>
      </c>
      <c r="M225" s="23" t="str">
        <f aca="false">IF($C225="","",IFERROR(MATCH($C225,'Программа тренировок'!$C$6:$C$25,0),""))</f>
        <v/>
      </c>
    </row>
    <row r="226" customFormat="false" ht="15" hidden="false" customHeight="true" outlineLevel="0" collapsed="false">
      <c r="A226" s="20"/>
      <c r="B226" s="21"/>
      <c r="C226" s="19"/>
      <c r="D226" s="18"/>
      <c r="E226" s="17"/>
      <c r="F226" s="18"/>
      <c r="G226" s="18"/>
      <c r="H226" s="21"/>
      <c r="I226" s="19"/>
      <c r="J226" s="8" t="str">
        <f aca="false">IF(OR(E226="",F226=""),"",E226*F226)</f>
        <v/>
      </c>
      <c r="K226" s="22" t="str">
        <f aca="false">IF($M226="","",INDEX('Программа тренировок'!$G$6:$G$25,$M226))</f>
        <v/>
      </c>
      <c r="L226" s="23" t="str">
        <f aca="false">IF(OR($M226="",$F226="",$G226=""),"",IF($H226="Разминка","Разминка",IF($F226&lt;INDEX('Программа тренировок'!$E$6:$E$25,$M226),"Ниже диапазона",IF(AND($F226&gt;=INDEX('Программа тренировок'!$F$6:$F$25,$M226),$G226&gt;=INDEX('Программа тренировок'!$L$6:$L$25,$M226)),"Верх диапазона: пора добавлять вес",IF($G226&lt;INDEX('Программа тренировок'!$L$6:$L$25,$M226),"RIR ниже цели","В диапазоне")))))</f>
        <v/>
      </c>
      <c r="M226" s="23" t="str">
        <f aca="false">IF($C226="","",IFERROR(MATCH($C226,'Программа тренировок'!$C$6:$C$25,0),""))</f>
        <v/>
      </c>
    </row>
    <row r="227" customFormat="false" ht="15" hidden="false" customHeight="true" outlineLevel="0" collapsed="false">
      <c r="A227" s="20"/>
      <c r="B227" s="21"/>
      <c r="C227" s="19"/>
      <c r="D227" s="18"/>
      <c r="E227" s="17"/>
      <c r="F227" s="18"/>
      <c r="G227" s="18"/>
      <c r="H227" s="21"/>
      <c r="I227" s="19"/>
      <c r="J227" s="8" t="str">
        <f aca="false">IF(OR(E227="",F227=""),"",E227*F227)</f>
        <v/>
      </c>
      <c r="K227" s="22" t="str">
        <f aca="false">IF($M227="","",INDEX('Программа тренировок'!$G$6:$G$25,$M227))</f>
        <v/>
      </c>
      <c r="L227" s="23" t="str">
        <f aca="false">IF(OR($M227="",$F227="",$G227=""),"",IF($H227="Разминка","Разминка",IF($F227&lt;INDEX('Программа тренировок'!$E$6:$E$25,$M227),"Ниже диапазона",IF(AND($F227&gt;=INDEX('Программа тренировок'!$F$6:$F$25,$M227),$G227&gt;=INDEX('Программа тренировок'!$L$6:$L$25,$M227)),"Верх диапазона: пора добавлять вес",IF($G227&lt;INDEX('Программа тренировок'!$L$6:$L$25,$M227),"RIR ниже цели","В диапазоне")))))</f>
        <v/>
      </c>
      <c r="M227" s="23" t="str">
        <f aca="false">IF($C227="","",IFERROR(MATCH($C227,'Программа тренировок'!$C$6:$C$25,0),""))</f>
        <v/>
      </c>
    </row>
    <row r="228" customFormat="false" ht="15" hidden="false" customHeight="true" outlineLevel="0" collapsed="false">
      <c r="A228" s="20"/>
      <c r="B228" s="21"/>
      <c r="C228" s="19"/>
      <c r="D228" s="18"/>
      <c r="E228" s="17"/>
      <c r="F228" s="18"/>
      <c r="G228" s="18"/>
      <c r="H228" s="21"/>
      <c r="I228" s="19"/>
      <c r="J228" s="8" t="str">
        <f aca="false">IF(OR(E228="",F228=""),"",E228*F228)</f>
        <v/>
      </c>
      <c r="K228" s="22" t="str">
        <f aca="false">IF($M228="","",INDEX('Программа тренировок'!$G$6:$G$25,$M228))</f>
        <v/>
      </c>
      <c r="L228" s="23" t="str">
        <f aca="false">IF(OR($M228="",$F228="",$G228=""),"",IF($H228="Разминка","Разминка",IF($F228&lt;INDEX('Программа тренировок'!$E$6:$E$25,$M228),"Ниже диапазона",IF(AND($F228&gt;=INDEX('Программа тренировок'!$F$6:$F$25,$M228),$G228&gt;=INDEX('Программа тренировок'!$L$6:$L$25,$M228)),"Верх диапазона: пора добавлять вес",IF($G228&lt;INDEX('Программа тренировок'!$L$6:$L$25,$M228),"RIR ниже цели","В диапазоне")))))</f>
        <v/>
      </c>
      <c r="M228" s="23" t="str">
        <f aca="false">IF($C228="","",IFERROR(MATCH($C228,'Программа тренировок'!$C$6:$C$25,0),""))</f>
        <v/>
      </c>
    </row>
    <row r="229" customFormat="false" ht="15" hidden="false" customHeight="true" outlineLevel="0" collapsed="false">
      <c r="A229" s="20"/>
      <c r="B229" s="21"/>
      <c r="C229" s="19"/>
      <c r="D229" s="18"/>
      <c r="E229" s="17"/>
      <c r="F229" s="18"/>
      <c r="G229" s="18"/>
      <c r="H229" s="21"/>
      <c r="I229" s="19"/>
      <c r="J229" s="8" t="str">
        <f aca="false">IF(OR(E229="",F229=""),"",E229*F229)</f>
        <v/>
      </c>
      <c r="K229" s="22" t="str">
        <f aca="false">IF($M229="","",INDEX('Программа тренировок'!$G$6:$G$25,$M229))</f>
        <v/>
      </c>
      <c r="L229" s="23" t="str">
        <f aca="false">IF(OR($M229="",$F229="",$G229=""),"",IF($H229="Разминка","Разминка",IF($F229&lt;INDEX('Программа тренировок'!$E$6:$E$25,$M229),"Ниже диапазона",IF(AND($F229&gt;=INDEX('Программа тренировок'!$F$6:$F$25,$M229),$G229&gt;=INDEX('Программа тренировок'!$L$6:$L$25,$M229)),"Верх диапазона: пора добавлять вес",IF($G229&lt;INDEX('Программа тренировок'!$L$6:$L$25,$M229),"RIR ниже цели","В диапазоне")))))</f>
        <v/>
      </c>
      <c r="M229" s="23" t="str">
        <f aca="false">IF($C229="","",IFERROR(MATCH($C229,'Программа тренировок'!$C$6:$C$25,0),""))</f>
        <v/>
      </c>
    </row>
    <row r="230" customFormat="false" ht="15" hidden="false" customHeight="true" outlineLevel="0" collapsed="false">
      <c r="A230" s="20"/>
      <c r="B230" s="21"/>
      <c r="C230" s="19"/>
      <c r="D230" s="18"/>
      <c r="E230" s="17"/>
      <c r="F230" s="18"/>
      <c r="G230" s="18"/>
      <c r="H230" s="21"/>
      <c r="I230" s="19"/>
      <c r="J230" s="8" t="str">
        <f aca="false">IF(OR(E230="",F230=""),"",E230*F230)</f>
        <v/>
      </c>
      <c r="K230" s="22" t="str">
        <f aca="false">IF($M230="","",INDEX('Программа тренировок'!$G$6:$G$25,$M230))</f>
        <v/>
      </c>
      <c r="L230" s="23" t="str">
        <f aca="false">IF(OR($M230="",$F230="",$G230=""),"",IF($H230="Разминка","Разминка",IF($F230&lt;INDEX('Программа тренировок'!$E$6:$E$25,$M230),"Ниже диапазона",IF(AND($F230&gt;=INDEX('Программа тренировок'!$F$6:$F$25,$M230),$G230&gt;=INDEX('Программа тренировок'!$L$6:$L$25,$M230)),"Верх диапазона: пора добавлять вес",IF($G230&lt;INDEX('Программа тренировок'!$L$6:$L$25,$M230),"RIR ниже цели","В диапазоне")))))</f>
        <v/>
      </c>
      <c r="M230" s="23" t="str">
        <f aca="false">IF($C230="","",IFERROR(MATCH($C230,'Программа тренировок'!$C$6:$C$25,0),""))</f>
        <v/>
      </c>
    </row>
    <row r="231" customFormat="false" ht="15" hidden="false" customHeight="true" outlineLevel="0" collapsed="false">
      <c r="A231" s="20"/>
      <c r="B231" s="21"/>
      <c r="C231" s="19"/>
      <c r="D231" s="18"/>
      <c r="E231" s="17"/>
      <c r="F231" s="18"/>
      <c r="G231" s="18"/>
      <c r="H231" s="21"/>
      <c r="I231" s="19"/>
      <c r="J231" s="8" t="str">
        <f aca="false">IF(OR(E231="",F231=""),"",E231*F231)</f>
        <v/>
      </c>
      <c r="K231" s="22" t="str">
        <f aca="false">IF($M231="","",INDEX('Программа тренировок'!$G$6:$G$25,$M231))</f>
        <v/>
      </c>
      <c r="L231" s="23" t="str">
        <f aca="false">IF(OR($M231="",$F231="",$G231=""),"",IF($H231="Разминка","Разминка",IF($F231&lt;INDEX('Программа тренировок'!$E$6:$E$25,$M231),"Ниже диапазона",IF(AND($F231&gt;=INDEX('Программа тренировок'!$F$6:$F$25,$M231),$G231&gt;=INDEX('Программа тренировок'!$L$6:$L$25,$M231)),"Верх диапазона: пора добавлять вес",IF($G231&lt;INDEX('Программа тренировок'!$L$6:$L$25,$M231),"RIR ниже цели","В диапазоне")))))</f>
        <v/>
      </c>
      <c r="M231" s="23" t="str">
        <f aca="false">IF($C231="","",IFERROR(MATCH($C231,'Программа тренировок'!$C$6:$C$25,0),""))</f>
        <v/>
      </c>
    </row>
    <row r="232" customFormat="false" ht="15" hidden="false" customHeight="true" outlineLevel="0" collapsed="false">
      <c r="A232" s="20"/>
      <c r="B232" s="21"/>
      <c r="C232" s="19"/>
      <c r="D232" s="18"/>
      <c r="E232" s="17"/>
      <c r="F232" s="18"/>
      <c r="G232" s="18"/>
      <c r="H232" s="21"/>
      <c r="I232" s="19"/>
      <c r="J232" s="8" t="str">
        <f aca="false">IF(OR(E232="",F232=""),"",E232*F232)</f>
        <v/>
      </c>
      <c r="K232" s="22" t="str">
        <f aca="false">IF($M232="","",INDEX('Программа тренировок'!$G$6:$G$25,$M232))</f>
        <v/>
      </c>
      <c r="L232" s="23" t="str">
        <f aca="false">IF(OR($M232="",$F232="",$G232=""),"",IF($H232="Разминка","Разминка",IF($F232&lt;INDEX('Программа тренировок'!$E$6:$E$25,$M232),"Ниже диапазона",IF(AND($F232&gt;=INDEX('Программа тренировок'!$F$6:$F$25,$M232),$G232&gt;=INDEX('Программа тренировок'!$L$6:$L$25,$M232)),"Верх диапазона: пора добавлять вес",IF($G232&lt;INDEX('Программа тренировок'!$L$6:$L$25,$M232),"RIR ниже цели","В диапазоне")))))</f>
        <v/>
      </c>
      <c r="M232" s="23" t="str">
        <f aca="false">IF($C232="","",IFERROR(MATCH($C232,'Программа тренировок'!$C$6:$C$25,0),""))</f>
        <v/>
      </c>
    </row>
    <row r="233" customFormat="false" ht="15" hidden="false" customHeight="true" outlineLevel="0" collapsed="false">
      <c r="A233" s="20"/>
      <c r="B233" s="21"/>
      <c r="C233" s="19"/>
      <c r="D233" s="18"/>
      <c r="E233" s="17"/>
      <c r="F233" s="18"/>
      <c r="G233" s="18"/>
      <c r="H233" s="21"/>
      <c r="I233" s="19"/>
      <c r="J233" s="8" t="str">
        <f aca="false">IF(OR(E233="",F233=""),"",E233*F233)</f>
        <v/>
      </c>
      <c r="K233" s="22" t="str">
        <f aca="false">IF($M233="","",INDEX('Программа тренировок'!$G$6:$G$25,$M233))</f>
        <v/>
      </c>
      <c r="L233" s="23" t="str">
        <f aca="false">IF(OR($M233="",$F233="",$G233=""),"",IF($H233="Разминка","Разминка",IF($F233&lt;INDEX('Программа тренировок'!$E$6:$E$25,$M233),"Ниже диапазона",IF(AND($F233&gt;=INDEX('Программа тренировок'!$F$6:$F$25,$M233),$G233&gt;=INDEX('Программа тренировок'!$L$6:$L$25,$M233)),"Верх диапазона: пора добавлять вес",IF($G233&lt;INDEX('Программа тренировок'!$L$6:$L$25,$M233),"RIR ниже цели","В диапазоне")))))</f>
        <v/>
      </c>
      <c r="M233" s="23" t="str">
        <f aca="false">IF($C233="","",IFERROR(MATCH($C233,'Программа тренировок'!$C$6:$C$25,0),""))</f>
        <v/>
      </c>
    </row>
    <row r="234" customFormat="false" ht="15" hidden="false" customHeight="true" outlineLevel="0" collapsed="false">
      <c r="A234" s="20"/>
      <c r="B234" s="21"/>
      <c r="C234" s="19"/>
      <c r="D234" s="18"/>
      <c r="E234" s="17"/>
      <c r="F234" s="18"/>
      <c r="G234" s="18"/>
      <c r="H234" s="21"/>
      <c r="I234" s="19"/>
      <c r="J234" s="8" t="str">
        <f aca="false">IF(OR(E234="",F234=""),"",E234*F234)</f>
        <v/>
      </c>
      <c r="K234" s="22" t="str">
        <f aca="false">IF($M234="","",INDEX('Программа тренировок'!$G$6:$G$25,$M234))</f>
        <v/>
      </c>
      <c r="L234" s="23" t="str">
        <f aca="false">IF(OR($M234="",$F234="",$G234=""),"",IF($H234="Разминка","Разминка",IF($F234&lt;INDEX('Программа тренировок'!$E$6:$E$25,$M234),"Ниже диапазона",IF(AND($F234&gt;=INDEX('Программа тренировок'!$F$6:$F$25,$M234),$G234&gt;=INDEX('Программа тренировок'!$L$6:$L$25,$M234)),"Верх диапазона: пора добавлять вес",IF($G234&lt;INDEX('Программа тренировок'!$L$6:$L$25,$M234),"RIR ниже цели","В диапазоне")))))</f>
        <v/>
      </c>
      <c r="M234" s="23" t="str">
        <f aca="false">IF($C234="","",IFERROR(MATCH($C234,'Программа тренировок'!$C$6:$C$25,0),""))</f>
        <v/>
      </c>
    </row>
    <row r="235" customFormat="false" ht="15" hidden="false" customHeight="true" outlineLevel="0" collapsed="false">
      <c r="A235" s="20"/>
      <c r="B235" s="21"/>
      <c r="C235" s="19"/>
      <c r="D235" s="18"/>
      <c r="E235" s="17"/>
      <c r="F235" s="18"/>
      <c r="G235" s="18"/>
      <c r="H235" s="21"/>
      <c r="I235" s="19"/>
      <c r="J235" s="8" t="str">
        <f aca="false">IF(OR(E235="",F235=""),"",E235*F235)</f>
        <v/>
      </c>
      <c r="K235" s="22" t="str">
        <f aca="false">IF($M235="","",INDEX('Программа тренировок'!$G$6:$G$25,$M235))</f>
        <v/>
      </c>
      <c r="L235" s="23" t="str">
        <f aca="false">IF(OR($M235="",$F235="",$G235=""),"",IF($H235="Разминка","Разминка",IF($F235&lt;INDEX('Программа тренировок'!$E$6:$E$25,$M235),"Ниже диапазона",IF(AND($F235&gt;=INDEX('Программа тренировок'!$F$6:$F$25,$M235),$G235&gt;=INDEX('Программа тренировок'!$L$6:$L$25,$M235)),"Верх диапазона: пора добавлять вес",IF($G235&lt;INDEX('Программа тренировок'!$L$6:$L$25,$M235),"RIR ниже цели","В диапазоне")))))</f>
        <v/>
      </c>
      <c r="M235" s="23" t="str">
        <f aca="false">IF($C235="","",IFERROR(MATCH($C235,'Программа тренировок'!$C$6:$C$25,0),""))</f>
        <v/>
      </c>
    </row>
    <row r="236" customFormat="false" ht="15" hidden="false" customHeight="true" outlineLevel="0" collapsed="false">
      <c r="A236" s="20"/>
      <c r="B236" s="21"/>
      <c r="C236" s="19"/>
      <c r="D236" s="18"/>
      <c r="E236" s="17"/>
      <c r="F236" s="18"/>
      <c r="G236" s="18"/>
      <c r="H236" s="21"/>
      <c r="I236" s="19"/>
      <c r="J236" s="8" t="str">
        <f aca="false">IF(OR(E236="",F236=""),"",E236*F236)</f>
        <v/>
      </c>
      <c r="K236" s="22" t="str">
        <f aca="false">IF($M236="","",INDEX('Программа тренировок'!$G$6:$G$25,$M236))</f>
        <v/>
      </c>
      <c r="L236" s="23" t="str">
        <f aca="false">IF(OR($M236="",$F236="",$G236=""),"",IF($H236="Разминка","Разминка",IF($F236&lt;INDEX('Программа тренировок'!$E$6:$E$25,$M236),"Ниже диапазона",IF(AND($F236&gt;=INDEX('Программа тренировок'!$F$6:$F$25,$M236),$G236&gt;=INDEX('Программа тренировок'!$L$6:$L$25,$M236)),"Верх диапазона: пора добавлять вес",IF($G236&lt;INDEX('Программа тренировок'!$L$6:$L$25,$M236),"RIR ниже цели","В диапазоне")))))</f>
        <v/>
      </c>
      <c r="M236" s="23" t="str">
        <f aca="false">IF($C236="","",IFERROR(MATCH($C236,'Программа тренировок'!$C$6:$C$25,0),""))</f>
        <v/>
      </c>
    </row>
    <row r="237" customFormat="false" ht="15" hidden="false" customHeight="true" outlineLevel="0" collapsed="false">
      <c r="A237" s="20"/>
      <c r="B237" s="21"/>
      <c r="C237" s="19"/>
      <c r="D237" s="18"/>
      <c r="E237" s="17"/>
      <c r="F237" s="18"/>
      <c r="G237" s="18"/>
      <c r="H237" s="21"/>
      <c r="I237" s="19"/>
      <c r="J237" s="8" t="str">
        <f aca="false">IF(OR(E237="",F237=""),"",E237*F237)</f>
        <v/>
      </c>
      <c r="K237" s="22" t="str">
        <f aca="false">IF($M237="","",INDEX('Программа тренировок'!$G$6:$G$25,$M237))</f>
        <v/>
      </c>
      <c r="L237" s="23" t="str">
        <f aca="false">IF(OR($M237="",$F237="",$G237=""),"",IF($H237="Разминка","Разминка",IF($F237&lt;INDEX('Программа тренировок'!$E$6:$E$25,$M237),"Ниже диапазона",IF(AND($F237&gt;=INDEX('Программа тренировок'!$F$6:$F$25,$M237),$G237&gt;=INDEX('Программа тренировок'!$L$6:$L$25,$M237)),"Верх диапазона: пора добавлять вес",IF($G237&lt;INDEX('Программа тренировок'!$L$6:$L$25,$M237),"RIR ниже цели","В диапазоне")))))</f>
        <v/>
      </c>
      <c r="M237" s="23" t="str">
        <f aca="false">IF($C237="","",IFERROR(MATCH($C237,'Программа тренировок'!$C$6:$C$25,0),""))</f>
        <v/>
      </c>
    </row>
    <row r="238" customFormat="false" ht="15" hidden="false" customHeight="true" outlineLevel="0" collapsed="false">
      <c r="A238" s="20"/>
      <c r="B238" s="21"/>
      <c r="C238" s="19"/>
      <c r="D238" s="18"/>
      <c r="E238" s="17"/>
      <c r="F238" s="18"/>
      <c r="G238" s="18"/>
      <c r="H238" s="21"/>
      <c r="I238" s="19"/>
      <c r="J238" s="8" t="str">
        <f aca="false">IF(OR(E238="",F238=""),"",E238*F238)</f>
        <v/>
      </c>
      <c r="K238" s="22" t="str">
        <f aca="false">IF($M238="","",INDEX('Программа тренировок'!$G$6:$G$25,$M238))</f>
        <v/>
      </c>
      <c r="L238" s="23" t="str">
        <f aca="false">IF(OR($M238="",$F238="",$G238=""),"",IF($H238="Разминка","Разминка",IF($F238&lt;INDEX('Программа тренировок'!$E$6:$E$25,$M238),"Ниже диапазона",IF(AND($F238&gt;=INDEX('Программа тренировок'!$F$6:$F$25,$M238),$G238&gt;=INDEX('Программа тренировок'!$L$6:$L$25,$M238)),"Верх диапазона: пора добавлять вес",IF($G238&lt;INDEX('Программа тренировок'!$L$6:$L$25,$M238),"RIR ниже цели","В диапазоне")))))</f>
        <v/>
      </c>
      <c r="M238" s="23" t="str">
        <f aca="false">IF($C238="","",IFERROR(MATCH($C238,'Программа тренировок'!$C$6:$C$25,0),""))</f>
        <v/>
      </c>
    </row>
    <row r="239" customFormat="false" ht="15" hidden="false" customHeight="true" outlineLevel="0" collapsed="false">
      <c r="A239" s="20"/>
      <c r="B239" s="21"/>
      <c r="C239" s="19"/>
      <c r="D239" s="18"/>
      <c r="E239" s="17"/>
      <c r="F239" s="18"/>
      <c r="G239" s="18"/>
      <c r="H239" s="21"/>
      <c r="I239" s="19"/>
      <c r="J239" s="8" t="str">
        <f aca="false">IF(OR(E239="",F239=""),"",E239*F239)</f>
        <v/>
      </c>
      <c r="K239" s="22" t="str">
        <f aca="false">IF($M239="","",INDEX('Программа тренировок'!$G$6:$G$25,$M239))</f>
        <v/>
      </c>
      <c r="L239" s="23" t="str">
        <f aca="false">IF(OR($M239="",$F239="",$G239=""),"",IF($H239="Разминка","Разминка",IF($F239&lt;INDEX('Программа тренировок'!$E$6:$E$25,$M239),"Ниже диапазона",IF(AND($F239&gt;=INDEX('Программа тренировок'!$F$6:$F$25,$M239),$G239&gt;=INDEX('Программа тренировок'!$L$6:$L$25,$M239)),"Верх диапазона: пора добавлять вес",IF($G239&lt;INDEX('Программа тренировок'!$L$6:$L$25,$M239),"RIR ниже цели","В диапазоне")))))</f>
        <v/>
      </c>
      <c r="M239" s="23" t="str">
        <f aca="false">IF($C239="","",IFERROR(MATCH($C239,'Программа тренировок'!$C$6:$C$25,0),""))</f>
        <v/>
      </c>
    </row>
    <row r="240" customFormat="false" ht="15" hidden="false" customHeight="true" outlineLevel="0" collapsed="false">
      <c r="A240" s="20"/>
      <c r="B240" s="21"/>
      <c r="C240" s="19"/>
      <c r="D240" s="18"/>
      <c r="E240" s="17"/>
      <c r="F240" s="18"/>
      <c r="G240" s="18"/>
      <c r="H240" s="21"/>
      <c r="I240" s="19"/>
      <c r="J240" s="8" t="str">
        <f aca="false">IF(OR(E240="",F240=""),"",E240*F240)</f>
        <v/>
      </c>
      <c r="K240" s="22" t="str">
        <f aca="false">IF($M240="","",INDEX('Программа тренировок'!$G$6:$G$25,$M240))</f>
        <v/>
      </c>
      <c r="L240" s="23" t="str">
        <f aca="false">IF(OR($M240="",$F240="",$G240=""),"",IF($H240="Разминка","Разминка",IF($F240&lt;INDEX('Программа тренировок'!$E$6:$E$25,$M240),"Ниже диапазона",IF(AND($F240&gt;=INDEX('Программа тренировок'!$F$6:$F$25,$M240),$G240&gt;=INDEX('Программа тренировок'!$L$6:$L$25,$M240)),"Верх диапазона: пора добавлять вес",IF($G240&lt;INDEX('Программа тренировок'!$L$6:$L$25,$M240),"RIR ниже цели","В диапазоне")))))</f>
        <v/>
      </c>
      <c r="M240" s="23" t="str">
        <f aca="false">IF($C240="","",IFERROR(MATCH($C240,'Программа тренировок'!$C$6:$C$25,0),""))</f>
        <v/>
      </c>
    </row>
    <row r="241" customFormat="false" ht="15" hidden="false" customHeight="true" outlineLevel="0" collapsed="false">
      <c r="A241" s="20"/>
      <c r="B241" s="21"/>
      <c r="C241" s="19"/>
      <c r="D241" s="18"/>
      <c r="E241" s="17"/>
      <c r="F241" s="18"/>
      <c r="G241" s="18"/>
      <c r="H241" s="21"/>
      <c r="I241" s="19"/>
      <c r="J241" s="8" t="str">
        <f aca="false">IF(OR(E241="",F241=""),"",E241*F241)</f>
        <v/>
      </c>
      <c r="K241" s="22" t="str">
        <f aca="false">IF($M241="","",INDEX('Программа тренировок'!$G$6:$G$25,$M241))</f>
        <v/>
      </c>
      <c r="L241" s="23" t="str">
        <f aca="false">IF(OR($M241="",$F241="",$G241=""),"",IF($H241="Разминка","Разминка",IF($F241&lt;INDEX('Программа тренировок'!$E$6:$E$25,$M241),"Ниже диапазона",IF(AND($F241&gt;=INDEX('Программа тренировок'!$F$6:$F$25,$M241),$G241&gt;=INDEX('Программа тренировок'!$L$6:$L$25,$M241)),"Верх диапазона: пора добавлять вес",IF($G241&lt;INDEX('Программа тренировок'!$L$6:$L$25,$M241),"RIR ниже цели","В диапазоне")))))</f>
        <v/>
      </c>
      <c r="M241" s="23" t="str">
        <f aca="false">IF($C241="","",IFERROR(MATCH($C241,'Программа тренировок'!$C$6:$C$25,0),""))</f>
        <v/>
      </c>
    </row>
    <row r="242" customFormat="false" ht="15" hidden="false" customHeight="true" outlineLevel="0" collapsed="false">
      <c r="A242" s="20"/>
      <c r="B242" s="21"/>
      <c r="C242" s="19"/>
      <c r="D242" s="18"/>
      <c r="E242" s="17"/>
      <c r="F242" s="18"/>
      <c r="G242" s="18"/>
      <c r="H242" s="21"/>
      <c r="I242" s="19"/>
      <c r="J242" s="8" t="str">
        <f aca="false">IF(OR(E242="",F242=""),"",E242*F242)</f>
        <v/>
      </c>
      <c r="K242" s="22" t="str">
        <f aca="false">IF($M242="","",INDEX('Программа тренировок'!$G$6:$G$25,$M242))</f>
        <v/>
      </c>
      <c r="L242" s="23" t="str">
        <f aca="false">IF(OR($M242="",$F242="",$G242=""),"",IF($H242="Разминка","Разминка",IF($F242&lt;INDEX('Программа тренировок'!$E$6:$E$25,$M242),"Ниже диапазона",IF(AND($F242&gt;=INDEX('Программа тренировок'!$F$6:$F$25,$M242),$G242&gt;=INDEX('Программа тренировок'!$L$6:$L$25,$M242)),"Верх диапазона: пора добавлять вес",IF($G242&lt;INDEX('Программа тренировок'!$L$6:$L$25,$M242),"RIR ниже цели","В диапазоне")))))</f>
        <v/>
      </c>
      <c r="M242" s="23" t="str">
        <f aca="false">IF($C242="","",IFERROR(MATCH($C242,'Программа тренировок'!$C$6:$C$25,0),""))</f>
        <v/>
      </c>
    </row>
    <row r="243" customFormat="false" ht="15" hidden="false" customHeight="true" outlineLevel="0" collapsed="false">
      <c r="A243" s="20"/>
      <c r="B243" s="21"/>
      <c r="C243" s="19"/>
      <c r="D243" s="18"/>
      <c r="E243" s="17"/>
      <c r="F243" s="18"/>
      <c r="G243" s="18"/>
      <c r="H243" s="21"/>
      <c r="I243" s="19"/>
      <c r="J243" s="8" t="str">
        <f aca="false">IF(OR(E243="",F243=""),"",E243*F243)</f>
        <v/>
      </c>
      <c r="K243" s="22" t="str">
        <f aca="false">IF($M243="","",INDEX('Программа тренировок'!$G$6:$G$25,$M243))</f>
        <v/>
      </c>
      <c r="L243" s="23" t="str">
        <f aca="false">IF(OR($M243="",$F243="",$G243=""),"",IF($H243="Разминка","Разминка",IF($F243&lt;INDEX('Программа тренировок'!$E$6:$E$25,$M243),"Ниже диапазона",IF(AND($F243&gt;=INDEX('Программа тренировок'!$F$6:$F$25,$M243),$G243&gt;=INDEX('Программа тренировок'!$L$6:$L$25,$M243)),"Верх диапазона: пора добавлять вес",IF($G243&lt;INDEX('Программа тренировок'!$L$6:$L$25,$M243),"RIR ниже цели","В диапазоне")))))</f>
        <v/>
      </c>
      <c r="M243" s="23" t="str">
        <f aca="false">IF($C243="","",IFERROR(MATCH($C243,'Программа тренировок'!$C$6:$C$25,0),""))</f>
        <v/>
      </c>
    </row>
    <row r="244" customFormat="false" ht="15" hidden="false" customHeight="true" outlineLevel="0" collapsed="false">
      <c r="A244" s="20"/>
      <c r="B244" s="21"/>
      <c r="C244" s="19"/>
      <c r="D244" s="18"/>
      <c r="E244" s="17"/>
      <c r="F244" s="18"/>
      <c r="G244" s="18"/>
      <c r="H244" s="21"/>
      <c r="I244" s="19"/>
      <c r="J244" s="8" t="str">
        <f aca="false">IF(OR(E244="",F244=""),"",E244*F244)</f>
        <v/>
      </c>
      <c r="K244" s="22" t="str">
        <f aca="false">IF($M244="","",INDEX('Программа тренировок'!$G$6:$G$25,$M244))</f>
        <v/>
      </c>
      <c r="L244" s="23" t="str">
        <f aca="false">IF(OR($M244="",$F244="",$G244=""),"",IF($H244="Разминка","Разминка",IF($F244&lt;INDEX('Программа тренировок'!$E$6:$E$25,$M244),"Ниже диапазона",IF(AND($F244&gt;=INDEX('Программа тренировок'!$F$6:$F$25,$M244),$G244&gt;=INDEX('Программа тренировок'!$L$6:$L$25,$M244)),"Верх диапазона: пора добавлять вес",IF($G244&lt;INDEX('Программа тренировок'!$L$6:$L$25,$M244),"RIR ниже цели","В диапазоне")))))</f>
        <v/>
      </c>
      <c r="M244" s="23" t="str">
        <f aca="false">IF($C244="","",IFERROR(MATCH($C244,'Программа тренировок'!$C$6:$C$25,0),""))</f>
        <v/>
      </c>
    </row>
    <row r="245" customFormat="false" ht="15" hidden="false" customHeight="true" outlineLevel="0" collapsed="false">
      <c r="A245" s="20"/>
      <c r="B245" s="21"/>
      <c r="C245" s="19"/>
      <c r="D245" s="18"/>
      <c r="E245" s="17"/>
      <c r="F245" s="18"/>
      <c r="G245" s="18"/>
      <c r="H245" s="21"/>
      <c r="I245" s="19"/>
      <c r="J245" s="8" t="str">
        <f aca="false">IF(OR(E245="",F245=""),"",E245*F245)</f>
        <v/>
      </c>
      <c r="K245" s="22" t="str">
        <f aca="false">IF($M245="","",INDEX('Программа тренировок'!$G$6:$G$25,$M245))</f>
        <v/>
      </c>
      <c r="L245" s="23" t="str">
        <f aca="false">IF(OR($M245="",$F245="",$G245=""),"",IF($H245="Разминка","Разминка",IF($F245&lt;INDEX('Программа тренировок'!$E$6:$E$25,$M245),"Ниже диапазона",IF(AND($F245&gt;=INDEX('Программа тренировок'!$F$6:$F$25,$M245),$G245&gt;=INDEX('Программа тренировок'!$L$6:$L$25,$M245)),"Верх диапазона: пора добавлять вес",IF($G245&lt;INDEX('Программа тренировок'!$L$6:$L$25,$M245),"RIR ниже цели","В диапазоне")))))</f>
        <v/>
      </c>
      <c r="M245" s="23" t="str">
        <f aca="false">IF($C245="","",IFERROR(MATCH($C245,'Программа тренировок'!$C$6:$C$25,0),""))</f>
        <v/>
      </c>
    </row>
    <row r="246" customFormat="false" ht="15" hidden="false" customHeight="true" outlineLevel="0" collapsed="false">
      <c r="A246" s="20"/>
      <c r="B246" s="21"/>
      <c r="C246" s="19"/>
      <c r="D246" s="18"/>
      <c r="E246" s="17"/>
      <c r="F246" s="18"/>
      <c r="G246" s="18"/>
      <c r="H246" s="21"/>
      <c r="I246" s="19"/>
      <c r="J246" s="8" t="str">
        <f aca="false">IF(OR(E246="",F246=""),"",E246*F246)</f>
        <v/>
      </c>
      <c r="K246" s="22" t="str">
        <f aca="false">IF($M246="","",INDEX('Программа тренировок'!$G$6:$G$25,$M246))</f>
        <v/>
      </c>
      <c r="L246" s="23" t="str">
        <f aca="false">IF(OR($M246="",$F246="",$G246=""),"",IF($H246="Разминка","Разминка",IF($F246&lt;INDEX('Программа тренировок'!$E$6:$E$25,$M246),"Ниже диапазона",IF(AND($F246&gt;=INDEX('Программа тренировок'!$F$6:$F$25,$M246),$G246&gt;=INDEX('Программа тренировок'!$L$6:$L$25,$M246)),"Верх диапазона: пора добавлять вес",IF($G246&lt;INDEX('Программа тренировок'!$L$6:$L$25,$M246),"RIR ниже цели","В диапазоне")))))</f>
        <v/>
      </c>
      <c r="M246" s="23" t="str">
        <f aca="false">IF($C246="","",IFERROR(MATCH($C246,'Программа тренировок'!$C$6:$C$25,0),""))</f>
        <v/>
      </c>
    </row>
    <row r="247" customFormat="false" ht="15" hidden="false" customHeight="true" outlineLevel="0" collapsed="false">
      <c r="A247" s="20"/>
      <c r="B247" s="21"/>
      <c r="C247" s="19"/>
      <c r="D247" s="18"/>
      <c r="E247" s="17"/>
      <c r="F247" s="18"/>
      <c r="G247" s="18"/>
      <c r="H247" s="21"/>
      <c r="I247" s="19"/>
      <c r="J247" s="8" t="str">
        <f aca="false">IF(OR(E247="",F247=""),"",E247*F247)</f>
        <v/>
      </c>
      <c r="K247" s="22" t="str">
        <f aca="false">IF($M247="","",INDEX('Программа тренировок'!$G$6:$G$25,$M247))</f>
        <v/>
      </c>
      <c r="L247" s="23" t="str">
        <f aca="false">IF(OR($M247="",$F247="",$G247=""),"",IF($H247="Разминка","Разминка",IF($F247&lt;INDEX('Программа тренировок'!$E$6:$E$25,$M247),"Ниже диапазона",IF(AND($F247&gt;=INDEX('Программа тренировок'!$F$6:$F$25,$M247),$G247&gt;=INDEX('Программа тренировок'!$L$6:$L$25,$M247)),"Верх диапазона: пора добавлять вес",IF($G247&lt;INDEX('Программа тренировок'!$L$6:$L$25,$M247),"RIR ниже цели","В диапазоне")))))</f>
        <v/>
      </c>
      <c r="M247" s="23" t="str">
        <f aca="false">IF($C247="","",IFERROR(MATCH($C247,'Программа тренировок'!$C$6:$C$25,0),""))</f>
        <v/>
      </c>
    </row>
    <row r="248" customFormat="false" ht="15" hidden="false" customHeight="true" outlineLevel="0" collapsed="false">
      <c r="A248" s="20"/>
      <c r="B248" s="21"/>
      <c r="C248" s="19"/>
      <c r="D248" s="18"/>
      <c r="E248" s="17"/>
      <c r="F248" s="18"/>
      <c r="G248" s="18"/>
      <c r="H248" s="21"/>
      <c r="I248" s="19"/>
      <c r="J248" s="8" t="str">
        <f aca="false">IF(OR(E248="",F248=""),"",E248*F248)</f>
        <v/>
      </c>
      <c r="K248" s="22" t="str">
        <f aca="false">IF($M248="","",INDEX('Программа тренировок'!$G$6:$G$25,$M248))</f>
        <v/>
      </c>
      <c r="L248" s="23" t="str">
        <f aca="false">IF(OR($M248="",$F248="",$G248=""),"",IF($H248="Разминка","Разминка",IF($F248&lt;INDEX('Программа тренировок'!$E$6:$E$25,$M248),"Ниже диапазона",IF(AND($F248&gt;=INDEX('Программа тренировок'!$F$6:$F$25,$M248),$G248&gt;=INDEX('Программа тренировок'!$L$6:$L$25,$M248)),"Верх диапазона: пора добавлять вес",IF($G248&lt;INDEX('Программа тренировок'!$L$6:$L$25,$M248),"RIR ниже цели","В диапазоне")))))</f>
        <v/>
      </c>
      <c r="M248" s="23" t="str">
        <f aca="false">IF($C248="","",IFERROR(MATCH($C248,'Программа тренировок'!$C$6:$C$25,0),""))</f>
        <v/>
      </c>
    </row>
    <row r="249" customFormat="false" ht="15" hidden="false" customHeight="true" outlineLevel="0" collapsed="false">
      <c r="A249" s="20"/>
      <c r="B249" s="21"/>
      <c r="C249" s="19"/>
      <c r="D249" s="18"/>
      <c r="E249" s="17"/>
      <c r="F249" s="18"/>
      <c r="G249" s="18"/>
      <c r="H249" s="21"/>
      <c r="I249" s="19"/>
      <c r="J249" s="8" t="str">
        <f aca="false">IF(OR(E249="",F249=""),"",E249*F249)</f>
        <v/>
      </c>
      <c r="K249" s="22" t="str">
        <f aca="false">IF($M249="","",INDEX('Программа тренировок'!$G$6:$G$25,$M249))</f>
        <v/>
      </c>
      <c r="L249" s="23" t="str">
        <f aca="false">IF(OR($M249="",$F249="",$G249=""),"",IF($H249="Разминка","Разминка",IF($F249&lt;INDEX('Программа тренировок'!$E$6:$E$25,$M249),"Ниже диапазона",IF(AND($F249&gt;=INDEX('Программа тренировок'!$F$6:$F$25,$M249),$G249&gt;=INDEX('Программа тренировок'!$L$6:$L$25,$M249)),"Верх диапазона: пора добавлять вес",IF($G249&lt;INDEX('Программа тренировок'!$L$6:$L$25,$M249),"RIR ниже цели","В диапазоне")))))</f>
        <v/>
      </c>
      <c r="M249" s="23" t="str">
        <f aca="false">IF($C249="","",IFERROR(MATCH($C249,'Программа тренировок'!$C$6:$C$25,0),""))</f>
        <v/>
      </c>
    </row>
    <row r="250" customFormat="false" ht="15" hidden="false" customHeight="true" outlineLevel="0" collapsed="false">
      <c r="A250" s="20"/>
      <c r="B250" s="21"/>
      <c r="C250" s="19"/>
      <c r="D250" s="18"/>
      <c r="E250" s="17"/>
      <c r="F250" s="18"/>
      <c r="G250" s="18"/>
      <c r="H250" s="21"/>
      <c r="I250" s="19"/>
      <c r="J250" s="8" t="str">
        <f aca="false">IF(OR(E250="",F250=""),"",E250*F250)</f>
        <v/>
      </c>
      <c r="K250" s="22" t="str">
        <f aca="false">IF($M250="","",INDEX('Программа тренировок'!$G$6:$G$25,$M250))</f>
        <v/>
      </c>
      <c r="L250" s="23" t="str">
        <f aca="false">IF(OR($M250="",$F250="",$G250=""),"",IF($H250="Разминка","Разминка",IF($F250&lt;INDEX('Программа тренировок'!$E$6:$E$25,$M250),"Ниже диапазона",IF(AND($F250&gt;=INDEX('Программа тренировок'!$F$6:$F$25,$M250),$G250&gt;=INDEX('Программа тренировок'!$L$6:$L$25,$M250)),"Верх диапазона: пора добавлять вес",IF($G250&lt;INDEX('Программа тренировок'!$L$6:$L$25,$M250),"RIR ниже цели","В диапазоне")))))</f>
        <v/>
      </c>
      <c r="M250" s="23" t="str">
        <f aca="false">IF($C250="","",IFERROR(MATCH($C250,'Программа тренировок'!$C$6:$C$25,0),""))</f>
        <v/>
      </c>
    </row>
    <row r="251" customFormat="false" ht="15" hidden="false" customHeight="true" outlineLevel="0" collapsed="false">
      <c r="A251" s="20"/>
      <c r="B251" s="21"/>
      <c r="C251" s="19"/>
      <c r="D251" s="18"/>
      <c r="E251" s="17"/>
      <c r="F251" s="18"/>
      <c r="G251" s="18"/>
      <c r="H251" s="21"/>
      <c r="I251" s="19"/>
      <c r="J251" s="8" t="str">
        <f aca="false">IF(OR(E251="",F251=""),"",E251*F251)</f>
        <v/>
      </c>
      <c r="K251" s="22" t="str">
        <f aca="false">IF($M251="","",INDEX('Программа тренировок'!$G$6:$G$25,$M251))</f>
        <v/>
      </c>
      <c r="L251" s="23" t="str">
        <f aca="false">IF(OR($M251="",$F251="",$G251=""),"",IF($H251="Разминка","Разминка",IF($F251&lt;INDEX('Программа тренировок'!$E$6:$E$25,$M251),"Ниже диапазона",IF(AND($F251&gt;=INDEX('Программа тренировок'!$F$6:$F$25,$M251),$G251&gt;=INDEX('Программа тренировок'!$L$6:$L$25,$M251)),"Верх диапазона: пора добавлять вес",IF($G251&lt;INDEX('Программа тренировок'!$L$6:$L$25,$M251),"RIR ниже цели","В диапазоне")))))</f>
        <v/>
      </c>
      <c r="M251" s="23" t="str">
        <f aca="false">IF($C251="","",IFERROR(MATCH($C251,'Программа тренировок'!$C$6:$C$25,0),""))</f>
        <v/>
      </c>
    </row>
    <row r="252" customFormat="false" ht="15" hidden="false" customHeight="true" outlineLevel="0" collapsed="false">
      <c r="A252" s="20"/>
      <c r="B252" s="21"/>
      <c r="C252" s="19"/>
      <c r="D252" s="18"/>
      <c r="E252" s="17"/>
      <c r="F252" s="18"/>
      <c r="G252" s="18"/>
      <c r="H252" s="21"/>
      <c r="I252" s="19"/>
      <c r="J252" s="8" t="str">
        <f aca="false">IF(OR(E252="",F252=""),"",E252*F252)</f>
        <v/>
      </c>
      <c r="K252" s="22" t="str">
        <f aca="false">IF($M252="","",INDEX('Программа тренировок'!$G$6:$G$25,$M252))</f>
        <v/>
      </c>
      <c r="L252" s="23" t="str">
        <f aca="false">IF(OR($M252="",$F252="",$G252=""),"",IF($H252="Разминка","Разминка",IF($F252&lt;INDEX('Программа тренировок'!$E$6:$E$25,$M252),"Ниже диапазона",IF(AND($F252&gt;=INDEX('Программа тренировок'!$F$6:$F$25,$M252),$G252&gt;=INDEX('Программа тренировок'!$L$6:$L$25,$M252)),"Верх диапазона: пора добавлять вес",IF($G252&lt;INDEX('Программа тренировок'!$L$6:$L$25,$M252),"RIR ниже цели","В диапазоне")))))</f>
        <v/>
      </c>
      <c r="M252" s="23" t="str">
        <f aca="false">IF($C252="","",IFERROR(MATCH($C252,'Программа тренировок'!$C$6:$C$25,0),""))</f>
        <v/>
      </c>
    </row>
    <row r="253" customFormat="false" ht="15" hidden="false" customHeight="true" outlineLevel="0" collapsed="false">
      <c r="A253" s="20"/>
      <c r="B253" s="21"/>
      <c r="C253" s="19"/>
      <c r="D253" s="18"/>
      <c r="E253" s="17"/>
      <c r="F253" s="18"/>
      <c r="G253" s="18"/>
      <c r="H253" s="21"/>
      <c r="I253" s="19"/>
      <c r="J253" s="8" t="str">
        <f aca="false">IF(OR(E253="",F253=""),"",E253*F253)</f>
        <v/>
      </c>
      <c r="K253" s="22" t="str">
        <f aca="false">IF($M253="","",INDEX('Программа тренировок'!$G$6:$G$25,$M253))</f>
        <v/>
      </c>
      <c r="L253" s="23" t="str">
        <f aca="false">IF(OR($M253="",$F253="",$G253=""),"",IF($H253="Разминка","Разминка",IF($F253&lt;INDEX('Программа тренировок'!$E$6:$E$25,$M253),"Ниже диапазона",IF(AND($F253&gt;=INDEX('Программа тренировок'!$F$6:$F$25,$M253),$G253&gt;=INDEX('Программа тренировок'!$L$6:$L$25,$M253)),"Верх диапазона: пора добавлять вес",IF($G253&lt;INDEX('Программа тренировок'!$L$6:$L$25,$M253),"RIR ниже цели","В диапазоне")))))</f>
        <v/>
      </c>
      <c r="M253" s="23" t="str">
        <f aca="false">IF($C253="","",IFERROR(MATCH($C253,'Программа тренировок'!$C$6:$C$25,0),""))</f>
        <v/>
      </c>
    </row>
    <row r="254" customFormat="false" ht="15" hidden="false" customHeight="true" outlineLevel="0" collapsed="false">
      <c r="A254" s="20"/>
      <c r="B254" s="21"/>
      <c r="C254" s="19"/>
      <c r="D254" s="18"/>
      <c r="E254" s="17"/>
      <c r="F254" s="18"/>
      <c r="G254" s="18"/>
      <c r="H254" s="21"/>
      <c r="I254" s="19"/>
      <c r="J254" s="8" t="str">
        <f aca="false">IF(OR(E254="",F254=""),"",E254*F254)</f>
        <v/>
      </c>
      <c r="K254" s="22" t="str">
        <f aca="false">IF($M254="","",INDEX('Программа тренировок'!$G$6:$G$25,$M254))</f>
        <v/>
      </c>
      <c r="L254" s="23" t="str">
        <f aca="false">IF(OR($M254="",$F254="",$G254=""),"",IF($H254="Разминка","Разминка",IF($F254&lt;INDEX('Программа тренировок'!$E$6:$E$25,$M254),"Ниже диапазона",IF(AND($F254&gt;=INDEX('Программа тренировок'!$F$6:$F$25,$M254),$G254&gt;=INDEX('Программа тренировок'!$L$6:$L$25,$M254)),"Верх диапазона: пора добавлять вес",IF($G254&lt;INDEX('Программа тренировок'!$L$6:$L$25,$M254),"RIR ниже цели","В диапазоне")))))</f>
        <v/>
      </c>
      <c r="M254" s="23" t="str">
        <f aca="false">IF($C254="","",IFERROR(MATCH($C254,'Программа тренировок'!$C$6:$C$25,0),""))</f>
        <v/>
      </c>
    </row>
    <row r="255" customFormat="false" ht="15" hidden="false" customHeight="true" outlineLevel="0" collapsed="false">
      <c r="A255" s="20"/>
      <c r="B255" s="21"/>
      <c r="C255" s="19"/>
      <c r="D255" s="18"/>
      <c r="E255" s="17"/>
      <c r="F255" s="18"/>
      <c r="G255" s="18"/>
      <c r="H255" s="21"/>
      <c r="I255" s="19"/>
      <c r="J255" s="8" t="str">
        <f aca="false">IF(OR(E255="",F255=""),"",E255*F255)</f>
        <v/>
      </c>
      <c r="K255" s="22" t="str">
        <f aca="false">IF($M255="","",INDEX('Программа тренировок'!$G$6:$G$25,$M255))</f>
        <v/>
      </c>
      <c r="L255" s="23" t="str">
        <f aca="false">IF(OR($M255="",$F255="",$G255=""),"",IF($H255="Разминка","Разминка",IF($F255&lt;INDEX('Программа тренировок'!$E$6:$E$25,$M255),"Ниже диапазона",IF(AND($F255&gt;=INDEX('Программа тренировок'!$F$6:$F$25,$M255),$G255&gt;=INDEX('Программа тренировок'!$L$6:$L$25,$M255)),"Верх диапазона: пора добавлять вес",IF($G255&lt;INDEX('Программа тренировок'!$L$6:$L$25,$M255),"RIR ниже цели","В диапазоне")))))</f>
        <v/>
      </c>
      <c r="M255" s="23" t="str">
        <f aca="false">IF($C255="","",IFERROR(MATCH($C255,'Программа тренировок'!$C$6:$C$25,0),""))</f>
        <v/>
      </c>
    </row>
    <row r="256" customFormat="false" ht="15" hidden="false" customHeight="true" outlineLevel="0" collapsed="false">
      <c r="A256" s="20"/>
      <c r="B256" s="21"/>
      <c r="C256" s="19"/>
      <c r="D256" s="18"/>
      <c r="E256" s="17"/>
      <c r="F256" s="18"/>
      <c r="G256" s="18"/>
      <c r="H256" s="21"/>
      <c r="I256" s="19"/>
      <c r="J256" s="8" t="str">
        <f aca="false">IF(OR(E256="",F256=""),"",E256*F256)</f>
        <v/>
      </c>
      <c r="K256" s="22" t="str">
        <f aca="false">IF($M256="","",INDEX('Программа тренировок'!$G$6:$G$25,$M256))</f>
        <v/>
      </c>
      <c r="L256" s="23" t="str">
        <f aca="false">IF(OR($M256="",$F256="",$G256=""),"",IF($H256="Разминка","Разминка",IF($F256&lt;INDEX('Программа тренировок'!$E$6:$E$25,$M256),"Ниже диапазона",IF(AND($F256&gt;=INDEX('Программа тренировок'!$F$6:$F$25,$M256),$G256&gt;=INDEX('Программа тренировок'!$L$6:$L$25,$M256)),"Верх диапазона: пора добавлять вес",IF($G256&lt;INDEX('Программа тренировок'!$L$6:$L$25,$M256),"RIR ниже цели","В диапазоне")))))</f>
        <v/>
      </c>
      <c r="M256" s="23" t="str">
        <f aca="false">IF($C256="","",IFERROR(MATCH($C256,'Программа тренировок'!$C$6:$C$25,0),""))</f>
        <v/>
      </c>
    </row>
    <row r="257" customFormat="false" ht="15" hidden="false" customHeight="true" outlineLevel="0" collapsed="false">
      <c r="A257" s="20"/>
      <c r="B257" s="21"/>
      <c r="C257" s="19"/>
      <c r="D257" s="18"/>
      <c r="E257" s="17"/>
      <c r="F257" s="18"/>
      <c r="G257" s="18"/>
      <c r="H257" s="21"/>
      <c r="I257" s="19"/>
      <c r="J257" s="8" t="str">
        <f aca="false">IF(OR(E257="",F257=""),"",E257*F257)</f>
        <v/>
      </c>
      <c r="K257" s="22" t="str">
        <f aca="false">IF($M257="","",INDEX('Программа тренировок'!$G$6:$G$25,$M257))</f>
        <v/>
      </c>
      <c r="L257" s="23" t="str">
        <f aca="false">IF(OR($M257="",$F257="",$G257=""),"",IF($H257="Разминка","Разминка",IF($F257&lt;INDEX('Программа тренировок'!$E$6:$E$25,$M257),"Ниже диапазона",IF(AND($F257&gt;=INDEX('Программа тренировок'!$F$6:$F$25,$M257),$G257&gt;=INDEX('Программа тренировок'!$L$6:$L$25,$M257)),"Верх диапазона: пора добавлять вес",IF($G257&lt;INDEX('Программа тренировок'!$L$6:$L$25,$M257),"RIR ниже цели","В диапазоне")))))</f>
        <v/>
      </c>
      <c r="M257" s="23" t="str">
        <f aca="false">IF($C257="","",IFERROR(MATCH($C257,'Программа тренировок'!$C$6:$C$25,0),""))</f>
        <v/>
      </c>
    </row>
    <row r="258" customFormat="false" ht="15" hidden="false" customHeight="true" outlineLevel="0" collapsed="false">
      <c r="A258" s="20"/>
      <c r="B258" s="21"/>
      <c r="C258" s="19"/>
      <c r="D258" s="18"/>
      <c r="E258" s="17"/>
      <c r="F258" s="18"/>
      <c r="G258" s="18"/>
      <c r="H258" s="21"/>
      <c r="I258" s="19"/>
      <c r="J258" s="8" t="str">
        <f aca="false">IF(OR(E258="",F258=""),"",E258*F258)</f>
        <v/>
      </c>
      <c r="K258" s="22" t="str">
        <f aca="false">IF($M258="","",INDEX('Программа тренировок'!$G$6:$G$25,$M258))</f>
        <v/>
      </c>
      <c r="L258" s="23" t="str">
        <f aca="false">IF(OR($M258="",$F258="",$G258=""),"",IF($H258="Разминка","Разминка",IF($F258&lt;INDEX('Программа тренировок'!$E$6:$E$25,$M258),"Ниже диапазона",IF(AND($F258&gt;=INDEX('Программа тренировок'!$F$6:$F$25,$M258),$G258&gt;=INDEX('Программа тренировок'!$L$6:$L$25,$M258)),"Верх диапазона: пора добавлять вес",IF($G258&lt;INDEX('Программа тренировок'!$L$6:$L$25,$M258),"RIR ниже цели","В диапазоне")))))</f>
        <v/>
      </c>
      <c r="M258" s="23" t="str">
        <f aca="false">IF($C258="","",IFERROR(MATCH($C258,'Программа тренировок'!$C$6:$C$25,0),""))</f>
        <v/>
      </c>
    </row>
    <row r="259" customFormat="false" ht="15" hidden="false" customHeight="true" outlineLevel="0" collapsed="false">
      <c r="A259" s="20"/>
      <c r="B259" s="21"/>
      <c r="C259" s="19"/>
      <c r="D259" s="18"/>
      <c r="E259" s="17"/>
      <c r="F259" s="18"/>
      <c r="G259" s="18"/>
      <c r="H259" s="21"/>
      <c r="I259" s="19"/>
      <c r="J259" s="8" t="str">
        <f aca="false">IF(OR(E259="",F259=""),"",E259*F259)</f>
        <v/>
      </c>
      <c r="K259" s="22" t="str">
        <f aca="false">IF($M259="","",INDEX('Программа тренировок'!$G$6:$G$25,$M259))</f>
        <v/>
      </c>
      <c r="L259" s="23" t="str">
        <f aca="false">IF(OR($M259="",$F259="",$G259=""),"",IF($H259="Разминка","Разминка",IF($F259&lt;INDEX('Программа тренировок'!$E$6:$E$25,$M259),"Ниже диапазона",IF(AND($F259&gt;=INDEX('Программа тренировок'!$F$6:$F$25,$M259),$G259&gt;=INDEX('Программа тренировок'!$L$6:$L$25,$M259)),"Верх диапазона: пора добавлять вес",IF($G259&lt;INDEX('Программа тренировок'!$L$6:$L$25,$M259),"RIR ниже цели","В диапазоне")))))</f>
        <v/>
      </c>
      <c r="M259" s="23" t="str">
        <f aca="false">IF($C259="","",IFERROR(MATCH($C259,'Программа тренировок'!$C$6:$C$25,0),""))</f>
        <v/>
      </c>
    </row>
    <row r="260" customFormat="false" ht="15" hidden="false" customHeight="true" outlineLevel="0" collapsed="false">
      <c r="A260" s="20"/>
      <c r="B260" s="21"/>
      <c r="C260" s="19"/>
      <c r="D260" s="18"/>
      <c r="E260" s="17"/>
      <c r="F260" s="18"/>
      <c r="G260" s="18"/>
      <c r="H260" s="21"/>
      <c r="I260" s="19"/>
      <c r="J260" s="8" t="str">
        <f aca="false">IF(OR(E260="",F260=""),"",E260*F260)</f>
        <v/>
      </c>
      <c r="K260" s="22" t="str">
        <f aca="false">IF($M260="","",INDEX('Программа тренировок'!$G$6:$G$25,$M260))</f>
        <v/>
      </c>
      <c r="L260" s="23" t="str">
        <f aca="false">IF(OR($M260="",$F260="",$G260=""),"",IF($H260="Разминка","Разминка",IF($F260&lt;INDEX('Программа тренировок'!$E$6:$E$25,$M260),"Ниже диапазона",IF(AND($F260&gt;=INDEX('Программа тренировок'!$F$6:$F$25,$M260),$G260&gt;=INDEX('Программа тренировок'!$L$6:$L$25,$M260)),"Верх диапазона: пора добавлять вес",IF($G260&lt;INDEX('Программа тренировок'!$L$6:$L$25,$M260),"RIR ниже цели","В диапазоне")))))</f>
        <v/>
      </c>
      <c r="M260" s="23" t="str">
        <f aca="false">IF($C260="","",IFERROR(MATCH($C260,'Программа тренировок'!$C$6:$C$25,0),""))</f>
        <v/>
      </c>
    </row>
    <row r="261" customFormat="false" ht="15" hidden="false" customHeight="true" outlineLevel="0" collapsed="false">
      <c r="A261" s="20"/>
      <c r="B261" s="21"/>
      <c r="C261" s="19"/>
      <c r="D261" s="18"/>
      <c r="E261" s="17"/>
      <c r="F261" s="18"/>
      <c r="G261" s="18"/>
      <c r="H261" s="21"/>
      <c r="I261" s="19"/>
      <c r="J261" s="8" t="str">
        <f aca="false">IF(OR(E261="",F261=""),"",E261*F261)</f>
        <v/>
      </c>
      <c r="K261" s="22" t="str">
        <f aca="false">IF($M261="","",INDEX('Программа тренировок'!$G$6:$G$25,$M261))</f>
        <v/>
      </c>
      <c r="L261" s="23" t="str">
        <f aca="false">IF(OR($M261="",$F261="",$G261=""),"",IF($H261="Разминка","Разминка",IF($F261&lt;INDEX('Программа тренировок'!$E$6:$E$25,$M261),"Ниже диапазона",IF(AND($F261&gt;=INDEX('Программа тренировок'!$F$6:$F$25,$M261),$G261&gt;=INDEX('Программа тренировок'!$L$6:$L$25,$M261)),"Верх диапазона: пора добавлять вес",IF($G261&lt;INDEX('Программа тренировок'!$L$6:$L$25,$M261),"RIR ниже цели","В диапазоне")))))</f>
        <v/>
      </c>
      <c r="M261" s="23" t="str">
        <f aca="false">IF($C261="","",IFERROR(MATCH($C261,'Программа тренировок'!$C$6:$C$25,0),""))</f>
        <v/>
      </c>
    </row>
    <row r="262" customFormat="false" ht="15" hidden="false" customHeight="true" outlineLevel="0" collapsed="false">
      <c r="A262" s="20"/>
      <c r="B262" s="21"/>
      <c r="C262" s="19"/>
      <c r="D262" s="18"/>
      <c r="E262" s="17"/>
      <c r="F262" s="18"/>
      <c r="G262" s="18"/>
      <c r="H262" s="21"/>
      <c r="I262" s="19"/>
      <c r="J262" s="8" t="str">
        <f aca="false">IF(OR(E262="",F262=""),"",E262*F262)</f>
        <v/>
      </c>
      <c r="K262" s="22" t="str">
        <f aca="false">IF($M262="","",INDEX('Программа тренировок'!$G$6:$G$25,$M262))</f>
        <v/>
      </c>
      <c r="L262" s="23" t="str">
        <f aca="false">IF(OR($M262="",$F262="",$G262=""),"",IF($H262="Разминка","Разминка",IF($F262&lt;INDEX('Программа тренировок'!$E$6:$E$25,$M262),"Ниже диапазона",IF(AND($F262&gt;=INDEX('Программа тренировок'!$F$6:$F$25,$M262),$G262&gt;=INDEX('Программа тренировок'!$L$6:$L$25,$M262)),"Верх диапазона: пора добавлять вес",IF($G262&lt;INDEX('Программа тренировок'!$L$6:$L$25,$M262),"RIR ниже цели","В диапазоне")))))</f>
        <v/>
      </c>
      <c r="M262" s="23" t="str">
        <f aca="false">IF($C262="","",IFERROR(MATCH($C262,'Программа тренировок'!$C$6:$C$25,0),""))</f>
        <v/>
      </c>
    </row>
    <row r="263" customFormat="false" ht="15" hidden="false" customHeight="true" outlineLevel="0" collapsed="false">
      <c r="A263" s="20"/>
      <c r="B263" s="21"/>
      <c r="C263" s="19"/>
      <c r="D263" s="18"/>
      <c r="E263" s="17"/>
      <c r="F263" s="18"/>
      <c r="G263" s="18"/>
      <c r="H263" s="21"/>
      <c r="I263" s="19"/>
      <c r="J263" s="8" t="str">
        <f aca="false">IF(OR(E263="",F263=""),"",E263*F263)</f>
        <v/>
      </c>
      <c r="K263" s="22" t="str">
        <f aca="false">IF($M263="","",INDEX('Программа тренировок'!$G$6:$G$25,$M263))</f>
        <v/>
      </c>
      <c r="L263" s="23" t="str">
        <f aca="false">IF(OR($M263="",$F263="",$G263=""),"",IF($H263="Разминка","Разминка",IF($F263&lt;INDEX('Программа тренировок'!$E$6:$E$25,$M263),"Ниже диапазона",IF(AND($F263&gt;=INDEX('Программа тренировок'!$F$6:$F$25,$M263),$G263&gt;=INDEX('Программа тренировок'!$L$6:$L$25,$M263)),"Верх диапазона: пора добавлять вес",IF($G263&lt;INDEX('Программа тренировок'!$L$6:$L$25,$M263),"RIR ниже цели","В диапазоне")))))</f>
        <v/>
      </c>
      <c r="M263" s="23" t="str">
        <f aca="false">IF($C263="","",IFERROR(MATCH($C263,'Программа тренировок'!$C$6:$C$25,0),""))</f>
        <v/>
      </c>
    </row>
    <row r="264" customFormat="false" ht="15" hidden="false" customHeight="true" outlineLevel="0" collapsed="false">
      <c r="A264" s="20"/>
      <c r="B264" s="21"/>
      <c r="C264" s="19"/>
      <c r="D264" s="18"/>
      <c r="E264" s="17"/>
      <c r="F264" s="18"/>
      <c r="G264" s="18"/>
      <c r="H264" s="21"/>
      <c r="I264" s="19"/>
      <c r="J264" s="8" t="str">
        <f aca="false">IF(OR(E264="",F264=""),"",E264*F264)</f>
        <v/>
      </c>
      <c r="K264" s="22" t="str">
        <f aca="false">IF($M264="","",INDEX('Программа тренировок'!$G$6:$G$25,$M264))</f>
        <v/>
      </c>
      <c r="L264" s="23" t="str">
        <f aca="false">IF(OR($M264="",$F264="",$G264=""),"",IF($H264="Разминка","Разминка",IF($F264&lt;INDEX('Программа тренировок'!$E$6:$E$25,$M264),"Ниже диапазона",IF(AND($F264&gt;=INDEX('Программа тренировок'!$F$6:$F$25,$M264),$G264&gt;=INDEX('Программа тренировок'!$L$6:$L$25,$M264)),"Верх диапазона: пора добавлять вес",IF($G264&lt;INDEX('Программа тренировок'!$L$6:$L$25,$M264),"RIR ниже цели","В диапазоне")))))</f>
        <v/>
      </c>
      <c r="M264" s="23" t="str">
        <f aca="false">IF($C264="","",IFERROR(MATCH($C264,'Программа тренировок'!$C$6:$C$25,0),""))</f>
        <v/>
      </c>
    </row>
    <row r="265" customFormat="false" ht="15" hidden="false" customHeight="true" outlineLevel="0" collapsed="false">
      <c r="A265" s="20"/>
      <c r="B265" s="21"/>
      <c r="C265" s="19"/>
      <c r="D265" s="18"/>
      <c r="E265" s="17"/>
      <c r="F265" s="18"/>
      <c r="G265" s="18"/>
      <c r="H265" s="21"/>
      <c r="I265" s="19"/>
      <c r="J265" s="8" t="str">
        <f aca="false">IF(OR(E265="",F265=""),"",E265*F265)</f>
        <v/>
      </c>
      <c r="K265" s="22" t="str">
        <f aca="false">IF($M265="","",INDEX('Программа тренировок'!$G$6:$G$25,$M265))</f>
        <v/>
      </c>
      <c r="L265" s="23" t="str">
        <f aca="false">IF(OR($M265="",$F265="",$G265=""),"",IF($H265="Разминка","Разминка",IF($F265&lt;INDEX('Программа тренировок'!$E$6:$E$25,$M265),"Ниже диапазона",IF(AND($F265&gt;=INDEX('Программа тренировок'!$F$6:$F$25,$M265),$G265&gt;=INDEX('Программа тренировок'!$L$6:$L$25,$M265)),"Верх диапазона: пора добавлять вес",IF($G265&lt;INDEX('Программа тренировок'!$L$6:$L$25,$M265),"RIR ниже цели","В диапазоне")))))</f>
        <v/>
      </c>
      <c r="M265" s="23" t="str">
        <f aca="false">IF($C265="","",IFERROR(MATCH($C265,'Программа тренировок'!$C$6:$C$25,0),""))</f>
        <v/>
      </c>
    </row>
    <row r="266" customFormat="false" ht="15" hidden="false" customHeight="true" outlineLevel="0" collapsed="false">
      <c r="A266" s="20"/>
      <c r="B266" s="21"/>
      <c r="C266" s="19"/>
      <c r="D266" s="18"/>
      <c r="E266" s="17"/>
      <c r="F266" s="18"/>
      <c r="G266" s="18"/>
      <c r="H266" s="21"/>
      <c r="I266" s="19"/>
      <c r="J266" s="8" t="str">
        <f aca="false">IF(OR(E266="",F266=""),"",E266*F266)</f>
        <v/>
      </c>
      <c r="K266" s="22" t="str">
        <f aca="false">IF($M266="","",INDEX('Программа тренировок'!$G$6:$G$25,$M266))</f>
        <v/>
      </c>
      <c r="L266" s="23" t="str">
        <f aca="false">IF(OR($M266="",$F266="",$G266=""),"",IF($H266="Разминка","Разминка",IF($F266&lt;INDEX('Программа тренировок'!$E$6:$E$25,$M266),"Ниже диапазона",IF(AND($F266&gt;=INDEX('Программа тренировок'!$F$6:$F$25,$M266),$G266&gt;=INDEX('Программа тренировок'!$L$6:$L$25,$M266)),"Верх диапазона: пора добавлять вес",IF($G266&lt;INDEX('Программа тренировок'!$L$6:$L$25,$M266),"RIR ниже цели","В диапазоне")))))</f>
        <v/>
      </c>
      <c r="M266" s="23" t="str">
        <f aca="false">IF($C266="","",IFERROR(MATCH($C266,'Программа тренировок'!$C$6:$C$25,0),""))</f>
        <v/>
      </c>
    </row>
    <row r="267" customFormat="false" ht="15" hidden="false" customHeight="true" outlineLevel="0" collapsed="false">
      <c r="A267" s="20"/>
      <c r="B267" s="21"/>
      <c r="C267" s="19"/>
      <c r="D267" s="18"/>
      <c r="E267" s="17"/>
      <c r="F267" s="18"/>
      <c r="G267" s="18"/>
      <c r="H267" s="21"/>
      <c r="I267" s="19"/>
      <c r="J267" s="8" t="str">
        <f aca="false">IF(OR(E267="",F267=""),"",E267*F267)</f>
        <v/>
      </c>
      <c r="K267" s="22" t="str">
        <f aca="false">IF($M267="","",INDEX('Программа тренировок'!$G$6:$G$25,$M267))</f>
        <v/>
      </c>
      <c r="L267" s="23" t="str">
        <f aca="false">IF(OR($M267="",$F267="",$G267=""),"",IF($H267="Разминка","Разминка",IF($F267&lt;INDEX('Программа тренировок'!$E$6:$E$25,$M267),"Ниже диапазона",IF(AND($F267&gt;=INDEX('Программа тренировок'!$F$6:$F$25,$M267),$G267&gt;=INDEX('Программа тренировок'!$L$6:$L$25,$M267)),"Верх диапазона: пора добавлять вес",IF($G267&lt;INDEX('Программа тренировок'!$L$6:$L$25,$M267),"RIR ниже цели","В диапазоне")))))</f>
        <v/>
      </c>
      <c r="M267" s="23" t="str">
        <f aca="false">IF($C267="","",IFERROR(MATCH($C267,'Программа тренировок'!$C$6:$C$25,0),""))</f>
        <v/>
      </c>
    </row>
    <row r="268" customFormat="false" ht="15" hidden="false" customHeight="true" outlineLevel="0" collapsed="false">
      <c r="A268" s="20"/>
      <c r="B268" s="21"/>
      <c r="C268" s="19"/>
      <c r="D268" s="18"/>
      <c r="E268" s="17"/>
      <c r="F268" s="18"/>
      <c r="G268" s="18"/>
      <c r="H268" s="21"/>
      <c r="I268" s="19"/>
      <c r="J268" s="8" t="str">
        <f aca="false">IF(OR(E268="",F268=""),"",E268*F268)</f>
        <v/>
      </c>
      <c r="K268" s="22" t="str">
        <f aca="false">IF($M268="","",INDEX('Программа тренировок'!$G$6:$G$25,$M268))</f>
        <v/>
      </c>
      <c r="L268" s="23" t="str">
        <f aca="false">IF(OR($M268="",$F268="",$G268=""),"",IF($H268="Разминка","Разминка",IF($F268&lt;INDEX('Программа тренировок'!$E$6:$E$25,$M268),"Ниже диапазона",IF(AND($F268&gt;=INDEX('Программа тренировок'!$F$6:$F$25,$M268),$G268&gt;=INDEX('Программа тренировок'!$L$6:$L$25,$M268)),"Верх диапазона: пора добавлять вес",IF($G268&lt;INDEX('Программа тренировок'!$L$6:$L$25,$M268),"RIR ниже цели","В диапазоне")))))</f>
        <v/>
      </c>
      <c r="M268" s="23" t="str">
        <f aca="false">IF($C268="","",IFERROR(MATCH($C268,'Программа тренировок'!$C$6:$C$25,0),""))</f>
        <v/>
      </c>
    </row>
    <row r="269" customFormat="false" ht="15" hidden="false" customHeight="true" outlineLevel="0" collapsed="false">
      <c r="A269" s="20"/>
      <c r="B269" s="21"/>
      <c r="C269" s="19"/>
      <c r="D269" s="18"/>
      <c r="E269" s="17"/>
      <c r="F269" s="18"/>
      <c r="G269" s="18"/>
      <c r="H269" s="21"/>
      <c r="I269" s="19"/>
      <c r="J269" s="8" t="str">
        <f aca="false">IF(OR(E269="",F269=""),"",E269*F269)</f>
        <v/>
      </c>
      <c r="K269" s="22" t="str">
        <f aca="false">IF($M269="","",INDEX('Программа тренировок'!$G$6:$G$25,$M269))</f>
        <v/>
      </c>
      <c r="L269" s="23" t="str">
        <f aca="false">IF(OR($M269="",$F269="",$G269=""),"",IF($H269="Разминка","Разминка",IF($F269&lt;INDEX('Программа тренировок'!$E$6:$E$25,$M269),"Ниже диапазона",IF(AND($F269&gt;=INDEX('Программа тренировок'!$F$6:$F$25,$M269),$G269&gt;=INDEX('Программа тренировок'!$L$6:$L$25,$M269)),"Верх диапазона: пора добавлять вес",IF($G269&lt;INDEX('Программа тренировок'!$L$6:$L$25,$M269),"RIR ниже цели","В диапазоне")))))</f>
        <v/>
      </c>
      <c r="M269" s="23" t="str">
        <f aca="false">IF($C269="","",IFERROR(MATCH($C269,'Программа тренировок'!$C$6:$C$25,0),""))</f>
        <v/>
      </c>
    </row>
    <row r="270" customFormat="false" ht="15" hidden="false" customHeight="true" outlineLevel="0" collapsed="false">
      <c r="A270" s="20"/>
      <c r="B270" s="21"/>
      <c r="C270" s="19"/>
      <c r="D270" s="18"/>
      <c r="E270" s="17"/>
      <c r="F270" s="18"/>
      <c r="G270" s="18"/>
      <c r="H270" s="21"/>
      <c r="I270" s="19"/>
      <c r="J270" s="8" t="str">
        <f aca="false">IF(OR(E270="",F270=""),"",E270*F270)</f>
        <v/>
      </c>
      <c r="K270" s="22" t="str">
        <f aca="false">IF($M270="","",INDEX('Программа тренировок'!$G$6:$G$25,$M270))</f>
        <v/>
      </c>
      <c r="L270" s="23" t="str">
        <f aca="false">IF(OR($M270="",$F270="",$G270=""),"",IF($H270="Разминка","Разминка",IF($F270&lt;INDEX('Программа тренировок'!$E$6:$E$25,$M270),"Ниже диапазона",IF(AND($F270&gt;=INDEX('Программа тренировок'!$F$6:$F$25,$M270),$G270&gt;=INDEX('Программа тренировок'!$L$6:$L$25,$M270)),"Верх диапазона: пора добавлять вес",IF($G270&lt;INDEX('Программа тренировок'!$L$6:$L$25,$M270),"RIR ниже цели","В диапазоне")))))</f>
        <v/>
      </c>
      <c r="M270" s="23" t="str">
        <f aca="false">IF($C270="","",IFERROR(MATCH($C270,'Программа тренировок'!$C$6:$C$25,0),""))</f>
        <v/>
      </c>
    </row>
    <row r="271" customFormat="false" ht="15" hidden="false" customHeight="true" outlineLevel="0" collapsed="false">
      <c r="A271" s="20"/>
      <c r="B271" s="21"/>
      <c r="C271" s="19"/>
      <c r="D271" s="18"/>
      <c r="E271" s="17"/>
      <c r="F271" s="18"/>
      <c r="G271" s="18"/>
      <c r="H271" s="21"/>
      <c r="I271" s="19"/>
      <c r="J271" s="8" t="str">
        <f aca="false">IF(OR(E271="",F271=""),"",E271*F271)</f>
        <v/>
      </c>
      <c r="K271" s="22" t="str">
        <f aca="false">IF($M271="","",INDEX('Программа тренировок'!$G$6:$G$25,$M271))</f>
        <v/>
      </c>
      <c r="L271" s="23" t="str">
        <f aca="false">IF(OR($M271="",$F271="",$G271=""),"",IF($H271="Разминка","Разминка",IF($F271&lt;INDEX('Программа тренировок'!$E$6:$E$25,$M271),"Ниже диапазона",IF(AND($F271&gt;=INDEX('Программа тренировок'!$F$6:$F$25,$M271),$G271&gt;=INDEX('Программа тренировок'!$L$6:$L$25,$M271)),"Верх диапазона: пора добавлять вес",IF($G271&lt;INDEX('Программа тренировок'!$L$6:$L$25,$M271),"RIR ниже цели","В диапазоне")))))</f>
        <v/>
      </c>
      <c r="M271" s="23" t="str">
        <f aca="false">IF($C271="","",IFERROR(MATCH($C271,'Программа тренировок'!$C$6:$C$25,0),""))</f>
        <v/>
      </c>
    </row>
    <row r="272" customFormat="false" ht="15" hidden="false" customHeight="true" outlineLevel="0" collapsed="false">
      <c r="A272" s="20"/>
      <c r="B272" s="21"/>
      <c r="C272" s="19"/>
      <c r="D272" s="18"/>
      <c r="E272" s="17"/>
      <c r="F272" s="18"/>
      <c r="G272" s="18"/>
      <c r="H272" s="21"/>
      <c r="I272" s="19"/>
      <c r="J272" s="8" t="str">
        <f aca="false">IF(OR(E272="",F272=""),"",E272*F272)</f>
        <v/>
      </c>
      <c r="K272" s="22" t="str">
        <f aca="false">IF($M272="","",INDEX('Программа тренировок'!$G$6:$G$25,$M272))</f>
        <v/>
      </c>
      <c r="L272" s="23" t="str">
        <f aca="false">IF(OR($M272="",$F272="",$G272=""),"",IF($H272="Разминка","Разминка",IF($F272&lt;INDEX('Программа тренировок'!$E$6:$E$25,$M272),"Ниже диапазона",IF(AND($F272&gt;=INDEX('Программа тренировок'!$F$6:$F$25,$M272),$G272&gt;=INDEX('Программа тренировок'!$L$6:$L$25,$M272)),"Верх диапазона: пора добавлять вес",IF($G272&lt;INDEX('Программа тренировок'!$L$6:$L$25,$M272),"RIR ниже цели","В диапазоне")))))</f>
        <v/>
      </c>
      <c r="M272" s="23" t="str">
        <f aca="false">IF($C272="","",IFERROR(MATCH($C272,'Программа тренировок'!$C$6:$C$25,0),""))</f>
        <v/>
      </c>
    </row>
    <row r="273" customFormat="false" ht="15" hidden="false" customHeight="true" outlineLevel="0" collapsed="false">
      <c r="A273" s="20"/>
      <c r="B273" s="21"/>
      <c r="C273" s="19"/>
      <c r="D273" s="18"/>
      <c r="E273" s="17"/>
      <c r="F273" s="18"/>
      <c r="G273" s="18"/>
      <c r="H273" s="21"/>
      <c r="I273" s="19"/>
      <c r="J273" s="8" t="str">
        <f aca="false">IF(OR(E273="",F273=""),"",E273*F273)</f>
        <v/>
      </c>
      <c r="K273" s="22" t="str">
        <f aca="false">IF($M273="","",INDEX('Программа тренировок'!$G$6:$G$25,$M273))</f>
        <v/>
      </c>
      <c r="L273" s="23" t="str">
        <f aca="false">IF(OR($M273="",$F273="",$G273=""),"",IF($H273="Разминка","Разминка",IF($F273&lt;INDEX('Программа тренировок'!$E$6:$E$25,$M273),"Ниже диапазона",IF(AND($F273&gt;=INDEX('Программа тренировок'!$F$6:$F$25,$M273),$G273&gt;=INDEX('Программа тренировок'!$L$6:$L$25,$M273)),"Верх диапазона: пора добавлять вес",IF($G273&lt;INDEX('Программа тренировок'!$L$6:$L$25,$M273),"RIR ниже цели","В диапазоне")))))</f>
        <v/>
      </c>
      <c r="M273" s="23" t="str">
        <f aca="false">IF($C273="","",IFERROR(MATCH($C273,'Программа тренировок'!$C$6:$C$25,0),""))</f>
        <v/>
      </c>
    </row>
    <row r="274" customFormat="false" ht="15" hidden="false" customHeight="true" outlineLevel="0" collapsed="false">
      <c r="A274" s="20"/>
      <c r="B274" s="21"/>
      <c r="C274" s="19"/>
      <c r="D274" s="18"/>
      <c r="E274" s="17"/>
      <c r="F274" s="18"/>
      <c r="G274" s="18"/>
      <c r="H274" s="21"/>
      <c r="I274" s="19"/>
      <c r="J274" s="8" t="str">
        <f aca="false">IF(OR(E274="",F274=""),"",E274*F274)</f>
        <v/>
      </c>
      <c r="K274" s="22" t="str">
        <f aca="false">IF($M274="","",INDEX('Программа тренировок'!$G$6:$G$25,$M274))</f>
        <v/>
      </c>
      <c r="L274" s="23" t="str">
        <f aca="false">IF(OR($M274="",$F274="",$G274=""),"",IF($H274="Разминка","Разминка",IF($F274&lt;INDEX('Программа тренировок'!$E$6:$E$25,$M274),"Ниже диапазона",IF(AND($F274&gt;=INDEX('Программа тренировок'!$F$6:$F$25,$M274),$G274&gt;=INDEX('Программа тренировок'!$L$6:$L$25,$M274)),"Верх диапазона: пора добавлять вес",IF($G274&lt;INDEX('Программа тренировок'!$L$6:$L$25,$M274),"RIR ниже цели","В диапазоне")))))</f>
        <v/>
      </c>
      <c r="M274" s="23" t="str">
        <f aca="false">IF($C274="","",IFERROR(MATCH($C274,'Программа тренировок'!$C$6:$C$25,0),""))</f>
        <v/>
      </c>
    </row>
    <row r="275" customFormat="false" ht="15" hidden="false" customHeight="true" outlineLevel="0" collapsed="false">
      <c r="A275" s="20"/>
      <c r="B275" s="21"/>
      <c r="C275" s="19"/>
      <c r="D275" s="18"/>
      <c r="E275" s="17"/>
      <c r="F275" s="18"/>
      <c r="G275" s="18"/>
      <c r="H275" s="21"/>
      <c r="I275" s="19"/>
      <c r="J275" s="8" t="str">
        <f aca="false">IF(OR(E275="",F275=""),"",E275*F275)</f>
        <v/>
      </c>
      <c r="K275" s="22" t="str">
        <f aca="false">IF($M275="","",INDEX('Программа тренировок'!$G$6:$G$25,$M275))</f>
        <v/>
      </c>
      <c r="L275" s="23" t="str">
        <f aca="false">IF(OR($M275="",$F275="",$G275=""),"",IF($H275="Разминка","Разминка",IF($F275&lt;INDEX('Программа тренировок'!$E$6:$E$25,$M275),"Ниже диапазона",IF(AND($F275&gt;=INDEX('Программа тренировок'!$F$6:$F$25,$M275),$G275&gt;=INDEX('Программа тренировок'!$L$6:$L$25,$M275)),"Верх диапазона: пора добавлять вес",IF($G275&lt;INDEX('Программа тренировок'!$L$6:$L$25,$M275),"RIR ниже цели","В диапазоне")))))</f>
        <v/>
      </c>
      <c r="M275" s="23" t="str">
        <f aca="false">IF($C275="","",IFERROR(MATCH($C275,'Программа тренировок'!$C$6:$C$25,0),""))</f>
        <v/>
      </c>
    </row>
    <row r="276" customFormat="false" ht="15" hidden="false" customHeight="true" outlineLevel="0" collapsed="false">
      <c r="A276" s="20"/>
      <c r="B276" s="21"/>
      <c r="C276" s="19"/>
      <c r="D276" s="18"/>
      <c r="E276" s="17"/>
      <c r="F276" s="18"/>
      <c r="G276" s="18"/>
      <c r="H276" s="21"/>
      <c r="I276" s="19"/>
      <c r="J276" s="8" t="str">
        <f aca="false">IF(OR(E276="",F276=""),"",E276*F276)</f>
        <v/>
      </c>
      <c r="K276" s="22" t="str">
        <f aca="false">IF($M276="","",INDEX('Программа тренировок'!$G$6:$G$25,$M276))</f>
        <v/>
      </c>
      <c r="L276" s="23" t="str">
        <f aca="false">IF(OR($M276="",$F276="",$G276=""),"",IF($H276="Разминка","Разминка",IF($F276&lt;INDEX('Программа тренировок'!$E$6:$E$25,$M276),"Ниже диапазона",IF(AND($F276&gt;=INDEX('Программа тренировок'!$F$6:$F$25,$M276),$G276&gt;=INDEX('Программа тренировок'!$L$6:$L$25,$M276)),"Верх диапазона: пора добавлять вес",IF($G276&lt;INDEX('Программа тренировок'!$L$6:$L$25,$M276),"RIR ниже цели","В диапазоне")))))</f>
        <v/>
      </c>
      <c r="M276" s="23" t="str">
        <f aca="false">IF($C276="","",IFERROR(MATCH($C276,'Программа тренировок'!$C$6:$C$25,0),""))</f>
        <v/>
      </c>
    </row>
    <row r="277" customFormat="false" ht="15" hidden="false" customHeight="true" outlineLevel="0" collapsed="false">
      <c r="A277" s="20"/>
      <c r="B277" s="21"/>
      <c r="C277" s="19"/>
      <c r="D277" s="18"/>
      <c r="E277" s="17"/>
      <c r="F277" s="18"/>
      <c r="G277" s="18"/>
      <c r="H277" s="21"/>
      <c r="I277" s="19"/>
      <c r="J277" s="8" t="str">
        <f aca="false">IF(OR(E277="",F277=""),"",E277*F277)</f>
        <v/>
      </c>
      <c r="K277" s="22" t="str">
        <f aca="false">IF($M277="","",INDEX('Программа тренировок'!$G$6:$G$25,$M277))</f>
        <v/>
      </c>
      <c r="L277" s="23" t="str">
        <f aca="false">IF(OR($M277="",$F277="",$G277=""),"",IF($H277="Разминка","Разминка",IF($F277&lt;INDEX('Программа тренировок'!$E$6:$E$25,$M277),"Ниже диапазона",IF(AND($F277&gt;=INDEX('Программа тренировок'!$F$6:$F$25,$M277),$G277&gt;=INDEX('Программа тренировок'!$L$6:$L$25,$M277)),"Верх диапазона: пора добавлять вес",IF($G277&lt;INDEX('Программа тренировок'!$L$6:$L$25,$M277),"RIR ниже цели","В диапазоне")))))</f>
        <v/>
      </c>
      <c r="M277" s="23" t="str">
        <f aca="false">IF($C277="","",IFERROR(MATCH($C277,'Программа тренировок'!$C$6:$C$25,0),""))</f>
        <v/>
      </c>
    </row>
    <row r="278" customFormat="false" ht="15" hidden="false" customHeight="true" outlineLevel="0" collapsed="false">
      <c r="A278" s="20"/>
      <c r="B278" s="21"/>
      <c r="C278" s="19"/>
      <c r="D278" s="18"/>
      <c r="E278" s="17"/>
      <c r="F278" s="18"/>
      <c r="G278" s="18"/>
      <c r="H278" s="21"/>
      <c r="I278" s="19"/>
      <c r="J278" s="8" t="str">
        <f aca="false">IF(OR(E278="",F278=""),"",E278*F278)</f>
        <v/>
      </c>
      <c r="K278" s="22" t="str">
        <f aca="false">IF($M278="","",INDEX('Программа тренировок'!$G$6:$G$25,$M278))</f>
        <v/>
      </c>
      <c r="L278" s="23" t="str">
        <f aca="false">IF(OR($M278="",$F278="",$G278=""),"",IF($H278="Разминка","Разминка",IF($F278&lt;INDEX('Программа тренировок'!$E$6:$E$25,$M278),"Ниже диапазона",IF(AND($F278&gt;=INDEX('Программа тренировок'!$F$6:$F$25,$M278),$G278&gt;=INDEX('Программа тренировок'!$L$6:$L$25,$M278)),"Верх диапазона: пора добавлять вес",IF($G278&lt;INDEX('Программа тренировок'!$L$6:$L$25,$M278),"RIR ниже цели","В диапазоне")))))</f>
        <v/>
      </c>
      <c r="M278" s="23" t="str">
        <f aca="false">IF($C278="","",IFERROR(MATCH($C278,'Программа тренировок'!$C$6:$C$25,0),""))</f>
        <v/>
      </c>
    </row>
    <row r="279" customFormat="false" ht="15" hidden="false" customHeight="true" outlineLevel="0" collapsed="false">
      <c r="A279" s="20"/>
      <c r="B279" s="21"/>
      <c r="C279" s="19"/>
      <c r="D279" s="18"/>
      <c r="E279" s="17"/>
      <c r="F279" s="18"/>
      <c r="G279" s="18"/>
      <c r="H279" s="21"/>
      <c r="I279" s="19"/>
      <c r="J279" s="8" t="str">
        <f aca="false">IF(OR(E279="",F279=""),"",E279*F279)</f>
        <v/>
      </c>
      <c r="K279" s="22" t="str">
        <f aca="false">IF($M279="","",INDEX('Программа тренировок'!$G$6:$G$25,$M279))</f>
        <v/>
      </c>
      <c r="L279" s="23" t="str">
        <f aca="false">IF(OR($M279="",$F279="",$G279=""),"",IF($H279="Разминка","Разминка",IF($F279&lt;INDEX('Программа тренировок'!$E$6:$E$25,$M279),"Ниже диапазона",IF(AND($F279&gt;=INDEX('Программа тренировок'!$F$6:$F$25,$M279),$G279&gt;=INDEX('Программа тренировок'!$L$6:$L$25,$M279)),"Верх диапазона: пора добавлять вес",IF($G279&lt;INDEX('Программа тренировок'!$L$6:$L$25,$M279),"RIR ниже цели","В диапазоне")))))</f>
        <v/>
      </c>
      <c r="M279" s="23" t="str">
        <f aca="false">IF($C279="","",IFERROR(MATCH($C279,'Программа тренировок'!$C$6:$C$25,0),""))</f>
        <v/>
      </c>
    </row>
    <row r="280" customFormat="false" ht="15" hidden="false" customHeight="true" outlineLevel="0" collapsed="false">
      <c r="A280" s="20"/>
      <c r="B280" s="21"/>
      <c r="C280" s="19"/>
      <c r="D280" s="18"/>
      <c r="E280" s="17"/>
      <c r="F280" s="18"/>
      <c r="G280" s="18"/>
      <c r="H280" s="21"/>
      <c r="I280" s="19"/>
      <c r="J280" s="8" t="str">
        <f aca="false">IF(OR(E280="",F280=""),"",E280*F280)</f>
        <v/>
      </c>
      <c r="K280" s="22" t="str">
        <f aca="false">IF($M280="","",INDEX('Программа тренировок'!$G$6:$G$25,$M280))</f>
        <v/>
      </c>
      <c r="L280" s="23" t="str">
        <f aca="false">IF(OR($M280="",$F280="",$G280=""),"",IF($H280="Разминка","Разминка",IF($F280&lt;INDEX('Программа тренировок'!$E$6:$E$25,$M280),"Ниже диапазона",IF(AND($F280&gt;=INDEX('Программа тренировок'!$F$6:$F$25,$M280),$G280&gt;=INDEX('Программа тренировок'!$L$6:$L$25,$M280)),"Верх диапазона: пора добавлять вес",IF($G280&lt;INDEX('Программа тренировок'!$L$6:$L$25,$M280),"RIR ниже цели","В диапазоне")))))</f>
        <v/>
      </c>
      <c r="M280" s="23" t="str">
        <f aca="false">IF($C280="","",IFERROR(MATCH($C280,'Программа тренировок'!$C$6:$C$25,0),""))</f>
        <v/>
      </c>
    </row>
    <row r="281" customFormat="false" ht="15" hidden="false" customHeight="true" outlineLevel="0" collapsed="false">
      <c r="A281" s="20"/>
      <c r="B281" s="21"/>
      <c r="C281" s="19"/>
      <c r="D281" s="18"/>
      <c r="E281" s="17"/>
      <c r="F281" s="18"/>
      <c r="G281" s="18"/>
      <c r="H281" s="21"/>
      <c r="I281" s="19"/>
      <c r="J281" s="8" t="str">
        <f aca="false">IF(OR(E281="",F281=""),"",E281*F281)</f>
        <v/>
      </c>
      <c r="K281" s="22" t="str">
        <f aca="false">IF($M281="","",INDEX('Программа тренировок'!$G$6:$G$25,$M281))</f>
        <v/>
      </c>
      <c r="L281" s="23" t="str">
        <f aca="false">IF(OR($M281="",$F281="",$G281=""),"",IF($H281="Разминка","Разминка",IF($F281&lt;INDEX('Программа тренировок'!$E$6:$E$25,$M281),"Ниже диапазона",IF(AND($F281&gt;=INDEX('Программа тренировок'!$F$6:$F$25,$M281),$G281&gt;=INDEX('Программа тренировок'!$L$6:$L$25,$M281)),"Верх диапазона: пора добавлять вес",IF($G281&lt;INDEX('Программа тренировок'!$L$6:$L$25,$M281),"RIR ниже цели","В диапазоне")))))</f>
        <v/>
      </c>
      <c r="M281" s="23" t="str">
        <f aca="false">IF($C281="","",IFERROR(MATCH($C281,'Программа тренировок'!$C$6:$C$25,0),""))</f>
        <v/>
      </c>
    </row>
    <row r="282" customFormat="false" ht="15" hidden="false" customHeight="true" outlineLevel="0" collapsed="false">
      <c r="A282" s="20"/>
      <c r="B282" s="21"/>
      <c r="C282" s="19"/>
      <c r="D282" s="18"/>
      <c r="E282" s="17"/>
      <c r="F282" s="18"/>
      <c r="G282" s="18"/>
      <c r="H282" s="21"/>
      <c r="I282" s="19"/>
      <c r="J282" s="8" t="str">
        <f aca="false">IF(OR(E282="",F282=""),"",E282*F282)</f>
        <v/>
      </c>
      <c r="K282" s="22" t="str">
        <f aca="false">IF($M282="","",INDEX('Программа тренировок'!$G$6:$G$25,$M282))</f>
        <v/>
      </c>
      <c r="L282" s="23" t="str">
        <f aca="false">IF(OR($M282="",$F282="",$G282=""),"",IF($H282="Разминка","Разминка",IF($F282&lt;INDEX('Программа тренировок'!$E$6:$E$25,$M282),"Ниже диапазона",IF(AND($F282&gt;=INDEX('Программа тренировок'!$F$6:$F$25,$M282),$G282&gt;=INDEX('Программа тренировок'!$L$6:$L$25,$M282)),"Верх диапазона: пора добавлять вес",IF($G282&lt;INDEX('Программа тренировок'!$L$6:$L$25,$M282),"RIR ниже цели","В диапазоне")))))</f>
        <v/>
      </c>
      <c r="M282" s="23" t="str">
        <f aca="false">IF($C282="","",IFERROR(MATCH($C282,'Программа тренировок'!$C$6:$C$25,0),""))</f>
        <v/>
      </c>
    </row>
    <row r="283" customFormat="false" ht="15" hidden="false" customHeight="true" outlineLevel="0" collapsed="false">
      <c r="A283" s="20"/>
      <c r="B283" s="21"/>
      <c r="C283" s="19"/>
      <c r="D283" s="18"/>
      <c r="E283" s="17"/>
      <c r="F283" s="18"/>
      <c r="G283" s="18"/>
      <c r="H283" s="21"/>
      <c r="I283" s="19"/>
      <c r="J283" s="8" t="str">
        <f aca="false">IF(OR(E283="",F283=""),"",E283*F283)</f>
        <v/>
      </c>
      <c r="K283" s="22" t="str">
        <f aca="false">IF($M283="","",INDEX('Программа тренировок'!$G$6:$G$25,$M283))</f>
        <v/>
      </c>
      <c r="L283" s="23" t="str">
        <f aca="false">IF(OR($M283="",$F283="",$G283=""),"",IF($H283="Разминка","Разминка",IF($F283&lt;INDEX('Программа тренировок'!$E$6:$E$25,$M283),"Ниже диапазона",IF(AND($F283&gt;=INDEX('Программа тренировок'!$F$6:$F$25,$M283),$G283&gt;=INDEX('Программа тренировок'!$L$6:$L$25,$M283)),"Верх диапазона: пора добавлять вес",IF($G283&lt;INDEX('Программа тренировок'!$L$6:$L$25,$M283),"RIR ниже цели","В диапазоне")))))</f>
        <v/>
      </c>
      <c r="M283" s="23" t="str">
        <f aca="false">IF($C283="","",IFERROR(MATCH($C283,'Программа тренировок'!$C$6:$C$25,0),""))</f>
        <v/>
      </c>
    </row>
    <row r="284" customFormat="false" ht="15" hidden="false" customHeight="true" outlineLevel="0" collapsed="false">
      <c r="A284" s="20"/>
      <c r="B284" s="21"/>
      <c r="C284" s="19"/>
      <c r="D284" s="18"/>
      <c r="E284" s="17"/>
      <c r="F284" s="18"/>
      <c r="G284" s="18"/>
      <c r="H284" s="21"/>
      <c r="I284" s="19"/>
      <c r="J284" s="8" t="str">
        <f aca="false">IF(OR(E284="",F284=""),"",E284*F284)</f>
        <v/>
      </c>
      <c r="K284" s="22" t="str">
        <f aca="false">IF($M284="","",INDEX('Программа тренировок'!$G$6:$G$25,$M284))</f>
        <v/>
      </c>
      <c r="L284" s="23" t="str">
        <f aca="false">IF(OR($M284="",$F284="",$G284=""),"",IF($H284="Разминка","Разминка",IF($F284&lt;INDEX('Программа тренировок'!$E$6:$E$25,$M284),"Ниже диапазона",IF(AND($F284&gt;=INDEX('Программа тренировок'!$F$6:$F$25,$M284),$G284&gt;=INDEX('Программа тренировок'!$L$6:$L$25,$M284)),"Верх диапазона: пора добавлять вес",IF($G284&lt;INDEX('Программа тренировок'!$L$6:$L$25,$M284),"RIR ниже цели","В диапазоне")))))</f>
        <v/>
      </c>
      <c r="M284" s="23" t="str">
        <f aca="false">IF($C284="","",IFERROR(MATCH($C284,'Программа тренировок'!$C$6:$C$25,0),""))</f>
        <v/>
      </c>
    </row>
    <row r="285" customFormat="false" ht="15" hidden="false" customHeight="true" outlineLevel="0" collapsed="false">
      <c r="A285" s="20"/>
      <c r="B285" s="21"/>
      <c r="C285" s="19"/>
      <c r="D285" s="18"/>
      <c r="E285" s="17"/>
      <c r="F285" s="18"/>
      <c r="G285" s="18"/>
      <c r="H285" s="21"/>
      <c r="I285" s="19"/>
      <c r="J285" s="8" t="str">
        <f aca="false">IF(OR(E285="",F285=""),"",E285*F285)</f>
        <v/>
      </c>
      <c r="K285" s="22" t="str">
        <f aca="false">IF($M285="","",INDEX('Программа тренировок'!$G$6:$G$25,$M285))</f>
        <v/>
      </c>
      <c r="L285" s="23" t="str">
        <f aca="false">IF(OR($M285="",$F285="",$G285=""),"",IF($H285="Разминка","Разминка",IF($F285&lt;INDEX('Программа тренировок'!$E$6:$E$25,$M285),"Ниже диапазона",IF(AND($F285&gt;=INDEX('Программа тренировок'!$F$6:$F$25,$M285),$G285&gt;=INDEX('Программа тренировок'!$L$6:$L$25,$M285)),"Верх диапазона: пора добавлять вес",IF($G285&lt;INDEX('Программа тренировок'!$L$6:$L$25,$M285),"RIR ниже цели","В диапазоне")))))</f>
        <v/>
      </c>
      <c r="M285" s="23" t="str">
        <f aca="false">IF($C285="","",IFERROR(MATCH($C285,'Программа тренировок'!$C$6:$C$25,0),""))</f>
        <v/>
      </c>
    </row>
    <row r="286" customFormat="false" ht="15" hidden="false" customHeight="true" outlineLevel="0" collapsed="false">
      <c r="A286" s="20"/>
      <c r="B286" s="21"/>
      <c r="C286" s="19"/>
      <c r="D286" s="18"/>
      <c r="E286" s="17"/>
      <c r="F286" s="18"/>
      <c r="G286" s="18"/>
      <c r="H286" s="21"/>
      <c r="I286" s="19"/>
      <c r="J286" s="8" t="str">
        <f aca="false">IF(OR(E286="",F286=""),"",E286*F286)</f>
        <v/>
      </c>
      <c r="K286" s="22" t="str">
        <f aca="false">IF($M286="","",INDEX('Программа тренировок'!$G$6:$G$25,$M286))</f>
        <v/>
      </c>
      <c r="L286" s="23" t="str">
        <f aca="false">IF(OR($M286="",$F286="",$G286=""),"",IF($H286="Разминка","Разминка",IF($F286&lt;INDEX('Программа тренировок'!$E$6:$E$25,$M286),"Ниже диапазона",IF(AND($F286&gt;=INDEX('Программа тренировок'!$F$6:$F$25,$M286),$G286&gt;=INDEX('Программа тренировок'!$L$6:$L$25,$M286)),"Верх диапазона: пора добавлять вес",IF($G286&lt;INDEX('Программа тренировок'!$L$6:$L$25,$M286),"RIR ниже цели","В диапазоне")))))</f>
        <v/>
      </c>
      <c r="M286" s="23" t="str">
        <f aca="false">IF($C286="","",IFERROR(MATCH($C286,'Программа тренировок'!$C$6:$C$25,0),""))</f>
        <v/>
      </c>
    </row>
    <row r="287" customFormat="false" ht="15" hidden="false" customHeight="true" outlineLevel="0" collapsed="false">
      <c r="A287" s="20"/>
      <c r="B287" s="21"/>
      <c r="C287" s="19"/>
      <c r="D287" s="18"/>
      <c r="E287" s="17"/>
      <c r="F287" s="18"/>
      <c r="G287" s="18"/>
      <c r="H287" s="21"/>
      <c r="I287" s="19"/>
      <c r="J287" s="8" t="str">
        <f aca="false">IF(OR(E287="",F287=""),"",E287*F287)</f>
        <v/>
      </c>
      <c r="K287" s="22" t="str">
        <f aca="false">IF($M287="","",INDEX('Программа тренировок'!$G$6:$G$25,$M287))</f>
        <v/>
      </c>
      <c r="L287" s="23" t="str">
        <f aca="false">IF(OR($M287="",$F287="",$G287=""),"",IF($H287="Разминка","Разминка",IF($F287&lt;INDEX('Программа тренировок'!$E$6:$E$25,$M287),"Ниже диапазона",IF(AND($F287&gt;=INDEX('Программа тренировок'!$F$6:$F$25,$M287),$G287&gt;=INDEX('Программа тренировок'!$L$6:$L$25,$M287)),"Верх диапазона: пора добавлять вес",IF($G287&lt;INDEX('Программа тренировок'!$L$6:$L$25,$M287),"RIR ниже цели","В диапазоне")))))</f>
        <v/>
      </c>
      <c r="M287" s="23" t="str">
        <f aca="false">IF($C287="","",IFERROR(MATCH($C287,'Программа тренировок'!$C$6:$C$25,0),""))</f>
        <v/>
      </c>
    </row>
    <row r="288" customFormat="false" ht="15" hidden="false" customHeight="true" outlineLevel="0" collapsed="false">
      <c r="A288" s="20"/>
      <c r="B288" s="21"/>
      <c r="C288" s="19"/>
      <c r="D288" s="18"/>
      <c r="E288" s="17"/>
      <c r="F288" s="18"/>
      <c r="G288" s="18"/>
      <c r="H288" s="21"/>
      <c r="I288" s="19"/>
      <c r="J288" s="8" t="str">
        <f aca="false">IF(OR(E288="",F288=""),"",E288*F288)</f>
        <v/>
      </c>
      <c r="K288" s="22" t="str">
        <f aca="false">IF($M288="","",INDEX('Программа тренировок'!$G$6:$G$25,$M288))</f>
        <v/>
      </c>
      <c r="L288" s="23" t="str">
        <f aca="false">IF(OR($M288="",$F288="",$G288=""),"",IF($H288="Разминка","Разминка",IF($F288&lt;INDEX('Программа тренировок'!$E$6:$E$25,$M288),"Ниже диапазона",IF(AND($F288&gt;=INDEX('Программа тренировок'!$F$6:$F$25,$M288),$G288&gt;=INDEX('Программа тренировок'!$L$6:$L$25,$M288)),"Верх диапазона: пора добавлять вес",IF($G288&lt;INDEX('Программа тренировок'!$L$6:$L$25,$M288),"RIR ниже цели","В диапазоне")))))</f>
        <v/>
      </c>
      <c r="M288" s="23" t="str">
        <f aca="false">IF($C288="","",IFERROR(MATCH($C288,'Программа тренировок'!$C$6:$C$25,0),""))</f>
        <v/>
      </c>
    </row>
    <row r="289" customFormat="false" ht="15" hidden="false" customHeight="true" outlineLevel="0" collapsed="false">
      <c r="A289" s="20"/>
      <c r="B289" s="21"/>
      <c r="C289" s="19"/>
      <c r="D289" s="18"/>
      <c r="E289" s="17"/>
      <c r="F289" s="18"/>
      <c r="G289" s="18"/>
      <c r="H289" s="21"/>
      <c r="I289" s="19"/>
      <c r="J289" s="8" t="str">
        <f aca="false">IF(OR(E289="",F289=""),"",E289*F289)</f>
        <v/>
      </c>
      <c r="K289" s="22" t="str">
        <f aca="false">IF($M289="","",INDEX('Программа тренировок'!$G$6:$G$25,$M289))</f>
        <v/>
      </c>
      <c r="L289" s="23" t="str">
        <f aca="false">IF(OR($M289="",$F289="",$G289=""),"",IF($H289="Разминка","Разминка",IF($F289&lt;INDEX('Программа тренировок'!$E$6:$E$25,$M289),"Ниже диапазона",IF(AND($F289&gt;=INDEX('Программа тренировок'!$F$6:$F$25,$M289),$G289&gt;=INDEX('Программа тренировок'!$L$6:$L$25,$M289)),"Верх диапазона: пора добавлять вес",IF($G289&lt;INDEX('Программа тренировок'!$L$6:$L$25,$M289),"RIR ниже цели","В диапазоне")))))</f>
        <v/>
      </c>
      <c r="M289" s="23" t="str">
        <f aca="false">IF($C289="","",IFERROR(MATCH($C289,'Программа тренировок'!$C$6:$C$25,0),""))</f>
        <v/>
      </c>
    </row>
    <row r="290" customFormat="false" ht="15" hidden="false" customHeight="true" outlineLevel="0" collapsed="false">
      <c r="A290" s="20"/>
      <c r="B290" s="21"/>
      <c r="C290" s="19"/>
      <c r="D290" s="18"/>
      <c r="E290" s="17"/>
      <c r="F290" s="18"/>
      <c r="G290" s="18"/>
      <c r="H290" s="21"/>
      <c r="I290" s="19"/>
      <c r="J290" s="8" t="str">
        <f aca="false">IF(OR(E290="",F290=""),"",E290*F290)</f>
        <v/>
      </c>
      <c r="K290" s="22" t="str">
        <f aca="false">IF($M290="","",INDEX('Программа тренировок'!$G$6:$G$25,$M290))</f>
        <v/>
      </c>
      <c r="L290" s="23" t="str">
        <f aca="false">IF(OR($M290="",$F290="",$G290=""),"",IF($H290="Разминка","Разминка",IF($F290&lt;INDEX('Программа тренировок'!$E$6:$E$25,$M290),"Ниже диапазона",IF(AND($F290&gt;=INDEX('Программа тренировок'!$F$6:$F$25,$M290),$G290&gt;=INDEX('Программа тренировок'!$L$6:$L$25,$M290)),"Верх диапазона: пора добавлять вес",IF($G290&lt;INDEX('Программа тренировок'!$L$6:$L$25,$M290),"RIR ниже цели","В диапазоне")))))</f>
        <v/>
      </c>
      <c r="M290" s="23" t="str">
        <f aca="false">IF($C290="","",IFERROR(MATCH($C290,'Программа тренировок'!$C$6:$C$25,0),""))</f>
        <v/>
      </c>
    </row>
    <row r="291" customFormat="false" ht="15" hidden="false" customHeight="true" outlineLevel="0" collapsed="false">
      <c r="A291" s="20"/>
      <c r="B291" s="21"/>
      <c r="C291" s="19"/>
      <c r="D291" s="18"/>
      <c r="E291" s="17"/>
      <c r="F291" s="18"/>
      <c r="G291" s="18"/>
      <c r="H291" s="21"/>
      <c r="I291" s="19"/>
      <c r="J291" s="8" t="str">
        <f aca="false">IF(OR(E291="",F291=""),"",E291*F291)</f>
        <v/>
      </c>
      <c r="K291" s="22" t="str">
        <f aca="false">IF($M291="","",INDEX('Программа тренировок'!$G$6:$G$25,$M291))</f>
        <v/>
      </c>
      <c r="L291" s="23" t="str">
        <f aca="false">IF(OR($M291="",$F291="",$G291=""),"",IF($H291="Разминка","Разминка",IF($F291&lt;INDEX('Программа тренировок'!$E$6:$E$25,$M291),"Ниже диапазона",IF(AND($F291&gt;=INDEX('Программа тренировок'!$F$6:$F$25,$M291),$G291&gt;=INDEX('Программа тренировок'!$L$6:$L$25,$M291)),"Верх диапазона: пора добавлять вес",IF($G291&lt;INDEX('Программа тренировок'!$L$6:$L$25,$M291),"RIR ниже цели","В диапазоне")))))</f>
        <v/>
      </c>
      <c r="M291" s="23" t="str">
        <f aca="false">IF($C291="","",IFERROR(MATCH($C291,'Программа тренировок'!$C$6:$C$25,0),""))</f>
        <v/>
      </c>
    </row>
    <row r="292" customFormat="false" ht="15" hidden="false" customHeight="true" outlineLevel="0" collapsed="false">
      <c r="A292" s="20"/>
      <c r="B292" s="21"/>
      <c r="C292" s="19"/>
      <c r="D292" s="18"/>
      <c r="E292" s="17"/>
      <c r="F292" s="18"/>
      <c r="G292" s="18"/>
      <c r="H292" s="21"/>
      <c r="I292" s="19"/>
      <c r="J292" s="8" t="str">
        <f aca="false">IF(OR(E292="",F292=""),"",E292*F292)</f>
        <v/>
      </c>
      <c r="K292" s="22" t="str">
        <f aca="false">IF($M292="","",INDEX('Программа тренировок'!$G$6:$G$25,$M292))</f>
        <v/>
      </c>
      <c r="L292" s="23" t="str">
        <f aca="false">IF(OR($M292="",$F292="",$G292=""),"",IF($H292="Разминка","Разминка",IF($F292&lt;INDEX('Программа тренировок'!$E$6:$E$25,$M292),"Ниже диапазона",IF(AND($F292&gt;=INDEX('Программа тренировок'!$F$6:$F$25,$M292),$G292&gt;=INDEX('Программа тренировок'!$L$6:$L$25,$M292)),"Верх диапазона: пора добавлять вес",IF($G292&lt;INDEX('Программа тренировок'!$L$6:$L$25,$M292),"RIR ниже цели","В диапазоне")))))</f>
        <v/>
      </c>
      <c r="M292" s="23" t="str">
        <f aca="false">IF($C292="","",IFERROR(MATCH($C292,'Программа тренировок'!$C$6:$C$25,0),""))</f>
        <v/>
      </c>
    </row>
    <row r="293" customFormat="false" ht="15" hidden="false" customHeight="true" outlineLevel="0" collapsed="false">
      <c r="A293" s="20"/>
      <c r="B293" s="21"/>
      <c r="C293" s="19"/>
      <c r="D293" s="18"/>
      <c r="E293" s="17"/>
      <c r="F293" s="18"/>
      <c r="G293" s="18"/>
      <c r="H293" s="21"/>
      <c r="I293" s="19"/>
      <c r="J293" s="8" t="str">
        <f aca="false">IF(OR(E293="",F293=""),"",E293*F293)</f>
        <v/>
      </c>
      <c r="K293" s="22" t="str">
        <f aca="false">IF($M293="","",INDEX('Программа тренировок'!$G$6:$G$25,$M293))</f>
        <v/>
      </c>
      <c r="L293" s="23" t="str">
        <f aca="false">IF(OR($M293="",$F293="",$G293=""),"",IF($H293="Разминка","Разминка",IF($F293&lt;INDEX('Программа тренировок'!$E$6:$E$25,$M293),"Ниже диапазона",IF(AND($F293&gt;=INDEX('Программа тренировок'!$F$6:$F$25,$M293),$G293&gt;=INDEX('Программа тренировок'!$L$6:$L$25,$M293)),"Верх диапазона: пора добавлять вес",IF($G293&lt;INDEX('Программа тренировок'!$L$6:$L$25,$M293),"RIR ниже цели","В диапазоне")))))</f>
        <v/>
      </c>
      <c r="M293" s="23" t="str">
        <f aca="false">IF($C293="","",IFERROR(MATCH($C293,'Программа тренировок'!$C$6:$C$25,0),""))</f>
        <v/>
      </c>
    </row>
    <row r="294" customFormat="false" ht="15" hidden="false" customHeight="true" outlineLevel="0" collapsed="false">
      <c r="A294" s="20"/>
      <c r="B294" s="21"/>
      <c r="C294" s="19"/>
      <c r="D294" s="18"/>
      <c r="E294" s="17"/>
      <c r="F294" s="18"/>
      <c r="G294" s="18"/>
      <c r="H294" s="21"/>
      <c r="I294" s="19"/>
      <c r="J294" s="8" t="str">
        <f aca="false">IF(OR(E294="",F294=""),"",E294*F294)</f>
        <v/>
      </c>
      <c r="K294" s="22" t="str">
        <f aca="false">IF($M294="","",INDEX('Программа тренировок'!$G$6:$G$25,$M294))</f>
        <v/>
      </c>
      <c r="L294" s="23" t="str">
        <f aca="false">IF(OR($M294="",$F294="",$G294=""),"",IF($H294="Разминка","Разминка",IF($F294&lt;INDEX('Программа тренировок'!$E$6:$E$25,$M294),"Ниже диапазона",IF(AND($F294&gt;=INDEX('Программа тренировок'!$F$6:$F$25,$M294),$G294&gt;=INDEX('Программа тренировок'!$L$6:$L$25,$M294)),"Верх диапазона: пора добавлять вес",IF($G294&lt;INDEX('Программа тренировок'!$L$6:$L$25,$M294),"RIR ниже цели","В диапазоне")))))</f>
        <v/>
      </c>
      <c r="M294" s="23" t="str">
        <f aca="false">IF($C294="","",IFERROR(MATCH($C294,'Программа тренировок'!$C$6:$C$25,0),""))</f>
        <v/>
      </c>
    </row>
    <row r="295" customFormat="false" ht="15" hidden="false" customHeight="true" outlineLevel="0" collapsed="false">
      <c r="A295" s="20"/>
      <c r="B295" s="21"/>
      <c r="C295" s="19"/>
      <c r="D295" s="18"/>
      <c r="E295" s="17"/>
      <c r="F295" s="18"/>
      <c r="G295" s="18"/>
      <c r="H295" s="21"/>
      <c r="I295" s="19"/>
      <c r="J295" s="8" t="str">
        <f aca="false">IF(OR(E295="",F295=""),"",E295*F295)</f>
        <v/>
      </c>
      <c r="K295" s="22" t="str">
        <f aca="false">IF($M295="","",INDEX('Программа тренировок'!$G$6:$G$25,$M295))</f>
        <v/>
      </c>
      <c r="L295" s="23" t="str">
        <f aca="false">IF(OR($M295="",$F295="",$G295=""),"",IF($H295="Разминка","Разминка",IF($F295&lt;INDEX('Программа тренировок'!$E$6:$E$25,$M295),"Ниже диапазона",IF(AND($F295&gt;=INDEX('Программа тренировок'!$F$6:$F$25,$M295),$G295&gt;=INDEX('Программа тренировок'!$L$6:$L$25,$M295)),"Верх диапазона: пора добавлять вес",IF($G295&lt;INDEX('Программа тренировок'!$L$6:$L$25,$M295),"RIR ниже цели","В диапазоне")))))</f>
        <v/>
      </c>
      <c r="M295" s="23" t="str">
        <f aca="false">IF($C295="","",IFERROR(MATCH($C295,'Программа тренировок'!$C$6:$C$25,0),""))</f>
        <v/>
      </c>
    </row>
    <row r="296" customFormat="false" ht="15" hidden="false" customHeight="true" outlineLevel="0" collapsed="false">
      <c r="A296" s="20"/>
      <c r="B296" s="21"/>
      <c r="C296" s="19"/>
      <c r="D296" s="18"/>
      <c r="E296" s="17"/>
      <c r="F296" s="18"/>
      <c r="G296" s="18"/>
      <c r="H296" s="21"/>
      <c r="I296" s="19"/>
      <c r="J296" s="8" t="str">
        <f aca="false">IF(OR(E296="",F296=""),"",E296*F296)</f>
        <v/>
      </c>
      <c r="K296" s="22" t="str">
        <f aca="false">IF($M296="","",INDEX('Программа тренировок'!$G$6:$G$25,$M296))</f>
        <v/>
      </c>
      <c r="L296" s="23" t="str">
        <f aca="false">IF(OR($M296="",$F296="",$G296=""),"",IF($H296="Разминка","Разминка",IF($F296&lt;INDEX('Программа тренировок'!$E$6:$E$25,$M296),"Ниже диапазона",IF(AND($F296&gt;=INDEX('Программа тренировок'!$F$6:$F$25,$M296),$G296&gt;=INDEX('Программа тренировок'!$L$6:$L$25,$M296)),"Верх диапазона: пора добавлять вес",IF($G296&lt;INDEX('Программа тренировок'!$L$6:$L$25,$M296),"RIR ниже цели","В диапазоне")))))</f>
        <v/>
      </c>
      <c r="M296" s="23" t="str">
        <f aca="false">IF($C296="","",IFERROR(MATCH($C296,'Программа тренировок'!$C$6:$C$25,0),""))</f>
        <v/>
      </c>
    </row>
    <row r="297" customFormat="false" ht="15" hidden="false" customHeight="true" outlineLevel="0" collapsed="false">
      <c r="A297" s="20"/>
      <c r="B297" s="21"/>
      <c r="C297" s="19"/>
      <c r="D297" s="18"/>
      <c r="E297" s="17"/>
      <c r="F297" s="18"/>
      <c r="G297" s="18"/>
      <c r="H297" s="21"/>
      <c r="I297" s="19"/>
      <c r="J297" s="8" t="str">
        <f aca="false">IF(OR(E297="",F297=""),"",E297*F297)</f>
        <v/>
      </c>
      <c r="K297" s="22" t="str">
        <f aca="false">IF($M297="","",INDEX('Программа тренировок'!$G$6:$G$25,$M297))</f>
        <v/>
      </c>
      <c r="L297" s="23" t="str">
        <f aca="false">IF(OR($M297="",$F297="",$G297=""),"",IF($H297="Разминка","Разминка",IF($F297&lt;INDEX('Программа тренировок'!$E$6:$E$25,$M297),"Ниже диапазона",IF(AND($F297&gt;=INDEX('Программа тренировок'!$F$6:$F$25,$M297),$G297&gt;=INDEX('Программа тренировок'!$L$6:$L$25,$M297)),"Верх диапазона: пора добавлять вес",IF($G297&lt;INDEX('Программа тренировок'!$L$6:$L$25,$M297),"RIR ниже цели","В диапазоне")))))</f>
        <v/>
      </c>
      <c r="M297" s="23" t="str">
        <f aca="false">IF($C297="","",IFERROR(MATCH($C297,'Программа тренировок'!$C$6:$C$25,0),""))</f>
        <v/>
      </c>
    </row>
    <row r="298" customFormat="false" ht="15" hidden="false" customHeight="true" outlineLevel="0" collapsed="false">
      <c r="A298" s="20"/>
      <c r="B298" s="21"/>
      <c r="C298" s="19"/>
      <c r="D298" s="18"/>
      <c r="E298" s="17"/>
      <c r="F298" s="18"/>
      <c r="G298" s="18"/>
      <c r="H298" s="21"/>
      <c r="I298" s="19"/>
      <c r="J298" s="8" t="str">
        <f aca="false">IF(OR(E298="",F298=""),"",E298*F298)</f>
        <v/>
      </c>
      <c r="K298" s="22" t="str">
        <f aca="false">IF($M298="","",INDEX('Программа тренировок'!$G$6:$G$25,$M298))</f>
        <v/>
      </c>
      <c r="L298" s="23" t="str">
        <f aca="false">IF(OR($M298="",$F298="",$G298=""),"",IF($H298="Разминка","Разминка",IF($F298&lt;INDEX('Программа тренировок'!$E$6:$E$25,$M298),"Ниже диапазона",IF(AND($F298&gt;=INDEX('Программа тренировок'!$F$6:$F$25,$M298),$G298&gt;=INDEX('Программа тренировок'!$L$6:$L$25,$M298)),"Верх диапазона: пора добавлять вес",IF($G298&lt;INDEX('Программа тренировок'!$L$6:$L$25,$M298),"RIR ниже цели","В диапазоне")))))</f>
        <v/>
      </c>
      <c r="M298" s="23" t="str">
        <f aca="false">IF($C298="","",IFERROR(MATCH($C298,'Программа тренировок'!$C$6:$C$25,0),""))</f>
        <v/>
      </c>
    </row>
    <row r="299" customFormat="false" ht="15" hidden="false" customHeight="true" outlineLevel="0" collapsed="false">
      <c r="A299" s="20"/>
      <c r="B299" s="21"/>
      <c r="C299" s="19"/>
      <c r="D299" s="18"/>
      <c r="E299" s="17"/>
      <c r="F299" s="18"/>
      <c r="G299" s="18"/>
      <c r="H299" s="21"/>
      <c r="I299" s="19"/>
      <c r="J299" s="8" t="str">
        <f aca="false">IF(OR(E299="",F299=""),"",E299*F299)</f>
        <v/>
      </c>
      <c r="K299" s="22" t="str">
        <f aca="false">IF($M299="","",INDEX('Программа тренировок'!$G$6:$G$25,$M299))</f>
        <v/>
      </c>
      <c r="L299" s="23" t="str">
        <f aca="false">IF(OR($M299="",$F299="",$G299=""),"",IF($H299="Разминка","Разминка",IF($F299&lt;INDEX('Программа тренировок'!$E$6:$E$25,$M299),"Ниже диапазона",IF(AND($F299&gt;=INDEX('Программа тренировок'!$F$6:$F$25,$M299),$G299&gt;=INDEX('Программа тренировок'!$L$6:$L$25,$M299)),"Верх диапазона: пора добавлять вес",IF($G299&lt;INDEX('Программа тренировок'!$L$6:$L$25,$M299),"RIR ниже цели","В диапазоне")))))</f>
        <v/>
      </c>
      <c r="M299" s="23" t="str">
        <f aca="false">IF($C299="","",IFERROR(MATCH($C299,'Программа тренировок'!$C$6:$C$25,0),""))</f>
        <v/>
      </c>
    </row>
    <row r="300" customFormat="false" ht="15" hidden="false" customHeight="true" outlineLevel="0" collapsed="false">
      <c r="A300" s="20"/>
      <c r="B300" s="21"/>
      <c r="C300" s="19"/>
      <c r="D300" s="18"/>
      <c r="E300" s="17"/>
      <c r="F300" s="18"/>
      <c r="G300" s="18"/>
      <c r="H300" s="21"/>
      <c r="I300" s="19"/>
      <c r="J300" s="8" t="str">
        <f aca="false">IF(OR(E300="",F300=""),"",E300*F300)</f>
        <v/>
      </c>
      <c r="K300" s="22" t="str">
        <f aca="false">IF($M300="","",INDEX('Программа тренировок'!$G$6:$G$25,$M300))</f>
        <v/>
      </c>
      <c r="L300" s="23" t="str">
        <f aca="false">IF(OR($M300="",$F300="",$G300=""),"",IF($H300="Разминка","Разминка",IF($F300&lt;INDEX('Программа тренировок'!$E$6:$E$25,$M300),"Ниже диапазона",IF(AND($F300&gt;=INDEX('Программа тренировок'!$F$6:$F$25,$M300),$G300&gt;=INDEX('Программа тренировок'!$L$6:$L$25,$M300)),"Верх диапазона: пора добавлять вес",IF($G300&lt;INDEX('Программа тренировок'!$L$6:$L$25,$M300),"RIR ниже цели","В диапазоне")))))</f>
        <v/>
      </c>
      <c r="M300" s="23" t="str">
        <f aca="false">IF($C300="","",IFERROR(MATCH($C300,'Программа тренировок'!$C$6:$C$25,0),""))</f>
        <v/>
      </c>
    </row>
    <row r="301" customFormat="false" ht="15" hidden="false" customHeight="true" outlineLevel="0" collapsed="false">
      <c r="A301" s="20"/>
      <c r="B301" s="21"/>
      <c r="C301" s="19"/>
      <c r="D301" s="18"/>
      <c r="E301" s="17"/>
      <c r="F301" s="18"/>
      <c r="G301" s="18"/>
      <c r="H301" s="21"/>
      <c r="I301" s="19"/>
      <c r="J301" s="8" t="str">
        <f aca="false">IF(OR(E301="",F301=""),"",E301*F301)</f>
        <v/>
      </c>
      <c r="K301" s="22" t="str">
        <f aca="false">IF($M301="","",INDEX('Программа тренировок'!$G$6:$G$25,$M301))</f>
        <v/>
      </c>
      <c r="L301" s="23" t="str">
        <f aca="false">IF(OR($M301="",$F301="",$G301=""),"",IF($H301="Разминка","Разминка",IF($F301&lt;INDEX('Программа тренировок'!$E$6:$E$25,$M301),"Ниже диапазона",IF(AND($F301&gt;=INDEX('Программа тренировок'!$F$6:$F$25,$M301),$G301&gt;=INDEX('Программа тренировок'!$L$6:$L$25,$M301)),"Верх диапазона: пора добавлять вес",IF($G301&lt;INDEX('Программа тренировок'!$L$6:$L$25,$M301),"RIR ниже цели","В диапазоне")))))</f>
        <v/>
      </c>
      <c r="M301" s="23" t="str">
        <f aca="false">IF($C301="","",IFERROR(MATCH($C301,'Программа тренировок'!$C$6:$C$25,0),""))</f>
        <v/>
      </c>
    </row>
    <row r="302" customFormat="false" ht="15" hidden="false" customHeight="true" outlineLevel="0" collapsed="false">
      <c r="A302" s="20"/>
      <c r="B302" s="21"/>
      <c r="C302" s="19"/>
      <c r="D302" s="18"/>
      <c r="E302" s="17"/>
      <c r="F302" s="18"/>
      <c r="G302" s="18"/>
      <c r="H302" s="21"/>
      <c r="I302" s="19"/>
      <c r="J302" s="8" t="str">
        <f aca="false">IF(OR(E302="",F302=""),"",E302*F302)</f>
        <v/>
      </c>
      <c r="K302" s="22" t="str">
        <f aca="false">IF($M302="","",INDEX('Программа тренировок'!$G$6:$G$25,$M302))</f>
        <v/>
      </c>
      <c r="L302" s="23" t="str">
        <f aca="false">IF(OR($M302="",$F302="",$G302=""),"",IF($H302="Разминка","Разминка",IF($F302&lt;INDEX('Программа тренировок'!$E$6:$E$25,$M302),"Ниже диапазона",IF(AND($F302&gt;=INDEX('Программа тренировок'!$F$6:$F$25,$M302),$G302&gt;=INDEX('Программа тренировок'!$L$6:$L$25,$M302)),"Верх диапазона: пора добавлять вес",IF($G302&lt;INDEX('Программа тренировок'!$L$6:$L$25,$M302),"RIR ниже цели","В диапазоне")))))</f>
        <v/>
      </c>
      <c r="M302" s="23" t="str">
        <f aca="false">IF($C302="","",IFERROR(MATCH($C302,'Программа тренировок'!$C$6:$C$25,0),""))</f>
        <v/>
      </c>
    </row>
    <row r="303" customFormat="false" ht="15" hidden="false" customHeight="true" outlineLevel="0" collapsed="false">
      <c r="A303" s="20"/>
      <c r="B303" s="21"/>
      <c r="C303" s="19"/>
      <c r="D303" s="18"/>
      <c r="E303" s="17"/>
      <c r="F303" s="18"/>
      <c r="G303" s="18"/>
      <c r="H303" s="21"/>
      <c r="I303" s="19"/>
      <c r="J303" s="8" t="str">
        <f aca="false">IF(OR(E303="",F303=""),"",E303*F303)</f>
        <v/>
      </c>
      <c r="K303" s="22" t="str">
        <f aca="false">IF($M303="","",INDEX('Программа тренировок'!$G$6:$G$25,$M303))</f>
        <v/>
      </c>
      <c r="L303" s="23" t="str">
        <f aca="false">IF(OR($M303="",$F303="",$G303=""),"",IF($H303="Разминка","Разминка",IF($F303&lt;INDEX('Программа тренировок'!$E$6:$E$25,$M303),"Ниже диапазона",IF(AND($F303&gt;=INDEX('Программа тренировок'!$F$6:$F$25,$M303),$G303&gt;=INDEX('Программа тренировок'!$L$6:$L$25,$M303)),"Верх диапазона: пора добавлять вес",IF($G303&lt;INDEX('Программа тренировок'!$L$6:$L$25,$M303),"RIR ниже цели","В диапазоне")))))</f>
        <v/>
      </c>
      <c r="M303" s="23" t="str">
        <f aca="false">IF($C303="","",IFERROR(MATCH($C303,'Программа тренировок'!$C$6:$C$25,0),""))</f>
        <v/>
      </c>
    </row>
    <row r="304" customFormat="false" ht="15" hidden="false" customHeight="true" outlineLevel="0" collapsed="false">
      <c r="A304" s="20"/>
      <c r="B304" s="21"/>
      <c r="C304" s="19"/>
      <c r="D304" s="18"/>
      <c r="E304" s="17"/>
      <c r="F304" s="18"/>
      <c r="G304" s="18"/>
      <c r="H304" s="21"/>
      <c r="I304" s="19"/>
      <c r="J304" s="8" t="str">
        <f aca="false">IF(OR(E304="",F304=""),"",E304*F304)</f>
        <v/>
      </c>
      <c r="K304" s="22" t="str">
        <f aca="false">IF($M304="","",INDEX('Программа тренировок'!$G$6:$G$25,$M304))</f>
        <v/>
      </c>
      <c r="L304" s="23" t="str">
        <f aca="false">IF(OR($M304="",$F304="",$G304=""),"",IF($H304="Разминка","Разминка",IF($F304&lt;INDEX('Программа тренировок'!$E$6:$E$25,$M304),"Ниже диапазона",IF(AND($F304&gt;=INDEX('Программа тренировок'!$F$6:$F$25,$M304),$G304&gt;=INDEX('Программа тренировок'!$L$6:$L$25,$M304)),"Верх диапазона: пора добавлять вес",IF($G304&lt;INDEX('Программа тренировок'!$L$6:$L$25,$M304),"RIR ниже цели","В диапазоне")))))</f>
        <v/>
      </c>
      <c r="M304" s="23" t="str">
        <f aca="false">IF($C304="","",IFERROR(MATCH($C304,'Программа тренировок'!$C$6:$C$25,0),""))</f>
        <v/>
      </c>
    </row>
    <row r="305" customFormat="false" ht="15" hidden="false" customHeight="true" outlineLevel="0" collapsed="false">
      <c r="A305" s="20"/>
      <c r="B305" s="21"/>
      <c r="C305" s="19"/>
      <c r="D305" s="18"/>
      <c r="E305" s="17"/>
      <c r="F305" s="18"/>
      <c r="G305" s="18"/>
      <c r="H305" s="21"/>
      <c r="I305" s="19"/>
      <c r="J305" s="8" t="str">
        <f aca="false">IF(OR(E305="",F305=""),"",E305*F305)</f>
        <v/>
      </c>
      <c r="K305" s="22" t="str">
        <f aca="false">IF($M305="","",INDEX('Программа тренировок'!$G$6:$G$25,$M305))</f>
        <v/>
      </c>
      <c r="L305" s="23" t="str">
        <f aca="false">IF(OR($M305="",$F305="",$G305=""),"",IF($H305="Разминка","Разминка",IF($F305&lt;INDEX('Программа тренировок'!$E$6:$E$25,$M305),"Ниже диапазона",IF(AND($F305&gt;=INDEX('Программа тренировок'!$F$6:$F$25,$M305),$G305&gt;=INDEX('Программа тренировок'!$L$6:$L$25,$M305)),"Верх диапазона: пора добавлять вес",IF($G305&lt;INDEX('Программа тренировок'!$L$6:$L$25,$M305),"RIR ниже цели","В диапазоне")))))</f>
        <v/>
      </c>
      <c r="M305" s="23" t="str">
        <f aca="false">IF($C305="","",IFERROR(MATCH($C305,'Программа тренировок'!$C$6:$C$25,0),""))</f>
        <v/>
      </c>
    </row>
    <row r="306" customFormat="false" ht="15" hidden="false" customHeight="true" outlineLevel="0" collapsed="false">
      <c r="A306" s="20"/>
      <c r="B306" s="21"/>
      <c r="C306" s="19"/>
      <c r="D306" s="18"/>
      <c r="E306" s="17"/>
      <c r="F306" s="18"/>
      <c r="G306" s="18"/>
      <c r="H306" s="21"/>
      <c r="I306" s="19"/>
      <c r="J306" s="8" t="str">
        <f aca="false">IF(OR(E306="",F306=""),"",E306*F306)</f>
        <v/>
      </c>
      <c r="K306" s="22" t="str">
        <f aca="false">IF($M306="","",INDEX('Программа тренировок'!$G$6:$G$25,$M306))</f>
        <v/>
      </c>
      <c r="L306" s="23" t="str">
        <f aca="false">IF(OR($M306="",$F306="",$G306=""),"",IF($H306="Разминка","Разминка",IF($F306&lt;INDEX('Программа тренировок'!$E$6:$E$25,$M306),"Ниже диапазона",IF(AND($F306&gt;=INDEX('Программа тренировок'!$F$6:$F$25,$M306),$G306&gt;=INDEX('Программа тренировок'!$L$6:$L$25,$M306)),"Верх диапазона: пора добавлять вес",IF($G306&lt;INDEX('Программа тренировок'!$L$6:$L$25,$M306),"RIR ниже цели","В диапазоне")))))</f>
        <v/>
      </c>
      <c r="M306" s="23" t="str">
        <f aca="false">IF($C306="","",IFERROR(MATCH($C306,'Программа тренировок'!$C$6:$C$25,0),""))</f>
        <v/>
      </c>
    </row>
    <row r="307" customFormat="false" ht="15" hidden="false" customHeight="true" outlineLevel="0" collapsed="false">
      <c r="A307" s="20"/>
      <c r="B307" s="21"/>
      <c r="C307" s="19"/>
      <c r="D307" s="18"/>
      <c r="E307" s="17"/>
      <c r="F307" s="18"/>
      <c r="G307" s="18"/>
      <c r="H307" s="21"/>
      <c r="I307" s="19"/>
      <c r="J307" s="8" t="str">
        <f aca="false">IF(OR(E307="",F307=""),"",E307*F307)</f>
        <v/>
      </c>
      <c r="K307" s="22" t="str">
        <f aca="false">IF($M307="","",INDEX('Программа тренировок'!$G$6:$G$25,$M307))</f>
        <v/>
      </c>
      <c r="L307" s="23" t="str">
        <f aca="false">IF(OR($M307="",$F307="",$G307=""),"",IF($H307="Разминка","Разминка",IF($F307&lt;INDEX('Программа тренировок'!$E$6:$E$25,$M307),"Ниже диапазона",IF(AND($F307&gt;=INDEX('Программа тренировок'!$F$6:$F$25,$M307),$G307&gt;=INDEX('Программа тренировок'!$L$6:$L$25,$M307)),"Верх диапазона: пора добавлять вес",IF($G307&lt;INDEX('Программа тренировок'!$L$6:$L$25,$M307),"RIR ниже цели","В диапазоне")))))</f>
        <v/>
      </c>
      <c r="M307" s="23" t="str">
        <f aca="false">IF($C307="","",IFERROR(MATCH($C307,'Программа тренировок'!$C$6:$C$25,0),""))</f>
        <v/>
      </c>
    </row>
    <row r="308" customFormat="false" ht="15" hidden="false" customHeight="true" outlineLevel="0" collapsed="false">
      <c r="A308" s="20"/>
      <c r="B308" s="21"/>
      <c r="C308" s="19"/>
      <c r="D308" s="18"/>
      <c r="E308" s="17"/>
      <c r="F308" s="18"/>
      <c r="G308" s="18"/>
      <c r="H308" s="21"/>
      <c r="I308" s="19"/>
      <c r="J308" s="8" t="str">
        <f aca="false">IF(OR(E308="",F308=""),"",E308*F308)</f>
        <v/>
      </c>
      <c r="K308" s="22" t="str">
        <f aca="false">IF($M308="","",INDEX('Программа тренировок'!$G$6:$G$25,$M308))</f>
        <v/>
      </c>
      <c r="L308" s="23" t="str">
        <f aca="false">IF(OR($M308="",$F308="",$G308=""),"",IF($H308="Разминка","Разминка",IF($F308&lt;INDEX('Программа тренировок'!$E$6:$E$25,$M308),"Ниже диапазона",IF(AND($F308&gt;=INDEX('Программа тренировок'!$F$6:$F$25,$M308),$G308&gt;=INDEX('Программа тренировок'!$L$6:$L$25,$M308)),"Верх диапазона: пора добавлять вес",IF($G308&lt;INDEX('Программа тренировок'!$L$6:$L$25,$M308),"RIR ниже цели","В диапазоне")))))</f>
        <v/>
      </c>
      <c r="M308" s="23" t="str">
        <f aca="false">IF($C308="","",IFERROR(MATCH($C308,'Программа тренировок'!$C$6:$C$25,0),""))</f>
        <v/>
      </c>
    </row>
    <row r="309" customFormat="false" ht="15" hidden="false" customHeight="true" outlineLevel="0" collapsed="false">
      <c r="A309" s="20"/>
      <c r="B309" s="21"/>
      <c r="C309" s="19"/>
      <c r="D309" s="18"/>
      <c r="E309" s="17"/>
      <c r="F309" s="18"/>
      <c r="G309" s="18"/>
      <c r="H309" s="21"/>
      <c r="I309" s="19"/>
      <c r="J309" s="8" t="str">
        <f aca="false">IF(OR(E309="",F309=""),"",E309*F309)</f>
        <v/>
      </c>
      <c r="K309" s="22" t="str">
        <f aca="false">IF($M309="","",INDEX('Программа тренировок'!$G$6:$G$25,$M309))</f>
        <v/>
      </c>
      <c r="L309" s="23" t="str">
        <f aca="false">IF(OR($M309="",$F309="",$G309=""),"",IF($H309="Разминка","Разминка",IF($F309&lt;INDEX('Программа тренировок'!$E$6:$E$25,$M309),"Ниже диапазона",IF(AND($F309&gt;=INDEX('Программа тренировок'!$F$6:$F$25,$M309),$G309&gt;=INDEX('Программа тренировок'!$L$6:$L$25,$M309)),"Верх диапазона: пора добавлять вес",IF($G309&lt;INDEX('Программа тренировок'!$L$6:$L$25,$M309),"RIR ниже цели","В диапазоне")))))</f>
        <v/>
      </c>
      <c r="M309" s="23" t="str">
        <f aca="false">IF($C309="","",IFERROR(MATCH($C309,'Программа тренировок'!$C$6:$C$25,0),""))</f>
        <v/>
      </c>
    </row>
    <row r="310" customFormat="false" ht="15" hidden="false" customHeight="true" outlineLevel="0" collapsed="false">
      <c r="A310" s="20"/>
      <c r="B310" s="21"/>
      <c r="C310" s="19"/>
      <c r="D310" s="18"/>
      <c r="E310" s="17"/>
      <c r="F310" s="18"/>
      <c r="G310" s="18"/>
      <c r="H310" s="21"/>
      <c r="I310" s="19"/>
      <c r="J310" s="8" t="str">
        <f aca="false">IF(OR(E310="",F310=""),"",E310*F310)</f>
        <v/>
      </c>
      <c r="K310" s="22" t="str">
        <f aca="false">IF($M310="","",INDEX('Программа тренировок'!$G$6:$G$25,$M310))</f>
        <v/>
      </c>
      <c r="L310" s="23" t="str">
        <f aca="false">IF(OR($M310="",$F310="",$G310=""),"",IF($H310="Разминка","Разминка",IF($F310&lt;INDEX('Программа тренировок'!$E$6:$E$25,$M310),"Ниже диапазона",IF(AND($F310&gt;=INDEX('Программа тренировок'!$F$6:$F$25,$M310),$G310&gt;=INDEX('Программа тренировок'!$L$6:$L$25,$M310)),"Верх диапазона: пора добавлять вес",IF($G310&lt;INDEX('Программа тренировок'!$L$6:$L$25,$M310),"RIR ниже цели","В диапазоне")))))</f>
        <v/>
      </c>
      <c r="M310" s="23" t="str">
        <f aca="false">IF($C310="","",IFERROR(MATCH($C310,'Программа тренировок'!$C$6:$C$25,0),""))</f>
        <v/>
      </c>
    </row>
    <row r="311" customFormat="false" ht="15" hidden="false" customHeight="true" outlineLevel="0" collapsed="false">
      <c r="A311" s="20"/>
      <c r="B311" s="21"/>
      <c r="C311" s="19"/>
      <c r="D311" s="18"/>
      <c r="E311" s="17"/>
      <c r="F311" s="18"/>
      <c r="G311" s="18"/>
      <c r="H311" s="21"/>
      <c r="I311" s="19"/>
      <c r="J311" s="8" t="str">
        <f aca="false">IF(OR(E311="",F311=""),"",E311*F311)</f>
        <v/>
      </c>
      <c r="K311" s="22" t="str">
        <f aca="false">IF($M311="","",INDEX('Программа тренировок'!$G$6:$G$25,$M311))</f>
        <v/>
      </c>
      <c r="L311" s="23" t="str">
        <f aca="false">IF(OR($M311="",$F311="",$G311=""),"",IF($H311="Разминка","Разминка",IF($F311&lt;INDEX('Программа тренировок'!$E$6:$E$25,$M311),"Ниже диапазона",IF(AND($F311&gt;=INDEX('Программа тренировок'!$F$6:$F$25,$M311),$G311&gt;=INDEX('Программа тренировок'!$L$6:$L$25,$M311)),"Верх диапазона: пора добавлять вес",IF($G311&lt;INDEX('Программа тренировок'!$L$6:$L$25,$M311),"RIR ниже цели","В диапазоне")))))</f>
        <v/>
      </c>
      <c r="M311" s="23" t="str">
        <f aca="false">IF($C311="","",IFERROR(MATCH($C311,'Программа тренировок'!$C$6:$C$25,0),""))</f>
        <v/>
      </c>
    </row>
    <row r="312" customFormat="false" ht="15" hidden="false" customHeight="true" outlineLevel="0" collapsed="false">
      <c r="A312" s="20"/>
      <c r="B312" s="21"/>
      <c r="C312" s="19"/>
      <c r="D312" s="18"/>
      <c r="E312" s="17"/>
      <c r="F312" s="18"/>
      <c r="G312" s="18"/>
      <c r="H312" s="21"/>
      <c r="I312" s="19"/>
      <c r="J312" s="8" t="str">
        <f aca="false">IF(OR(E312="",F312=""),"",E312*F312)</f>
        <v/>
      </c>
      <c r="K312" s="22" t="str">
        <f aca="false">IF($M312="","",INDEX('Программа тренировок'!$G$6:$G$25,$M312))</f>
        <v/>
      </c>
      <c r="L312" s="23" t="str">
        <f aca="false">IF(OR($M312="",$F312="",$G312=""),"",IF($H312="Разминка","Разминка",IF($F312&lt;INDEX('Программа тренировок'!$E$6:$E$25,$M312),"Ниже диапазона",IF(AND($F312&gt;=INDEX('Программа тренировок'!$F$6:$F$25,$M312),$G312&gt;=INDEX('Программа тренировок'!$L$6:$L$25,$M312)),"Верх диапазона: пора добавлять вес",IF($G312&lt;INDEX('Программа тренировок'!$L$6:$L$25,$M312),"RIR ниже цели","В диапазоне")))))</f>
        <v/>
      </c>
      <c r="M312" s="23" t="str">
        <f aca="false">IF($C312="","",IFERROR(MATCH($C312,'Программа тренировок'!$C$6:$C$25,0),""))</f>
        <v/>
      </c>
    </row>
    <row r="313" customFormat="false" ht="15" hidden="false" customHeight="true" outlineLevel="0" collapsed="false">
      <c r="A313" s="20"/>
      <c r="B313" s="21"/>
      <c r="C313" s="19"/>
      <c r="D313" s="18"/>
      <c r="E313" s="17"/>
      <c r="F313" s="18"/>
      <c r="G313" s="18"/>
      <c r="H313" s="21"/>
      <c r="I313" s="19"/>
      <c r="J313" s="8" t="str">
        <f aca="false">IF(OR(E313="",F313=""),"",E313*F313)</f>
        <v/>
      </c>
      <c r="K313" s="22" t="str">
        <f aca="false">IF($M313="","",INDEX('Программа тренировок'!$G$6:$G$25,$M313))</f>
        <v/>
      </c>
      <c r="L313" s="23" t="str">
        <f aca="false">IF(OR($M313="",$F313="",$G313=""),"",IF($H313="Разминка","Разминка",IF($F313&lt;INDEX('Программа тренировок'!$E$6:$E$25,$M313),"Ниже диапазона",IF(AND($F313&gt;=INDEX('Программа тренировок'!$F$6:$F$25,$M313),$G313&gt;=INDEX('Программа тренировок'!$L$6:$L$25,$M313)),"Верх диапазона: пора добавлять вес",IF($G313&lt;INDEX('Программа тренировок'!$L$6:$L$25,$M313),"RIR ниже цели","В диапазоне")))))</f>
        <v/>
      </c>
      <c r="M313" s="23" t="str">
        <f aca="false">IF($C313="","",IFERROR(MATCH($C313,'Программа тренировок'!$C$6:$C$25,0),""))</f>
        <v/>
      </c>
    </row>
    <row r="314" customFormat="false" ht="15" hidden="false" customHeight="true" outlineLevel="0" collapsed="false">
      <c r="A314" s="20"/>
      <c r="B314" s="21"/>
      <c r="C314" s="19"/>
      <c r="D314" s="18"/>
      <c r="E314" s="17"/>
      <c r="F314" s="18"/>
      <c r="G314" s="18"/>
      <c r="H314" s="21"/>
      <c r="I314" s="19"/>
      <c r="J314" s="8" t="str">
        <f aca="false">IF(OR(E314="",F314=""),"",E314*F314)</f>
        <v/>
      </c>
      <c r="K314" s="22" t="str">
        <f aca="false">IF($M314="","",INDEX('Программа тренировок'!$G$6:$G$25,$M314))</f>
        <v/>
      </c>
      <c r="L314" s="23" t="str">
        <f aca="false">IF(OR($M314="",$F314="",$G314=""),"",IF($H314="Разминка","Разминка",IF($F314&lt;INDEX('Программа тренировок'!$E$6:$E$25,$M314),"Ниже диапазона",IF(AND($F314&gt;=INDEX('Программа тренировок'!$F$6:$F$25,$M314),$G314&gt;=INDEX('Программа тренировок'!$L$6:$L$25,$M314)),"Верх диапазона: пора добавлять вес",IF($G314&lt;INDEX('Программа тренировок'!$L$6:$L$25,$M314),"RIR ниже цели","В диапазоне")))))</f>
        <v/>
      </c>
      <c r="M314" s="23" t="str">
        <f aca="false">IF($C314="","",IFERROR(MATCH($C314,'Программа тренировок'!$C$6:$C$25,0),""))</f>
        <v/>
      </c>
    </row>
    <row r="315" customFormat="false" ht="15" hidden="false" customHeight="true" outlineLevel="0" collapsed="false">
      <c r="A315" s="20"/>
      <c r="B315" s="21"/>
      <c r="C315" s="19"/>
      <c r="D315" s="18"/>
      <c r="E315" s="17"/>
      <c r="F315" s="18"/>
      <c r="G315" s="18"/>
      <c r="H315" s="21"/>
      <c r="I315" s="19"/>
      <c r="J315" s="8" t="str">
        <f aca="false">IF(OR(E315="",F315=""),"",E315*F315)</f>
        <v/>
      </c>
      <c r="K315" s="22" t="str">
        <f aca="false">IF($M315="","",INDEX('Программа тренировок'!$G$6:$G$25,$M315))</f>
        <v/>
      </c>
      <c r="L315" s="23" t="str">
        <f aca="false">IF(OR($M315="",$F315="",$G315=""),"",IF($H315="Разминка","Разминка",IF($F315&lt;INDEX('Программа тренировок'!$E$6:$E$25,$M315),"Ниже диапазона",IF(AND($F315&gt;=INDEX('Программа тренировок'!$F$6:$F$25,$M315),$G315&gt;=INDEX('Программа тренировок'!$L$6:$L$25,$M315)),"Верх диапазона: пора добавлять вес",IF($G315&lt;INDEX('Программа тренировок'!$L$6:$L$25,$M315),"RIR ниже цели","В диапазоне")))))</f>
        <v/>
      </c>
      <c r="M315" s="23" t="str">
        <f aca="false">IF($C315="","",IFERROR(MATCH($C315,'Программа тренировок'!$C$6:$C$25,0),""))</f>
        <v/>
      </c>
    </row>
    <row r="316" customFormat="false" ht="15" hidden="false" customHeight="true" outlineLevel="0" collapsed="false">
      <c r="A316" s="20"/>
      <c r="B316" s="21"/>
      <c r="C316" s="19"/>
      <c r="D316" s="18"/>
      <c r="E316" s="17"/>
      <c r="F316" s="18"/>
      <c r="G316" s="18"/>
      <c r="H316" s="21"/>
      <c r="I316" s="19"/>
      <c r="J316" s="8" t="str">
        <f aca="false">IF(OR(E316="",F316=""),"",E316*F316)</f>
        <v/>
      </c>
      <c r="K316" s="22" t="str">
        <f aca="false">IF($M316="","",INDEX('Программа тренировок'!$G$6:$G$25,$M316))</f>
        <v/>
      </c>
      <c r="L316" s="23" t="str">
        <f aca="false">IF(OR($M316="",$F316="",$G316=""),"",IF($H316="Разминка","Разминка",IF($F316&lt;INDEX('Программа тренировок'!$E$6:$E$25,$M316),"Ниже диапазона",IF(AND($F316&gt;=INDEX('Программа тренировок'!$F$6:$F$25,$M316),$G316&gt;=INDEX('Программа тренировок'!$L$6:$L$25,$M316)),"Верх диапазона: пора добавлять вес",IF($G316&lt;INDEX('Программа тренировок'!$L$6:$L$25,$M316),"RIR ниже цели","В диапазоне")))))</f>
        <v/>
      </c>
      <c r="M316" s="23" t="str">
        <f aca="false">IF($C316="","",IFERROR(MATCH($C316,'Программа тренировок'!$C$6:$C$25,0),""))</f>
        <v/>
      </c>
    </row>
    <row r="317" customFormat="false" ht="15" hidden="false" customHeight="true" outlineLevel="0" collapsed="false">
      <c r="A317" s="20"/>
      <c r="B317" s="21"/>
      <c r="C317" s="19"/>
      <c r="D317" s="18"/>
      <c r="E317" s="17"/>
      <c r="F317" s="18"/>
      <c r="G317" s="18"/>
      <c r="H317" s="21"/>
      <c r="I317" s="19"/>
      <c r="J317" s="8" t="str">
        <f aca="false">IF(OR(E317="",F317=""),"",E317*F317)</f>
        <v/>
      </c>
      <c r="K317" s="22" t="str">
        <f aca="false">IF($M317="","",INDEX('Программа тренировок'!$G$6:$G$25,$M317))</f>
        <v/>
      </c>
      <c r="L317" s="23" t="str">
        <f aca="false">IF(OR($M317="",$F317="",$G317=""),"",IF($H317="Разминка","Разминка",IF($F317&lt;INDEX('Программа тренировок'!$E$6:$E$25,$M317),"Ниже диапазона",IF(AND($F317&gt;=INDEX('Программа тренировок'!$F$6:$F$25,$M317),$G317&gt;=INDEX('Программа тренировок'!$L$6:$L$25,$M317)),"Верх диапазона: пора добавлять вес",IF($G317&lt;INDEX('Программа тренировок'!$L$6:$L$25,$M317),"RIR ниже цели","В диапазоне")))))</f>
        <v/>
      </c>
      <c r="M317" s="23" t="str">
        <f aca="false">IF($C317="","",IFERROR(MATCH($C317,'Программа тренировок'!$C$6:$C$25,0),""))</f>
        <v/>
      </c>
    </row>
    <row r="318" customFormat="false" ht="15" hidden="false" customHeight="true" outlineLevel="0" collapsed="false">
      <c r="A318" s="20"/>
      <c r="B318" s="21"/>
      <c r="C318" s="19"/>
      <c r="D318" s="18"/>
      <c r="E318" s="17"/>
      <c r="F318" s="18"/>
      <c r="G318" s="18"/>
      <c r="H318" s="21"/>
      <c r="I318" s="19"/>
      <c r="J318" s="8" t="str">
        <f aca="false">IF(OR(E318="",F318=""),"",E318*F318)</f>
        <v/>
      </c>
      <c r="K318" s="22" t="str">
        <f aca="false">IF($M318="","",INDEX('Программа тренировок'!$G$6:$G$25,$M318))</f>
        <v/>
      </c>
      <c r="L318" s="23" t="str">
        <f aca="false">IF(OR($M318="",$F318="",$G318=""),"",IF($H318="Разминка","Разминка",IF($F318&lt;INDEX('Программа тренировок'!$E$6:$E$25,$M318),"Ниже диапазона",IF(AND($F318&gt;=INDEX('Программа тренировок'!$F$6:$F$25,$M318),$G318&gt;=INDEX('Программа тренировок'!$L$6:$L$25,$M318)),"Верх диапазона: пора добавлять вес",IF($G318&lt;INDEX('Программа тренировок'!$L$6:$L$25,$M318),"RIR ниже цели","В диапазоне")))))</f>
        <v/>
      </c>
      <c r="M318" s="23" t="str">
        <f aca="false">IF($C318="","",IFERROR(MATCH($C318,'Программа тренировок'!$C$6:$C$25,0),""))</f>
        <v/>
      </c>
    </row>
    <row r="319" customFormat="false" ht="15" hidden="false" customHeight="true" outlineLevel="0" collapsed="false">
      <c r="A319" s="20"/>
      <c r="B319" s="21"/>
      <c r="C319" s="19"/>
      <c r="D319" s="18"/>
      <c r="E319" s="17"/>
      <c r="F319" s="18"/>
      <c r="G319" s="18"/>
      <c r="H319" s="21"/>
      <c r="I319" s="19"/>
      <c r="J319" s="8" t="str">
        <f aca="false">IF(OR(E319="",F319=""),"",E319*F319)</f>
        <v/>
      </c>
      <c r="K319" s="22" t="str">
        <f aca="false">IF($M319="","",INDEX('Программа тренировок'!$G$6:$G$25,$M319))</f>
        <v/>
      </c>
      <c r="L319" s="23" t="str">
        <f aca="false">IF(OR($M319="",$F319="",$G319=""),"",IF($H319="Разминка","Разминка",IF($F319&lt;INDEX('Программа тренировок'!$E$6:$E$25,$M319),"Ниже диапазона",IF(AND($F319&gt;=INDEX('Программа тренировок'!$F$6:$F$25,$M319),$G319&gt;=INDEX('Программа тренировок'!$L$6:$L$25,$M319)),"Верх диапазона: пора добавлять вес",IF($G319&lt;INDEX('Программа тренировок'!$L$6:$L$25,$M319),"RIR ниже цели","В диапазоне")))))</f>
        <v/>
      </c>
      <c r="M319" s="23" t="str">
        <f aca="false">IF($C319="","",IFERROR(MATCH($C319,'Программа тренировок'!$C$6:$C$25,0),""))</f>
        <v/>
      </c>
    </row>
    <row r="320" customFormat="false" ht="15" hidden="false" customHeight="true" outlineLevel="0" collapsed="false">
      <c r="A320" s="20"/>
      <c r="B320" s="21"/>
      <c r="C320" s="19"/>
      <c r="D320" s="18"/>
      <c r="E320" s="17"/>
      <c r="F320" s="18"/>
      <c r="G320" s="18"/>
      <c r="H320" s="21"/>
      <c r="I320" s="19"/>
      <c r="J320" s="8" t="str">
        <f aca="false">IF(OR(E320="",F320=""),"",E320*F320)</f>
        <v/>
      </c>
      <c r="K320" s="22" t="str">
        <f aca="false">IF($M320="","",INDEX('Программа тренировок'!$G$6:$G$25,$M320))</f>
        <v/>
      </c>
      <c r="L320" s="23" t="str">
        <f aca="false">IF(OR($M320="",$F320="",$G320=""),"",IF($H320="Разминка","Разминка",IF($F320&lt;INDEX('Программа тренировок'!$E$6:$E$25,$M320),"Ниже диапазона",IF(AND($F320&gt;=INDEX('Программа тренировок'!$F$6:$F$25,$M320),$G320&gt;=INDEX('Программа тренировок'!$L$6:$L$25,$M320)),"Верх диапазона: пора добавлять вес",IF($G320&lt;INDEX('Программа тренировок'!$L$6:$L$25,$M320),"RIR ниже цели","В диапазоне")))))</f>
        <v/>
      </c>
      <c r="M320" s="23" t="str">
        <f aca="false">IF($C320="","",IFERROR(MATCH($C320,'Программа тренировок'!$C$6:$C$25,0),""))</f>
        <v/>
      </c>
    </row>
    <row r="321" customFormat="false" ht="15" hidden="false" customHeight="true" outlineLevel="0" collapsed="false">
      <c r="A321" s="20"/>
      <c r="B321" s="21"/>
      <c r="C321" s="19"/>
      <c r="D321" s="18"/>
      <c r="E321" s="17"/>
      <c r="F321" s="18"/>
      <c r="G321" s="18"/>
      <c r="H321" s="21"/>
      <c r="I321" s="19"/>
      <c r="J321" s="8" t="str">
        <f aca="false">IF(OR(E321="",F321=""),"",E321*F321)</f>
        <v/>
      </c>
      <c r="K321" s="22" t="str">
        <f aca="false">IF($M321="","",INDEX('Программа тренировок'!$G$6:$G$25,$M321))</f>
        <v/>
      </c>
      <c r="L321" s="23" t="str">
        <f aca="false">IF(OR($M321="",$F321="",$G321=""),"",IF($H321="Разминка","Разминка",IF($F321&lt;INDEX('Программа тренировок'!$E$6:$E$25,$M321),"Ниже диапазона",IF(AND($F321&gt;=INDEX('Программа тренировок'!$F$6:$F$25,$M321),$G321&gt;=INDEX('Программа тренировок'!$L$6:$L$25,$M321)),"Верх диапазона: пора добавлять вес",IF($G321&lt;INDEX('Программа тренировок'!$L$6:$L$25,$M321),"RIR ниже цели","В диапазоне")))))</f>
        <v/>
      </c>
      <c r="M321" s="23" t="str">
        <f aca="false">IF($C321="","",IFERROR(MATCH($C321,'Программа тренировок'!$C$6:$C$25,0),""))</f>
        <v/>
      </c>
    </row>
    <row r="322" customFormat="false" ht="15" hidden="false" customHeight="true" outlineLevel="0" collapsed="false">
      <c r="A322" s="20"/>
      <c r="B322" s="21"/>
      <c r="C322" s="19"/>
      <c r="D322" s="18"/>
      <c r="E322" s="17"/>
      <c r="F322" s="18"/>
      <c r="G322" s="18"/>
      <c r="H322" s="21"/>
      <c r="I322" s="19"/>
      <c r="J322" s="8" t="str">
        <f aca="false">IF(OR(E322="",F322=""),"",E322*F322)</f>
        <v/>
      </c>
      <c r="K322" s="22" t="str">
        <f aca="false">IF($M322="","",INDEX('Программа тренировок'!$G$6:$G$25,$M322))</f>
        <v/>
      </c>
      <c r="L322" s="23" t="str">
        <f aca="false">IF(OR($M322="",$F322="",$G322=""),"",IF($H322="Разминка","Разминка",IF($F322&lt;INDEX('Программа тренировок'!$E$6:$E$25,$M322),"Ниже диапазона",IF(AND($F322&gt;=INDEX('Программа тренировок'!$F$6:$F$25,$M322),$G322&gt;=INDEX('Программа тренировок'!$L$6:$L$25,$M322)),"Верх диапазона: пора добавлять вес",IF($G322&lt;INDEX('Программа тренировок'!$L$6:$L$25,$M322),"RIR ниже цели","В диапазоне")))))</f>
        <v/>
      </c>
      <c r="M322" s="23" t="str">
        <f aca="false">IF($C322="","",IFERROR(MATCH($C322,'Программа тренировок'!$C$6:$C$25,0),""))</f>
        <v/>
      </c>
    </row>
    <row r="323" customFormat="false" ht="15" hidden="false" customHeight="true" outlineLevel="0" collapsed="false">
      <c r="A323" s="20"/>
      <c r="B323" s="21"/>
      <c r="C323" s="19"/>
      <c r="D323" s="18"/>
      <c r="E323" s="17"/>
      <c r="F323" s="18"/>
      <c r="G323" s="18"/>
      <c r="H323" s="21"/>
      <c r="I323" s="19"/>
      <c r="J323" s="8" t="str">
        <f aca="false">IF(OR(E323="",F323=""),"",E323*F323)</f>
        <v/>
      </c>
      <c r="K323" s="22" t="str">
        <f aca="false">IF($M323="","",INDEX('Программа тренировок'!$G$6:$G$25,$M323))</f>
        <v/>
      </c>
      <c r="L323" s="23" t="str">
        <f aca="false">IF(OR($M323="",$F323="",$G323=""),"",IF($H323="Разминка","Разминка",IF($F323&lt;INDEX('Программа тренировок'!$E$6:$E$25,$M323),"Ниже диапазона",IF(AND($F323&gt;=INDEX('Программа тренировок'!$F$6:$F$25,$M323),$G323&gt;=INDEX('Программа тренировок'!$L$6:$L$25,$M323)),"Верх диапазона: пора добавлять вес",IF($G323&lt;INDEX('Программа тренировок'!$L$6:$L$25,$M323),"RIR ниже цели","В диапазоне")))))</f>
        <v/>
      </c>
      <c r="M323" s="23" t="str">
        <f aca="false">IF($C323="","",IFERROR(MATCH($C323,'Программа тренировок'!$C$6:$C$25,0),""))</f>
        <v/>
      </c>
    </row>
    <row r="324" customFormat="false" ht="15" hidden="false" customHeight="true" outlineLevel="0" collapsed="false">
      <c r="A324" s="20"/>
      <c r="B324" s="21"/>
      <c r="C324" s="19"/>
      <c r="D324" s="18"/>
      <c r="E324" s="17"/>
      <c r="F324" s="18"/>
      <c r="G324" s="18"/>
      <c r="H324" s="21"/>
      <c r="I324" s="19"/>
      <c r="J324" s="8" t="str">
        <f aca="false">IF(OR(E324="",F324=""),"",E324*F324)</f>
        <v/>
      </c>
      <c r="K324" s="22" t="str">
        <f aca="false">IF($M324="","",INDEX('Программа тренировок'!$G$6:$G$25,$M324))</f>
        <v/>
      </c>
      <c r="L324" s="23" t="str">
        <f aca="false">IF(OR($M324="",$F324="",$G324=""),"",IF($H324="Разминка","Разминка",IF($F324&lt;INDEX('Программа тренировок'!$E$6:$E$25,$M324),"Ниже диапазона",IF(AND($F324&gt;=INDEX('Программа тренировок'!$F$6:$F$25,$M324),$G324&gt;=INDEX('Программа тренировок'!$L$6:$L$25,$M324)),"Верх диапазона: пора добавлять вес",IF($G324&lt;INDEX('Программа тренировок'!$L$6:$L$25,$M324),"RIR ниже цели","В диапазоне")))))</f>
        <v/>
      </c>
      <c r="M324" s="23" t="str">
        <f aca="false">IF($C324="","",IFERROR(MATCH($C324,'Программа тренировок'!$C$6:$C$25,0),""))</f>
        <v/>
      </c>
    </row>
    <row r="325" customFormat="false" ht="15" hidden="false" customHeight="true" outlineLevel="0" collapsed="false">
      <c r="A325" s="20"/>
      <c r="B325" s="21"/>
      <c r="C325" s="19"/>
      <c r="D325" s="18"/>
      <c r="E325" s="17"/>
      <c r="F325" s="18"/>
      <c r="G325" s="18"/>
      <c r="H325" s="21"/>
      <c r="I325" s="19"/>
      <c r="J325" s="8" t="str">
        <f aca="false">IF(OR(E325="",F325=""),"",E325*F325)</f>
        <v/>
      </c>
      <c r="K325" s="22" t="str">
        <f aca="false">IF($M325="","",INDEX('Программа тренировок'!$G$6:$G$25,$M325))</f>
        <v/>
      </c>
      <c r="L325" s="23" t="str">
        <f aca="false">IF(OR($M325="",$F325="",$G325=""),"",IF($H325="Разминка","Разминка",IF($F325&lt;INDEX('Программа тренировок'!$E$6:$E$25,$M325),"Ниже диапазона",IF(AND($F325&gt;=INDEX('Программа тренировок'!$F$6:$F$25,$M325),$G325&gt;=INDEX('Программа тренировок'!$L$6:$L$25,$M325)),"Верх диапазона: пора добавлять вес",IF($G325&lt;INDEX('Программа тренировок'!$L$6:$L$25,$M325),"RIR ниже цели","В диапазоне")))))</f>
        <v/>
      </c>
      <c r="M325" s="23" t="str">
        <f aca="false">IF($C325="","",IFERROR(MATCH($C325,'Программа тренировок'!$C$6:$C$25,0),""))</f>
        <v/>
      </c>
    </row>
    <row r="326" customFormat="false" ht="15" hidden="false" customHeight="true" outlineLevel="0" collapsed="false">
      <c r="A326" s="20"/>
      <c r="B326" s="21"/>
      <c r="C326" s="19"/>
      <c r="D326" s="18"/>
      <c r="E326" s="17"/>
      <c r="F326" s="18"/>
      <c r="G326" s="18"/>
      <c r="H326" s="21"/>
      <c r="I326" s="19"/>
      <c r="J326" s="8" t="str">
        <f aca="false">IF(OR(E326="",F326=""),"",E326*F326)</f>
        <v/>
      </c>
      <c r="K326" s="22" t="str">
        <f aca="false">IF($M326="","",INDEX('Программа тренировок'!$G$6:$G$25,$M326))</f>
        <v/>
      </c>
      <c r="L326" s="23" t="str">
        <f aca="false">IF(OR($M326="",$F326="",$G326=""),"",IF($H326="Разминка","Разминка",IF($F326&lt;INDEX('Программа тренировок'!$E$6:$E$25,$M326),"Ниже диапазона",IF(AND($F326&gt;=INDEX('Программа тренировок'!$F$6:$F$25,$M326),$G326&gt;=INDEX('Программа тренировок'!$L$6:$L$25,$M326)),"Верх диапазона: пора добавлять вес",IF($G326&lt;INDEX('Программа тренировок'!$L$6:$L$25,$M326),"RIR ниже цели","В диапазоне")))))</f>
        <v/>
      </c>
      <c r="M326" s="23" t="str">
        <f aca="false">IF($C326="","",IFERROR(MATCH($C326,'Программа тренировок'!$C$6:$C$25,0),""))</f>
        <v/>
      </c>
    </row>
    <row r="327" customFormat="false" ht="15" hidden="false" customHeight="true" outlineLevel="0" collapsed="false">
      <c r="A327" s="20"/>
      <c r="B327" s="21"/>
      <c r="C327" s="19"/>
      <c r="D327" s="18"/>
      <c r="E327" s="17"/>
      <c r="F327" s="18"/>
      <c r="G327" s="18"/>
      <c r="H327" s="21"/>
      <c r="I327" s="19"/>
      <c r="J327" s="8" t="str">
        <f aca="false">IF(OR(E327="",F327=""),"",E327*F327)</f>
        <v/>
      </c>
      <c r="K327" s="22" t="str">
        <f aca="false">IF($M327="","",INDEX('Программа тренировок'!$G$6:$G$25,$M327))</f>
        <v/>
      </c>
      <c r="L327" s="23" t="str">
        <f aca="false">IF(OR($M327="",$F327="",$G327=""),"",IF($H327="Разминка","Разминка",IF($F327&lt;INDEX('Программа тренировок'!$E$6:$E$25,$M327),"Ниже диапазона",IF(AND($F327&gt;=INDEX('Программа тренировок'!$F$6:$F$25,$M327),$G327&gt;=INDEX('Программа тренировок'!$L$6:$L$25,$M327)),"Верх диапазона: пора добавлять вес",IF($G327&lt;INDEX('Программа тренировок'!$L$6:$L$25,$M327),"RIR ниже цели","В диапазоне")))))</f>
        <v/>
      </c>
      <c r="M327" s="23" t="str">
        <f aca="false">IF($C327="","",IFERROR(MATCH($C327,'Программа тренировок'!$C$6:$C$25,0),""))</f>
        <v/>
      </c>
    </row>
    <row r="328" customFormat="false" ht="15" hidden="false" customHeight="true" outlineLevel="0" collapsed="false">
      <c r="A328" s="20"/>
      <c r="B328" s="21"/>
      <c r="C328" s="19"/>
      <c r="D328" s="18"/>
      <c r="E328" s="17"/>
      <c r="F328" s="18"/>
      <c r="G328" s="18"/>
      <c r="H328" s="21"/>
      <c r="I328" s="19"/>
      <c r="J328" s="8" t="str">
        <f aca="false">IF(OR(E328="",F328=""),"",E328*F328)</f>
        <v/>
      </c>
      <c r="K328" s="22" t="str">
        <f aca="false">IF($M328="","",INDEX('Программа тренировок'!$G$6:$G$25,$M328))</f>
        <v/>
      </c>
      <c r="L328" s="23" t="str">
        <f aca="false">IF(OR($M328="",$F328="",$G328=""),"",IF($H328="Разминка","Разминка",IF($F328&lt;INDEX('Программа тренировок'!$E$6:$E$25,$M328),"Ниже диапазона",IF(AND($F328&gt;=INDEX('Программа тренировок'!$F$6:$F$25,$M328),$G328&gt;=INDEX('Программа тренировок'!$L$6:$L$25,$M328)),"Верх диапазона: пора добавлять вес",IF($G328&lt;INDEX('Программа тренировок'!$L$6:$L$25,$M328),"RIR ниже цели","В диапазоне")))))</f>
        <v/>
      </c>
      <c r="M328" s="23" t="str">
        <f aca="false">IF($C328="","",IFERROR(MATCH($C328,'Программа тренировок'!$C$6:$C$25,0),""))</f>
        <v/>
      </c>
    </row>
    <row r="329" customFormat="false" ht="15" hidden="false" customHeight="true" outlineLevel="0" collapsed="false">
      <c r="A329" s="20"/>
      <c r="B329" s="21"/>
      <c r="C329" s="19"/>
      <c r="D329" s="18"/>
      <c r="E329" s="17"/>
      <c r="F329" s="18"/>
      <c r="G329" s="18"/>
      <c r="H329" s="21"/>
      <c r="I329" s="19"/>
      <c r="J329" s="8" t="str">
        <f aca="false">IF(OR(E329="",F329=""),"",E329*F329)</f>
        <v/>
      </c>
      <c r="K329" s="22" t="str">
        <f aca="false">IF($M329="","",INDEX('Программа тренировок'!$G$6:$G$25,$M329))</f>
        <v/>
      </c>
      <c r="L329" s="23" t="str">
        <f aca="false">IF(OR($M329="",$F329="",$G329=""),"",IF($H329="Разминка","Разминка",IF($F329&lt;INDEX('Программа тренировок'!$E$6:$E$25,$M329),"Ниже диапазона",IF(AND($F329&gt;=INDEX('Программа тренировок'!$F$6:$F$25,$M329),$G329&gt;=INDEX('Программа тренировок'!$L$6:$L$25,$M329)),"Верх диапазона: пора добавлять вес",IF($G329&lt;INDEX('Программа тренировок'!$L$6:$L$25,$M329),"RIR ниже цели","В диапазоне")))))</f>
        <v/>
      </c>
      <c r="M329" s="23" t="str">
        <f aca="false">IF($C329="","",IFERROR(MATCH($C329,'Программа тренировок'!$C$6:$C$25,0),""))</f>
        <v/>
      </c>
    </row>
    <row r="330" customFormat="false" ht="15" hidden="false" customHeight="true" outlineLevel="0" collapsed="false">
      <c r="A330" s="20"/>
      <c r="B330" s="21"/>
      <c r="C330" s="19"/>
      <c r="D330" s="18"/>
      <c r="E330" s="17"/>
      <c r="F330" s="18"/>
      <c r="G330" s="18"/>
      <c r="H330" s="21"/>
      <c r="I330" s="19"/>
      <c r="J330" s="8" t="str">
        <f aca="false">IF(OR(E330="",F330=""),"",E330*F330)</f>
        <v/>
      </c>
      <c r="K330" s="22" t="str">
        <f aca="false">IF($M330="","",INDEX('Программа тренировок'!$G$6:$G$25,$M330))</f>
        <v/>
      </c>
      <c r="L330" s="23" t="str">
        <f aca="false">IF(OR($M330="",$F330="",$G330=""),"",IF($H330="Разминка","Разминка",IF($F330&lt;INDEX('Программа тренировок'!$E$6:$E$25,$M330),"Ниже диапазона",IF(AND($F330&gt;=INDEX('Программа тренировок'!$F$6:$F$25,$M330),$G330&gt;=INDEX('Программа тренировок'!$L$6:$L$25,$M330)),"Верх диапазона: пора добавлять вес",IF($G330&lt;INDEX('Программа тренировок'!$L$6:$L$25,$M330),"RIR ниже цели","В диапазоне")))))</f>
        <v/>
      </c>
      <c r="M330" s="23" t="str">
        <f aca="false">IF($C330="","",IFERROR(MATCH($C330,'Программа тренировок'!$C$6:$C$25,0),""))</f>
        <v/>
      </c>
    </row>
    <row r="331" customFormat="false" ht="15" hidden="false" customHeight="true" outlineLevel="0" collapsed="false">
      <c r="A331" s="20"/>
      <c r="B331" s="21"/>
      <c r="C331" s="19"/>
      <c r="D331" s="18"/>
      <c r="E331" s="17"/>
      <c r="F331" s="18"/>
      <c r="G331" s="18"/>
      <c r="H331" s="21"/>
      <c r="I331" s="19"/>
      <c r="J331" s="8" t="str">
        <f aca="false">IF(OR(E331="",F331=""),"",E331*F331)</f>
        <v/>
      </c>
      <c r="K331" s="22" t="str">
        <f aca="false">IF($M331="","",INDEX('Программа тренировок'!$G$6:$G$25,$M331))</f>
        <v/>
      </c>
      <c r="L331" s="23" t="str">
        <f aca="false">IF(OR($M331="",$F331="",$G331=""),"",IF($H331="Разминка","Разминка",IF($F331&lt;INDEX('Программа тренировок'!$E$6:$E$25,$M331),"Ниже диапазона",IF(AND($F331&gt;=INDEX('Программа тренировок'!$F$6:$F$25,$M331),$G331&gt;=INDEX('Программа тренировок'!$L$6:$L$25,$M331)),"Верх диапазона: пора добавлять вес",IF($G331&lt;INDEX('Программа тренировок'!$L$6:$L$25,$M331),"RIR ниже цели","В диапазоне")))))</f>
        <v/>
      </c>
      <c r="M331" s="23" t="str">
        <f aca="false">IF($C331="","",IFERROR(MATCH($C331,'Программа тренировок'!$C$6:$C$25,0),""))</f>
        <v/>
      </c>
    </row>
    <row r="332" customFormat="false" ht="15" hidden="false" customHeight="true" outlineLevel="0" collapsed="false">
      <c r="A332" s="20"/>
      <c r="B332" s="21"/>
      <c r="C332" s="19"/>
      <c r="D332" s="18"/>
      <c r="E332" s="17"/>
      <c r="F332" s="18"/>
      <c r="G332" s="18"/>
      <c r="H332" s="21"/>
      <c r="I332" s="19"/>
      <c r="J332" s="8" t="str">
        <f aca="false">IF(OR(E332="",F332=""),"",E332*F332)</f>
        <v/>
      </c>
      <c r="K332" s="22" t="str">
        <f aca="false">IF($M332="","",INDEX('Программа тренировок'!$G$6:$G$25,$M332))</f>
        <v/>
      </c>
      <c r="L332" s="23" t="str">
        <f aca="false">IF(OR($M332="",$F332="",$G332=""),"",IF($H332="Разминка","Разминка",IF($F332&lt;INDEX('Программа тренировок'!$E$6:$E$25,$M332),"Ниже диапазона",IF(AND($F332&gt;=INDEX('Программа тренировок'!$F$6:$F$25,$M332),$G332&gt;=INDEX('Программа тренировок'!$L$6:$L$25,$M332)),"Верх диапазона: пора добавлять вес",IF($G332&lt;INDEX('Программа тренировок'!$L$6:$L$25,$M332),"RIR ниже цели","В диапазоне")))))</f>
        <v/>
      </c>
      <c r="M332" s="23" t="str">
        <f aca="false">IF($C332="","",IFERROR(MATCH($C332,'Программа тренировок'!$C$6:$C$25,0),""))</f>
        <v/>
      </c>
    </row>
    <row r="333" customFormat="false" ht="15" hidden="false" customHeight="true" outlineLevel="0" collapsed="false">
      <c r="A333" s="20"/>
      <c r="B333" s="21"/>
      <c r="C333" s="19"/>
      <c r="D333" s="18"/>
      <c r="E333" s="17"/>
      <c r="F333" s="18"/>
      <c r="G333" s="18"/>
      <c r="H333" s="21"/>
      <c r="I333" s="19"/>
      <c r="J333" s="8" t="str">
        <f aca="false">IF(OR(E333="",F333=""),"",E333*F333)</f>
        <v/>
      </c>
      <c r="K333" s="22" t="str">
        <f aca="false">IF($M333="","",INDEX('Программа тренировок'!$G$6:$G$25,$M333))</f>
        <v/>
      </c>
      <c r="L333" s="23" t="str">
        <f aca="false">IF(OR($M333="",$F333="",$G333=""),"",IF($H333="Разминка","Разминка",IF($F333&lt;INDEX('Программа тренировок'!$E$6:$E$25,$M333),"Ниже диапазона",IF(AND($F333&gt;=INDEX('Программа тренировок'!$F$6:$F$25,$M333),$G333&gt;=INDEX('Программа тренировок'!$L$6:$L$25,$M333)),"Верх диапазона: пора добавлять вес",IF($G333&lt;INDEX('Программа тренировок'!$L$6:$L$25,$M333),"RIR ниже цели","В диапазоне")))))</f>
        <v/>
      </c>
      <c r="M333" s="23" t="str">
        <f aca="false">IF($C333="","",IFERROR(MATCH($C333,'Программа тренировок'!$C$6:$C$25,0),""))</f>
        <v/>
      </c>
    </row>
    <row r="334" customFormat="false" ht="15" hidden="false" customHeight="true" outlineLevel="0" collapsed="false">
      <c r="A334" s="20"/>
      <c r="B334" s="21"/>
      <c r="C334" s="19"/>
      <c r="D334" s="18"/>
      <c r="E334" s="17"/>
      <c r="F334" s="18"/>
      <c r="G334" s="18"/>
      <c r="H334" s="21"/>
      <c r="I334" s="19"/>
      <c r="J334" s="8" t="str">
        <f aca="false">IF(OR(E334="",F334=""),"",E334*F334)</f>
        <v/>
      </c>
      <c r="K334" s="22" t="str">
        <f aca="false">IF($M334="","",INDEX('Программа тренировок'!$G$6:$G$25,$M334))</f>
        <v/>
      </c>
      <c r="L334" s="23" t="str">
        <f aca="false">IF(OR($M334="",$F334="",$G334=""),"",IF($H334="Разминка","Разминка",IF($F334&lt;INDEX('Программа тренировок'!$E$6:$E$25,$M334),"Ниже диапазона",IF(AND($F334&gt;=INDEX('Программа тренировок'!$F$6:$F$25,$M334),$G334&gt;=INDEX('Программа тренировок'!$L$6:$L$25,$M334)),"Верх диапазона: пора добавлять вес",IF($G334&lt;INDEX('Программа тренировок'!$L$6:$L$25,$M334),"RIR ниже цели","В диапазоне")))))</f>
        <v/>
      </c>
      <c r="M334" s="23" t="str">
        <f aca="false">IF($C334="","",IFERROR(MATCH($C334,'Программа тренировок'!$C$6:$C$25,0),""))</f>
        <v/>
      </c>
    </row>
    <row r="335" customFormat="false" ht="15" hidden="false" customHeight="true" outlineLevel="0" collapsed="false">
      <c r="A335" s="20"/>
      <c r="B335" s="21"/>
      <c r="C335" s="19"/>
      <c r="D335" s="18"/>
      <c r="E335" s="17"/>
      <c r="F335" s="18"/>
      <c r="G335" s="18"/>
      <c r="H335" s="21"/>
      <c r="I335" s="19"/>
      <c r="J335" s="8" t="str">
        <f aca="false">IF(OR(E335="",F335=""),"",E335*F335)</f>
        <v/>
      </c>
      <c r="K335" s="22" t="str">
        <f aca="false">IF($M335="","",INDEX('Программа тренировок'!$G$6:$G$25,$M335))</f>
        <v/>
      </c>
      <c r="L335" s="23" t="str">
        <f aca="false">IF(OR($M335="",$F335="",$G335=""),"",IF($H335="Разминка","Разминка",IF($F335&lt;INDEX('Программа тренировок'!$E$6:$E$25,$M335),"Ниже диапазона",IF(AND($F335&gt;=INDEX('Программа тренировок'!$F$6:$F$25,$M335),$G335&gt;=INDEX('Программа тренировок'!$L$6:$L$25,$M335)),"Верх диапазона: пора добавлять вес",IF($G335&lt;INDEX('Программа тренировок'!$L$6:$L$25,$M335),"RIR ниже цели","В диапазоне")))))</f>
        <v/>
      </c>
      <c r="M335" s="23" t="str">
        <f aca="false">IF($C335="","",IFERROR(MATCH($C335,'Программа тренировок'!$C$6:$C$25,0),""))</f>
        <v/>
      </c>
    </row>
    <row r="336" customFormat="false" ht="15" hidden="false" customHeight="true" outlineLevel="0" collapsed="false">
      <c r="A336" s="20"/>
      <c r="B336" s="21"/>
      <c r="C336" s="19"/>
      <c r="D336" s="18"/>
      <c r="E336" s="17"/>
      <c r="F336" s="18"/>
      <c r="G336" s="18"/>
      <c r="H336" s="21"/>
      <c r="I336" s="19"/>
      <c r="J336" s="8" t="str">
        <f aca="false">IF(OR(E336="",F336=""),"",E336*F336)</f>
        <v/>
      </c>
      <c r="K336" s="22" t="str">
        <f aca="false">IF($M336="","",INDEX('Программа тренировок'!$G$6:$G$25,$M336))</f>
        <v/>
      </c>
      <c r="L336" s="23" t="str">
        <f aca="false">IF(OR($M336="",$F336="",$G336=""),"",IF($H336="Разминка","Разминка",IF($F336&lt;INDEX('Программа тренировок'!$E$6:$E$25,$M336),"Ниже диапазона",IF(AND($F336&gt;=INDEX('Программа тренировок'!$F$6:$F$25,$M336),$G336&gt;=INDEX('Программа тренировок'!$L$6:$L$25,$M336)),"Верх диапазона: пора добавлять вес",IF($G336&lt;INDEX('Программа тренировок'!$L$6:$L$25,$M336),"RIR ниже цели","В диапазоне")))))</f>
        <v/>
      </c>
      <c r="M336" s="23" t="str">
        <f aca="false">IF($C336="","",IFERROR(MATCH($C336,'Программа тренировок'!$C$6:$C$25,0),""))</f>
        <v/>
      </c>
    </row>
    <row r="337" customFormat="false" ht="15" hidden="false" customHeight="true" outlineLevel="0" collapsed="false">
      <c r="A337" s="20"/>
      <c r="B337" s="21"/>
      <c r="C337" s="19"/>
      <c r="D337" s="18"/>
      <c r="E337" s="17"/>
      <c r="F337" s="18"/>
      <c r="G337" s="18"/>
      <c r="H337" s="21"/>
      <c r="I337" s="19"/>
      <c r="J337" s="8" t="str">
        <f aca="false">IF(OR(E337="",F337=""),"",E337*F337)</f>
        <v/>
      </c>
      <c r="K337" s="22" t="str">
        <f aca="false">IF($M337="","",INDEX('Программа тренировок'!$G$6:$G$25,$M337))</f>
        <v/>
      </c>
      <c r="L337" s="23" t="str">
        <f aca="false">IF(OR($M337="",$F337="",$G337=""),"",IF($H337="Разминка","Разминка",IF($F337&lt;INDEX('Программа тренировок'!$E$6:$E$25,$M337),"Ниже диапазона",IF(AND($F337&gt;=INDEX('Программа тренировок'!$F$6:$F$25,$M337),$G337&gt;=INDEX('Программа тренировок'!$L$6:$L$25,$M337)),"Верх диапазона: пора добавлять вес",IF($G337&lt;INDEX('Программа тренировок'!$L$6:$L$25,$M337),"RIR ниже цели","В диапазоне")))))</f>
        <v/>
      </c>
      <c r="M337" s="23" t="str">
        <f aca="false">IF($C337="","",IFERROR(MATCH($C337,'Программа тренировок'!$C$6:$C$25,0),""))</f>
        <v/>
      </c>
    </row>
    <row r="338" customFormat="false" ht="15" hidden="false" customHeight="true" outlineLevel="0" collapsed="false">
      <c r="A338" s="20"/>
      <c r="B338" s="21"/>
      <c r="C338" s="19"/>
      <c r="D338" s="18"/>
      <c r="E338" s="17"/>
      <c r="F338" s="18"/>
      <c r="G338" s="18"/>
      <c r="H338" s="21"/>
      <c r="I338" s="19"/>
      <c r="J338" s="8" t="str">
        <f aca="false">IF(OR(E338="",F338=""),"",E338*F338)</f>
        <v/>
      </c>
      <c r="K338" s="22" t="str">
        <f aca="false">IF($M338="","",INDEX('Программа тренировок'!$G$6:$G$25,$M338))</f>
        <v/>
      </c>
      <c r="L338" s="23" t="str">
        <f aca="false">IF(OR($M338="",$F338="",$G338=""),"",IF($H338="Разминка","Разминка",IF($F338&lt;INDEX('Программа тренировок'!$E$6:$E$25,$M338),"Ниже диапазона",IF(AND($F338&gt;=INDEX('Программа тренировок'!$F$6:$F$25,$M338),$G338&gt;=INDEX('Программа тренировок'!$L$6:$L$25,$M338)),"Верх диапазона: пора добавлять вес",IF($G338&lt;INDEX('Программа тренировок'!$L$6:$L$25,$M338),"RIR ниже цели","В диапазоне")))))</f>
        <v/>
      </c>
      <c r="M338" s="23" t="str">
        <f aca="false">IF($C338="","",IFERROR(MATCH($C338,'Программа тренировок'!$C$6:$C$25,0),""))</f>
        <v/>
      </c>
    </row>
    <row r="339" customFormat="false" ht="15" hidden="false" customHeight="true" outlineLevel="0" collapsed="false">
      <c r="A339" s="20"/>
      <c r="B339" s="21"/>
      <c r="C339" s="19"/>
      <c r="D339" s="18"/>
      <c r="E339" s="17"/>
      <c r="F339" s="18"/>
      <c r="G339" s="18"/>
      <c r="H339" s="21"/>
      <c r="I339" s="19"/>
      <c r="J339" s="8" t="str">
        <f aca="false">IF(OR(E339="",F339=""),"",E339*F339)</f>
        <v/>
      </c>
      <c r="K339" s="22" t="str">
        <f aca="false">IF($M339="","",INDEX('Программа тренировок'!$G$6:$G$25,$M339))</f>
        <v/>
      </c>
      <c r="L339" s="23" t="str">
        <f aca="false">IF(OR($M339="",$F339="",$G339=""),"",IF($H339="Разминка","Разминка",IF($F339&lt;INDEX('Программа тренировок'!$E$6:$E$25,$M339),"Ниже диапазона",IF(AND($F339&gt;=INDEX('Программа тренировок'!$F$6:$F$25,$M339),$G339&gt;=INDEX('Программа тренировок'!$L$6:$L$25,$M339)),"Верх диапазона: пора добавлять вес",IF($G339&lt;INDEX('Программа тренировок'!$L$6:$L$25,$M339),"RIR ниже цели","В диапазоне")))))</f>
        <v/>
      </c>
      <c r="M339" s="23" t="str">
        <f aca="false">IF($C339="","",IFERROR(MATCH($C339,'Программа тренировок'!$C$6:$C$25,0),""))</f>
        <v/>
      </c>
    </row>
    <row r="340" customFormat="false" ht="15" hidden="false" customHeight="true" outlineLevel="0" collapsed="false">
      <c r="A340" s="20"/>
      <c r="B340" s="21"/>
      <c r="C340" s="19"/>
      <c r="D340" s="18"/>
      <c r="E340" s="17"/>
      <c r="F340" s="18"/>
      <c r="G340" s="18"/>
      <c r="H340" s="21"/>
      <c r="I340" s="19"/>
      <c r="J340" s="8" t="str">
        <f aca="false">IF(OR(E340="",F340=""),"",E340*F340)</f>
        <v/>
      </c>
      <c r="K340" s="22" t="str">
        <f aca="false">IF($M340="","",INDEX('Программа тренировок'!$G$6:$G$25,$M340))</f>
        <v/>
      </c>
      <c r="L340" s="23" t="str">
        <f aca="false">IF(OR($M340="",$F340="",$G340=""),"",IF($H340="Разминка","Разминка",IF($F340&lt;INDEX('Программа тренировок'!$E$6:$E$25,$M340),"Ниже диапазона",IF(AND($F340&gt;=INDEX('Программа тренировок'!$F$6:$F$25,$M340),$G340&gt;=INDEX('Программа тренировок'!$L$6:$L$25,$M340)),"Верх диапазона: пора добавлять вес",IF($G340&lt;INDEX('Программа тренировок'!$L$6:$L$25,$M340),"RIR ниже цели","В диапазоне")))))</f>
        <v/>
      </c>
      <c r="M340" s="23" t="str">
        <f aca="false">IF($C340="","",IFERROR(MATCH($C340,'Программа тренировок'!$C$6:$C$25,0),""))</f>
        <v/>
      </c>
    </row>
    <row r="341" customFormat="false" ht="15" hidden="false" customHeight="true" outlineLevel="0" collapsed="false">
      <c r="A341" s="20"/>
      <c r="B341" s="21"/>
      <c r="C341" s="19"/>
      <c r="D341" s="18"/>
      <c r="E341" s="17"/>
      <c r="F341" s="18"/>
      <c r="G341" s="18"/>
      <c r="H341" s="21"/>
      <c r="I341" s="19"/>
      <c r="J341" s="8" t="str">
        <f aca="false">IF(OR(E341="",F341=""),"",E341*F341)</f>
        <v/>
      </c>
      <c r="K341" s="22" t="str">
        <f aca="false">IF($M341="","",INDEX('Программа тренировок'!$G$6:$G$25,$M341))</f>
        <v/>
      </c>
      <c r="L341" s="23" t="str">
        <f aca="false">IF(OR($M341="",$F341="",$G341=""),"",IF($H341="Разминка","Разминка",IF($F341&lt;INDEX('Программа тренировок'!$E$6:$E$25,$M341),"Ниже диапазона",IF(AND($F341&gt;=INDEX('Программа тренировок'!$F$6:$F$25,$M341),$G341&gt;=INDEX('Программа тренировок'!$L$6:$L$25,$M341)),"Верх диапазона: пора добавлять вес",IF($G341&lt;INDEX('Программа тренировок'!$L$6:$L$25,$M341),"RIR ниже цели","В диапазоне")))))</f>
        <v/>
      </c>
      <c r="M341" s="23" t="str">
        <f aca="false">IF($C341="","",IFERROR(MATCH($C341,'Программа тренировок'!$C$6:$C$25,0),""))</f>
        <v/>
      </c>
    </row>
    <row r="342" customFormat="false" ht="15" hidden="false" customHeight="true" outlineLevel="0" collapsed="false">
      <c r="A342" s="20"/>
      <c r="B342" s="21"/>
      <c r="C342" s="19"/>
      <c r="D342" s="18"/>
      <c r="E342" s="17"/>
      <c r="F342" s="18"/>
      <c r="G342" s="18"/>
      <c r="H342" s="21"/>
      <c r="I342" s="19"/>
      <c r="J342" s="8" t="str">
        <f aca="false">IF(OR(E342="",F342=""),"",E342*F342)</f>
        <v/>
      </c>
      <c r="K342" s="22" t="str">
        <f aca="false">IF($M342="","",INDEX('Программа тренировок'!$G$6:$G$25,$M342))</f>
        <v/>
      </c>
      <c r="L342" s="23" t="str">
        <f aca="false">IF(OR($M342="",$F342="",$G342=""),"",IF($H342="Разминка","Разминка",IF($F342&lt;INDEX('Программа тренировок'!$E$6:$E$25,$M342),"Ниже диапазона",IF(AND($F342&gt;=INDEX('Программа тренировок'!$F$6:$F$25,$M342),$G342&gt;=INDEX('Программа тренировок'!$L$6:$L$25,$M342)),"Верх диапазона: пора добавлять вес",IF($G342&lt;INDEX('Программа тренировок'!$L$6:$L$25,$M342),"RIR ниже цели","В диапазоне")))))</f>
        <v/>
      </c>
      <c r="M342" s="23" t="str">
        <f aca="false">IF($C342="","",IFERROR(MATCH($C342,'Программа тренировок'!$C$6:$C$25,0),""))</f>
        <v/>
      </c>
    </row>
    <row r="343" customFormat="false" ht="15" hidden="false" customHeight="true" outlineLevel="0" collapsed="false">
      <c r="A343" s="20"/>
      <c r="B343" s="21"/>
      <c r="C343" s="19"/>
      <c r="D343" s="18"/>
      <c r="E343" s="17"/>
      <c r="F343" s="18"/>
      <c r="G343" s="18"/>
      <c r="H343" s="21"/>
      <c r="I343" s="19"/>
      <c r="J343" s="8" t="str">
        <f aca="false">IF(OR(E343="",F343=""),"",E343*F343)</f>
        <v/>
      </c>
      <c r="K343" s="22" t="str">
        <f aca="false">IF($M343="","",INDEX('Программа тренировок'!$G$6:$G$25,$M343))</f>
        <v/>
      </c>
      <c r="L343" s="23" t="str">
        <f aca="false">IF(OR($M343="",$F343="",$G343=""),"",IF($H343="Разминка","Разминка",IF($F343&lt;INDEX('Программа тренировок'!$E$6:$E$25,$M343),"Ниже диапазона",IF(AND($F343&gt;=INDEX('Программа тренировок'!$F$6:$F$25,$M343),$G343&gt;=INDEX('Программа тренировок'!$L$6:$L$25,$M343)),"Верх диапазона: пора добавлять вес",IF($G343&lt;INDEX('Программа тренировок'!$L$6:$L$25,$M343),"RIR ниже цели","В диапазоне")))))</f>
        <v/>
      </c>
      <c r="M343" s="23" t="str">
        <f aca="false">IF($C343="","",IFERROR(MATCH($C343,'Программа тренировок'!$C$6:$C$25,0),""))</f>
        <v/>
      </c>
    </row>
    <row r="344" customFormat="false" ht="15" hidden="false" customHeight="true" outlineLevel="0" collapsed="false">
      <c r="A344" s="20"/>
      <c r="B344" s="21"/>
      <c r="C344" s="19"/>
      <c r="D344" s="18"/>
      <c r="E344" s="17"/>
      <c r="F344" s="18"/>
      <c r="G344" s="18"/>
      <c r="H344" s="21"/>
      <c r="I344" s="19"/>
      <c r="J344" s="8" t="str">
        <f aca="false">IF(OR(E344="",F344=""),"",E344*F344)</f>
        <v/>
      </c>
      <c r="K344" s="22" t="str">
        <f aca="false">IF($M344="","",INDEX('Программа тренировок'!$G$6:$G$25,$M344))</f>
        <v/>
      </c>
      <c r="L344" s="23" t="str">
        <f aca="false">IF(OR($M344="",$F344="",$G344=""),"",IF($H344="Разминка","Разминка",IF($F344&lt;INDEX('Программа тренировок'!$E$6:$E$25,$M344),"Ниже диапазона",IF(AND($F344&gt;=INDEX('Программа тренировок'!$F$6:$F$25,$M344),$G344&gt;=INDEX('Программа тренировок'!$L$6:$L$25,$M344)),"Верх диапазона: пора добавлять вес",IF($G344&lt;INDEX('Программа тренировок'!$L$6:$L$25,$M344),"RIR ниже цели","В диапазоне")))))</f>
        <v/>
      </c>
      <c r="M344" s="23" t="str">
        <f aca="false">IF($C344="","",IFERROR(MATCH($C344,'Программа тренировок'!$C$6:$C$25,0),""))</f>
        <v/>
      </c>
    </row>
    <row r="345" customFormat="false" ht="15" hidden="false" customHeight="true" outlineLevel="0" collapsed="false">
      <c r="A345" s="20"/>
      <c r="B345" s="21"/>
      <c r="C345" s="19"/>
      <c r="D345" s="18"/>
      <c r="E345" s="17"/>
      <c r="F345" s="18"/>
      <c r="G345" s="18"/>
      <c r="H345" s="21"/>
      <c r="I345" s="19"/>
      <c r="J345" s="8" t="str">
        <f aca="false">IF(OR(E345="",F345=""),"",E345*F345)</f>
        <v/>
      </c>
      <c r="K345" s="22" t="str">
        <f aca="false">IF($M345="","",INDEX('Программа тренировок'!$G$6:$G$25,$M345))</f>
        <v/>
      </c>
      <c r="L345" s="23" t="str">
        <f aca="false">IF(OR($M345="",$F345="",$G345=""),"",IF($H345="Разминка","Разминка",IF($F345&lt;INDEX('Программа тренировок'!$E$6:$E$25,$M345),"Ниже диапазона",IF(AND($F345&gt;=INDEX('Программа тренировок'!$F$6:$F$25,$M345),$G345&gt;=INDEX('Программа тренировок'!$L$6:$L$25,$M345)),"Верх диапазона: пора добавлять вес",IF($G345&lt;INDEX('Программа тренировок'!$L$6:$L$25,$M345),"RIR ниже цели","В диапазоне")))))</f>
        <v/>
      </c>
      <c r="M345" s="23" t="str">
        <f aca="false">IF($C345="","",IFERROR(MATCH($C345,'Программа тренировок'!$C$6:$C$25,0),""))</f>
        <v/>
      </c>
    </row>
    <row r="346" customFormat="false" ht="15" hidden="false" customHeight="true" outlineLevel="0" collapsed="false">
      <c r="A346" s="20"/>
      <c r="B346" s="21"/>
      <c r="C346" s="19"/>
      <c r="D346" s="18"/>
      <c r="E346" s="17"/>
      <c r="F346" s="18"/>
      <c r="G346" s="18"/>
      <c r="H346" s="21"/>
      <c r="I346" s="19"/>
      <c r="J346" s="8" t="str">
        <f aca="false">IF(OR(E346="",F346=""),"",E346*F346)</f>
        <v/>
      </c>
      <c r="K346" s="22" t="str">
        <f aca="false">IF($M346="","",INDEX('Программа тренировок'!$G$6:$G$25,$M346))</f>
        <v/>
      </c>
      <c r="L346" s="23" t="str">
        <f aca="false">IF(OR($M346="",$F346="",$G346=""),"",IF($H346="Разминка","Разминка",IF($F346&lt;INDEX('Программа тренировок'!$E$6:$E$25,$M346),"Ниже диапазона",IF(AND($F346&gt;=INDEX('Программа тренировок'!$F$6:$F$25,$M346),$G346&gt;=INDEX('Программа тренировок'!$L$6:$L$25,$M346)),"Верх диапазона: пора добавлять вес",IF($G346&lt;INDEX('Программа тренировок'!$L$6:$L$25,$M346),"RIR ниже цели","В диапазоне")))))</f>
        <v/>
      </c>
      <c r="M346" s="23" t="str">
        <f aca="false">IF($C346="","",IFERROR(MATCH($C346,'Программа тренировок'!$C$6:$C$25,0),""))</f>
        <v/>
      </c>
    </row>
    <row r="347" customFormat="false" ht="15" hidden="false" customHeight="true" outlineLevel="0" collapsed="false">
      <c r="A347" s="20"/>
      <c r="B347" s="21"/>
      <c r="C347" s="19"/>
      <c r="D347" s="18"/>
      <c r="E347" s="17"/>
      <c r="F347" s="18"/>
      <c r="G347" s="18"/>
      <c r="H347" s="21"/>
      <c r="I347" s="19"/>
      <c r="J347" s="8" t="str">
        <f aca="false">IF(OR(E347="",F347=""),"",E347*F347)</f>
        <v/>
      </c>
      <c r="K347" s="22" t="str">
        <f aca="false">IF($M347="","",INDEX('Программа тренировок'!$G$6:$G$25,$M347))</f>
        <v/>
      </c>
      <c r="L347" s="23" t="str">
        <f aca="false">IF(OR($M347="",$F347="",$G347=""),"",IF($H347="Разминка","Разминка",IF($F347&lt;INDEX('Программа тренировок'!$E$6:$E$25,$M347),"Ниже диапазона",IF(AND($F347&gt;=INDEX('Программа тренировок'!$F$6:$F$25,$M347),$G347&gt;=INDEX('Программа тренировок'!$L$6:$L$25,$M347)),"Верх диапазона: пора добавлять вес",IF($G347&lt;INDEX('Программа тренировок'!$L$6:$L$25,$M347),"RIR ниже цели","В диапазоне")))))</f>
        <v/>
      </c>
      <c r="M347" s="23" t="str">
        <f aca="false">IF($C347="","",IFERROR(MATCH($C347,'Программа тренировок'!$C$6:$C$25,0),""))</f>
        <v/>
      </c>
    </row>
    <row r="348" customFormat="false" ht="15" hidden="false" customHeight="true" outlineLevel="0" collapsed="false">
      <c r="A348" s="20"/>
      <c r="B348" s="21"/>
      <c r="C348" s="19"/>
      <c r="D348" s="18"/>
      <c r="E348" s="17"/>
      <c r="F348" s="18"/>
      <c r="G348" s="18"/>
      <c r="H348" s="21"/>
      <c r="I348" s="19"/>
      <c r="J348" s="8" t="str">
        <f aca="false">IF(OR(E348="",F348=""),"",E348*F348)</f>
        <v/>
      </c>
      <c r="K348" s="22" t="str">
        <f aca="false">IF($M348="","",INDEX('Программа тренировок'!$G$6:$G$25,$M348))</f>
        <v/>
      </c>
      <c r="L348" s="23" t="str">
        <f aca="false">IF(OR($M348="",$F348="",$G348=""),"",IF($H348="Разминка","Разминка",IF($F348&lt;INDEX('Программа тренировок'!$E$6:$E$25,$M348),"Ниже диапазона",IF(AND($F348&gt;=INDEX('Программа тренировок'!$F$6:$F$25,$M348),$G348&gt;=INDEX('Программа тренировок'!$L$6:$L$25,$M348)),"Верх диапазона: пора добавлять вес",IF($G348&lt;INDEX('Программа тренировок'!$L$6:$L$25,$M348),"RIR ниже цели","В диапазоне")))))</f>
        <v/>
      </c>
      <c r="M348" s="23" t="str">
        <f aca="false">IF($C348="","",IFERROR(MATCH($C348,'Программа тренировок'!$C$6:$C$25,0),""))</f>
        <v/>
      </c>
    </row>
    <row r="349" customFormat="false" ht="15" hidden="false" customHeight="true" outlineLevel="0" collapsed="false">
      <c r="A349" s="20"/>
      <c r="B349" s="21"/>
      <c r="C349" s="19"/>
      <c r="D349" s="18"/>
      <c r="E349" s="17"/>
      <c r="F349" s="18"/>
      <c r="G349" s="18"/>
      <c r="H349" s="21"/>
      <c r="I349" s="19"/>
      <c r="J349" s="8" t="str">
        <f aca="false">IF(OR(E349="",F349=""),"",E349*F349)</f>
        <v/>
      </c>
      <c r="K349" s="22" t="str">
        <f aca="false">IF($M349="","",INDEX('Программа тренировок'!$G$6:$G$25,$M349))</f>
        <v/>
      </c>
      <c r="L349" s="23" t="str">
        <f aca="false">IF(OR($M349="",$F349="",$G349=""),"",IF($H349="Разминка","Разминка",IF($F349&lt;INDEX('Программа тренировок'!$E$6:$E$25,$M349),"Ниже диапазона",IF(AND($F349&gt;=INDEX('Программа тренировок'!$F$6:$F$25,$M349),$G349&gt;=INDEX('Программа тренировок'!$L$6:$L$25,$M349)),"Верх диапазона: пора добавлять вес",IF($G349&lt;INDEX('Программа тренировок'!$L$6:$L$25,$M349),"RIR ниже цели","В диапазоне")))))</f>
        <v/>
      </c>
      <c r="M349" s="23" t="str">
        <f aca="false">IF($C349="","",IFERROR(MATCH($C349,'Программа тренировок'!$C$6:$C$25,0),""))</f>
        <v/>
      </c>
    </row>
    <row r="350" customFormat="false" ht="15" hidden="false" customHeight="true" outlineLevel="0" collapsed="false">
      <c r="A350" s="20"/>
      <c r="B350" s="21"/>
      <c r="C350" s="19"/>
      <c r="D350" s="18"/>
      <c r="E350" s="17"/>
      <c r="F350" s="18"/>
      <c r="G350" s="18"/>
      <c r="H350" s="21"/>
      <c r="I350" s="19"/>
      <c r="J350" s="8" t="str">
        <f aca="false">IF(OR(E350="",F350=""),"",E350*F350)</f>
        <v/>
      </c>
      <c r="K350" s="22" t="str">
        <f aca="false">IF($M350="","",INDEX('Программа тренировок'!$G$6:$G$25,$M350))</f>
        <v/>
      </c>
      <c r="L350" s="23" t="str">
        <f aca="false">IF(OR($M350="",$F350="",$G350=""),"",IF($H350="Разминка","Разминка",IF($F350&lt;INDEX('Программа тренировок'!$E$6:$E$25,$M350),"Ниже диапазона",IF(AND($F350&gt;=INDEX('Программа тренировок'!$F$6:$F$25,$M350),$G350&gt;=INDEX('Программа тренировок'!$L$6:$L$25,$M350)),"Верх диапазона: пора добавлять вес",IF($G350&lt;INDEX('Программа тренировок'!$L$6:$L$25,$M350),"RIR ниже цели","В диапазоне")))))</f>
        <v/>
      </c>
      <c r="M350" s="23" t="str">
        <f aca="false">IF($C350="","",IFERROR(MATCH($C350,'Программа тренировок'!$C$6:$C$25,0),""))</f>
        <v/>
      </c>
    </row>
    <row r="351" customFormat="false" ht="15" hidden="false" customHeight="true" outlineLevel="0" collapsed="false">
      <c r="A351" s="20"/>
      <c r="B351" s="21"/>
      <c r="C351" s="19"/>
      <c r="D351" s="18"/>
      <c r="E351" s="17"/>
      <c r="F351" s="18"/>
      <c r="G351" s="18"/>
      <c r="H351" s="21"/>
      <c r="I351" s="19"/>
      <c r="J351" s="8" t="str">
        <f aca="false">IF(OR(E351="",F351=""),"",E351*F351)</f>
        <v/>
      </c>
      <c r="K351" s="22" t="str">
        <f aca="false">IF($M351="","",INDEX('Программа тренировок'!$G$6:$G$25,$M351))</f>
        <v/>
      </c>
      <c r="L351" s="23" t="str">
        <f aca="false">IF(OR($M351="",$F351="",$G351=""),"",IF($H351="Разминка","Разминка",IF($F351&lt;INDEX('Программа тренировок'!$E$6:$E$25,$M351),"Ниже диапазона",IF(AND($F351&gt;=INDEX('Программа тренировок'!$F$6:$F$25,$M351),$G351&gt;=INDEX('Программа тренировок'!$L$6:$L$25,$M351)),"Верх диапазона: пора добавлять вес",IF($G351&lt;INDEX('Программа тренировок'!$L$6:$L$25,$M351),"RIR ниже цели","В диапазоне")))))</f>
        <v/>
      </c>
      <c r="M351" s="23" t="str">
        <f aca="false">IF($C351="","",IFERROR(MATCH($C351,'Программа тренировок'!$C$6:$C$25,0),""))</f>
        <v/>
      </c>
    </row>
    <row r="352" customFormat="false" ht="15" hidden="false" customHeight="true" outlineLevel="0" collapsed="false">
      <c r="A352" s="20"/>
      <c r="B352" s="21"/>
      <c r="C352" s="19"/>
      <c r="D352" s="18"/>
      <c r="E352" s="17"/>
      <c r="F352" s="18"/>
      <c r="G352" s="18"/>
      <c r="H352" s="21"/>
      <c r="I352" s="19"/>
      <c r="J352" s="8" t="str">
        <f aca="false">IF(OR(E352="",F352=""),"",E352*F352)</f>
        <v/>
      </c>
      <c r="K352" s="22" t="str">
        <f aca="false">IF($M352="","",INDEX('Программа тренировок'!$G$6:$G$25,$M352))</f>
        <v/>
      </c>
      <c r="L352" s="23" t="str">
        <f aca="false">IF(OR($M352="",$F352="",$G352=""),"",IF($H352="Разминка","Разминка",IF($F352&lt;INDEX('Программа тренировок'!$E$6:$E$25,$M352),"Ниже диапазона",IF(AND($F352&gt;=INDEX('Программа тренировок'!$F$6:$F$25,$M352),$G352&gt;=INDEX('Программа тренировок'!$L$6:$L$25,$M352)),"Верх диапазона: пора добавлять вес",IF($G352&lt;INDEX('Программа тренировок'!$L$6:$L$25,$M352),"RIR ниже цели","В диапазоне")))))</f>
        <v/>
      </c>
      <c r="M352" s="23" t="str">
        <f aca="false">IF($C352="","",IFERROR(MATCH($C352,'Программа тренировок'!$C$6:$C$25,0),""))</f>
        <v/>
      </c>
    </row>
    <row r="353" customFormat="false" ht="15" hidden="false" customHeight="true" outlineLevel="0" collapsed="false">
      <c r="A353" s="20"/>
      <c r="B353" s="21"/>
      <c r="C353" s="19"/>
      <c r="D353" s="18"/>
      <c r="E353" s="17"/>
      <c r="F353" s="18"/>
      <c r="G353" s="18"/>
      <c r="H353" s="21"/>
      <c r="I353" s="19"/>
      <c r="J353" s="8" t="str">
        <f aca="false">IF(OR(E353="",F353=""),"",E353*F353)</f>
        <v/>
      </c>
      <c r="K353" s="22" t="str">
        <f aca="false">IF($M353="","",INDEX('Программа тренировок'!$G$6:$G$25,$M353))</f>
        <v/>
      </c>
      <c r="L353" s="23" t="str">
        <f aca="false">IF(OR($M353="",$F353="",$G353=""),"",IF($H353="Разминка","Разминка",IF($F353&lt;INDEX('Программа тренировок'!$E$6:$E$25,$M353),"Ниже диапазона",IF(AND($F353&gt;=INDEX('Программа тренировок'!$F$6:$F$25,$M353),$G353&gt;=INDEX('Программа тренировок'!$L$6:$L$25,$M353)),"Верх диапазона: пора добавлять вес",IF($G353&lt;INDEX('Программа тренировок'!$L$6:$L$25,$M353),"RIR ниже цели","В диапазоне")))))</f>
        <v/>
      </c>
      <c r="M353" s="23" t="str">
        <f aca="false">IF($C353="","",IFERROR(MATCH($C353,'Программа тренировок'!$C$6:$C$25,0),""))</f>
        <v/>
      </c>
    </row>
    <row r="354" customFormat="false" ht="15" hidden="false" customHeight="true" outlineLevel="0" collapsed="false">
      <c r="A354" s="20"/>
      <c r="B354" s="21"/>
      <c r="C354" s="19"/>
      <c r="D354" s="18"/>
      <c r="E354" s="17"/>
      <c r="F354" s="18"/>
      <c r="G354" s="18"/>
      <c r="H354" s="21"/>
      <c r="I354" s="19"/>
      <c r="J354" s="8" t="str">
        <f aca="false">IF(OR(E354="",F354=""),"",E354*F354)</f>
        <v/>
      </c>
      <c r="K354" s="22" t="str">
        <f aca="false">IF($M354="","",INDEX('Программа тренировок'!$G$6:$G$25,$M354))</f>
        <v/>
      </c>
      <c r="L354" s="23" t="str">
        <f aca="false">IF(OR($M354="",$F354="",$G354=""),"",IF($H354="Разминка","Разминка",IF($F354&lt;INDEX('Программа тренировок'!$E$6:$E$25,$M354),"Ниже диапазона",IF(AND($F354&gt;=INDEX('Программа тренировок'!$F$6:$F$25,$M354),$G354&gt;=INDEX('Программа тренировок'!$L$6:$L$25,$M354)),"Верх диапазона: пора добавлять вес",IF($G354&lt;INDEX('Программа тренировок'!$L$6:$L$25,$M354),"RIR ниже цели","В диапазоне")))))</f>
        <v/>
      </c>
      <c r="M354" s="23" t="str">
        <f aca="false">IF($C354="","",IFERROR(MATCH($C354,'Программа тренировок'!$C$6:$C$25,0),""))</f>
        <v/>
      </c>
    </row>
    <row r="355" customFormat="false" ht="15" hidden="false" customHeight="true" outlineLevel="0" collapsed="false">
      <c r="A355" s="20"/>
      <c r="B355" s="21"/>
      <c r="C355" s="19"/>
      <c r="D355" s="18"/>
      <c r="E355" s="17"/>
      <c r="F355" s="18"/>
      <c r="G355" s="18"/>
      <c r="H355" s="21"/>
      <c r="I355" s="19"/>
      <c r="J355" s="8" t="str">
        <f aca="false">IF(OR(E355="",F355=""),"",E355*F355)</f>
        <v/>
      </c>
      <c r="K355" s="22" t="str">
        <f aca="false">IF($M355="","",INDEX('Программа тренировок'!$G$6:$G$25,$M355))</f>
        <v/>
      </c>
      <c r="L355" s="23" t="str">
        <f aca="false">IF(OR($M355="",$F355="",$G355=""),"",IF($H355="Разминка","Разминка",IF($F355&lt;INDEX('Программа тренировок'!$E$6:$E$25,$M355),"Ниже диапазона",IF(AND($F355&gt;=INDEX('Программа тренировок'!$F$6:$F$25,$M355),$G355&gt;=INDEX('Программа тренировок'!$L$6:$L$25,$M355)),"Верх диапазона: пора добавлять вес",IF($G355&lt;INDEX('Программа тренировок'!$L$6:$L$25,$M355),"RIR ниже цели","В диапазоне")))))</f>
        <v/>
      </c>
      <c r="M355" s="23" t="str">
        <f aca="false">IF($C355="","",IFERROR(MATCH($C355,'Программа тренировок'!$C$6:$C$25,0),""))</f>
        <v/>
      </c>
    </row>
    <row r="356" customFormat="false" ht="15" hidden="false" customHeight="true" outlineLevel="0" collapsed="false">
      <c r="A356" s="20"/>
      <c r="B356" s="21"/>
      <c r="C356" s="19"/>
      <c r="D356" s="18"/>
      <c r="E356" s="17"/>
      <c r="F356" s="18"/>
      <c r="G356" s="18"/>
      <c r="H356" s="21"/>
      <c r="I356" s="19"/>
      <c r="J356" s="8" t="str">
        <f aca="false">IF(OR(E356="",F356=""),"",E356*F356)</f>
        <v/>
      </c>
      <c r="K356" s="22" t="str">
        <f aca="false">IF($M356="","",INDEX('Программа тренировок'!$G$6:$G$25,$M356))</f>
        <v/>
      </c>
      <c r="L356" s="23" t="str">
        <f aca="false">IF(OR($M356="",$F356="",$G356=""),"",IF($H356="Разминка","Разминка",IF($F356&lt;INDEX('Программа тренировок'!$E$6:$E$25,$M356),"Ниже диапазона",IF(AND($F356&gt;=INDEX('Программа тренировок'!$F$6:$F$25,$M356),$G356&gt;=INDEX('Программа тренировок'!$L$6:$L$25,$M356)),"Верх диапазона: пора добавлять вес",IF($G356&lt;INDEX('Программа тренировок'!$L$6:$L$25,$M356),"RIR ниже цели","В диапазоне")))))</f>
        <v/>
      </c>
      <c r="M356" s="23" t="str">
        <f aca="false">IF($C356="","",IFERROR(MATCH($C356,'Программа тренировок'!$C$6:$C$25,0),""))</f>
        <v/>
      </c>
    </row>
    <row r="357" customFormat="false" ht="15" hidden="false" customHeight="true" outlineLevel="0" collapsed="false">
      <c r="A357" s="20"/>
      <c r="B357" s="21"/>
      <c r="C357" s="19"/>
      <c r="D357" s="18"/>
      <c r="E357" s="17"/>
      <c r="F357" s="18"/>
      <c r="G357" s="18"/>
      <c r="H357" s="21"/>
      <c r="I357" s="19"/>
      <c r="J357" s="8" t="str">
        <f aca="false">IF(OR(E357="",F357=""),"",E357*F357)</f>
        <v/>
      </c>
      <c r="K357" s="22" t="str">
        <f aca="false">IF($M357="","",INDEX('Программа тренировок'!$G$6:$G$25,$M357))</f>
        <v/>
      </c>
      <c r="L357" s="23" t="str">
        <f aca="false">IF(OR($M357="",$F357="",$G357=""),"",IF($H357="Разминка","Разминка",IF($F357&lt;INDEX('Программа тренировок'!$E$6:$E$25,$M357),"Ниже диапазона",IF(AND($F357&gt;=INDEX('Программа тренировок'!$F$6:$F$25,$M357),$G357&gt;=INDEX('Программа тренировок'!$L$6:$L$25,$M357)),"Верх диапазона: пора добавлять вес",IF($G357&lt;INDEX('Программа тренировок'!$L$6:$L$25,$M357),"RIR ниже цели","В диапазоне")))))</f>
        <v/>
      </c>
      <c r="M357" s="23" t="str">
        <f aca="false">IF($C357="","",IFERROR(MATCH($C357,'Программа тренировок'!$C$6:$C$25,0),""))</f>
        <v/>
      </c>
    </row>
    <row r="358" customFormat="false" ht="15" hidden="false" customHeight="true" outlineLevel="0" collapsed="false">
      <c r="A358" s="20"/>
      <c r="B358" s="21"/>
      <c r="C358" s="19"/>
      <c r="D358" s="18"/>
      <c r="E358" s="17"/>
      <c r="F358" s="18"/>
      <c r="G358" s="18"/>
      <c r="H358" s="21"/>
      <c r="I358" s="19"/>
      <c r="J358" s="8" t="str">
        <f aca="false">IF(OR(E358="",F358=""),"",E358*F358)</f>
        <v/>
      </c>
      <c r="K358" s="22" t="str">
        <f aca="false">IF($M358="","",INDEX('Программа тренировок'!$G$6:$G$25,$M358))</f>
        <v/>
      </c>
      <c r="L358" s="23" t="str">
        <f aca="false">IF(OR($M358="",$F358="",$G358=""),"",IF($H358="Разминка","Разминка",IF($F358&lt;INDEX('Программа тренировок'!$E$6:$E$25,$M358),"Ниже диапазона",IF(AND($F358&gt;=INDEX('Программа тренировок'!$F$6:$F$25,$M358),$G358&gt;=INDEX('Программа тренировок'!$L$6:$L$25,$M358)),"Верх диапазона: пора добавлять вес",IF($G358&lt;INDEX('Программа тренировок'!$L$6:$L$25,$M358),"RIR ниже цели","В диапазоне")))))</f>
        <v/>
      </c>
      <c r="M358" s="23" t="str">
        <f aca="false">IF($C358="","",IFERROR(MATCH($C358,'Программа тренировок'!$C$6:$C$25,0),""))</f>
        <v/>
      </c>
    </row>
    <row r="359" customFormat="false" ht="15" hidden="false" customHeight="true" outlineLevel="0" collapsed="false">
      <c r="A359" s="20"/>
      <c r="B359" s="21"/>
      <c r="C359" s="19"/>
      <c r="D359" s="18"/>
      <c r="E359" s="17"/>
      <c r="F359" s="18"/>
      <c r="G359" s="18"/>
      <c r="H359" s="21"/>
      <c r="I359" s="19"/>
      <c r="J359" s="8" t="str">
        <f aca="false">IF(OR(E359="",F359=""),"",E359*F359)</f>
        <v/>
      </c>
      <c r="K359" s="22" t="str">
        <f aca="false">IF($M359="","",INDEX('Программа тренировок'!$G$6:$G$25,$M359))</f>
        <v/>
      </c>
      <c r="L359" s="23" t="str">
        <f aca="false">IF(OR($M359="",$F359="",$G359=""),"",IF($H359="Разминка","Разминка",IF($F359&lt;INDEX('Программа тренировок'!$E$6:$E$25,$M359),"Ниже диапазона",IF(AND($F359&gt;=INDEX('Программа тренировок'!$F$6:$F$25,$M359),$G359&gt;=INDEX('Программа тренировок'!$L$6:$L$25,$M359)),"Верх диапазона: пора добавлять вес",IF($G359&lt;INDEX('Программа тренировок'!$L$6:$L$25,$M359),"RIR ниже цели","В диапазоне")))))</f>
        <v/>
      </c>
      <c r="M359" s="23" t="str">
        <f aca="false">IF($C359="","",IFERROR(MATCH($C359,'Программа тренировок'!$C$6:$C$25,0),""))</f>
        <v/>
      </c>
    </row>
    <row r="360" customFormat="false" ht="15" hidden="false" customHeight="true" outlineLevel="0" collapsed="false">
      <c r="A360" s="20"/>
      <c r="B360" s="21"/>
      <c r="C360" s="19"/>
      <c r="D360" s="18"/>
      <c r="E360" s="17"/>
      <c r="F360" s="18"/>
      <c r="G360" s="18"/>
      <c r="H360" s="21"/>
      <c r="I360" s="19"/>
      <c r="J360" s="8" t="str">
        <f aca="false">IF(OR(E360="",F360=""),"",E360*F360)</f>
        <v/>
      </c>
      <c r="K360" s="22" t="str">
        <f aca="false">IF($M360="","",INDEX('Программа тренировок'!$G$6:$G$25,$M360))</f>
        <v/>
      </c>
      <c r="L360" s="23" t="str">
        <f aca="false">IF(OR($M360="",$F360="",$G360=""),"",IF($H360="Разминка","Разминка",IF($F360&lt;INDEX('Программа тренировок'!$E$6:$E$25,$M360),"Ниже диапазона",IF(AND($F360&gt;=INDEX('Программа тренировок'!$F$6:$F$25,$M360),$G360&gt;=INDEX('Программа тренировок'!$L$6:$L$25,$M360)),"Верх диапазона: пора добавлять вес",IF($G360&lt;INDEX('Программа тренировок'!$L$6:$L$25,$M360),"RIR ниже цели","В диапазоне")))))</f>
        <v/>
      </c>
      <c r="M360" s="23" t="str">
        <f aca="false">IF($C360="","",IFERROR(MATCH($C360,'Программа тренировок'!$C$6:$C$25,0),""))</f>
        <v/>
      </c>
    </row>
    <row r="361" customFormat="false" ht="15" hidden="false" customHeight="true" outlineLevel="0" collapsed="false">
      <c r="A361" s="20"/>
      <c r="B361" s="21"/>
      <c r="C361" s="19"/>
      <c r="D361" s="18"/>
      <c r="E361" s="17"/>
      <c r="F361" s="18"/>
      <c r="G361" s="18"/>
      <c r="H361" s="21"/>
      <c r="I361" s="19"/>
      <c r="J361" s="8" t="str">
        <f aca="false">IF(OR(E361="",F361=""),"",E361*F361)</f>
        <v/>
      </c>
      <c r="K361" s="22" t="str">
        <f aca="false">IF($M361="","",INDEX('Программа тренировок'!$G$6:$G$25,$M361))</f>
        <v/>
      </c>
      <c r="L361" s="23" t="str">
        <f aca="false">IF(OR($M361="",$F361="",$G361=""),"",IF($H361="Разминка","Разминка",IF($F361&lt;INDEX('Программа тренировок'!$E$6:$E$25,$M361),"Ниже диапазона",IF(AND($F361&gt;=INDEX('Программа тренировок'!$F$6:$F$25,$M361),$G361&gt;=INDEX('Программа тренировок'!$L$6:$L$25,$M361)),"Верх диапазона: пора добавлять вес",IF($G361&lt;INDEX('Программа тренировок'!$L$6:$L$25,$M361),"RIR ниже цели","В диапазоне")))))</f>
        <v/>
      </c>
      <c r="M361" s="23" t="str">
        <f aca="false">IF($C361="","",IFERROR(MATCH($C361,'Программа тренировок'!$C$6:$C$25,0),""))</f>
        <v/>
      </c>
    </row>
    <row r="362" customFormat="false" ht="15" hidden="false" customHeight="true" outlineLevel="0" collapsed="false">
      <c r="A362" s="20"/>
      <c r="B362" s="21"/>
      <c r="C362" s="19"/>
      <c r="D362" s="18"/>
      <c r="E362" s="17"/>
      <c r="F362" s="18"/>
      <c r="G362" s="18"/>
      <c r="H362" s="21"/>
      <c r="I362" s="19"/>
      <c r="J362" s="8" t="str">
        <f aca="false">IF(OR(E362="",F362=""),"",E362*F362)</f>
        <v/>
      </c>
      <c r="K362" s="22" t="str">
        <f aca="false">IF($M362="","",INDEX('Программа тренировок'!$G$6:$G$25,$M362))</f>
        <v/>
      </c>
      <c r="L362" s="23" t="str">
        <f aca="false">IF(OR($M362="",$F362="",$G362=""),"",IF($H362="Разминка","Разминка",IF($F362&lt;INDEX('Программа тренировок'!$E$6:$E$25,$M362),"Ниже диапазона",IF(AND($F362&gt;=INDEX('Программа тренировок'!$F$6:$F$25,$M362),$G362&gt;=INDEX('Программа тренировок'!$L$6:$L$25,$M362)),"Верх диапазона: пора добавлять вес",IF($G362&lt;INDEX('Программа тренировок'!$L$6:$L$25,$M362),"RIR ниже цели","В диапазоне")))))</f>
        <v/>
      </c>
      <c r="M362" s="23" t="str">
        <f aca="false">IF($C362="","",IFERROR(MATCH($C362,'Программа тренировок'!$C$6:$C$25,0),""))</f>
        <v/>
      </c>
    </row>
    <row r="363" customFormat="false" ht="15" hidden="false" customHeight="true" outlineLevel="0" collapsed="false">
      <c r="A363" s="20"/>
      <c r="B363" s="21"/>
      <c r="C363" s="19"/>
      <c r="D363" s="18"/>
      <c r="E363" s="17"/>
      <c r="F363" s="18"/>
      <c r="G363" s="18"/>
      <c r="H363" s="21"/>
      <c r="I363" s="19"/>
      <c r="J363" s="8" t="str">
        <f aca="false">IF(OR(E363="",F363=""),"",E363*F363)</f>
        <v/>
      </c>
      <c r="K363" s="22" t="str">
        <f aca="false">IF($M363="","",INDEX('Программа тренировок'!$G$6:$G$25,$M363))</f>
        <v/>
      </c>
      <c r="L363" s="23" t="str">
        <f aca="false">IF(OR($M363="",$F363="",$G363=""),"",IF($H363="Разминка","Разминка",IF($F363&lt;INDEX('Программа тренировок'!$E$6:$E$25,$M363),"Ниже диапазона",IF(AND($F363&gt;=INDEX('Программа тренировок'!$F$6:$F$25,$M363),$G363&gt;=INDEX('Программа тренировок'!$L$6:$L$25,$M363)),"Верх диапазона: пора добавлять вес",IF($G363&lt;INDEX('Программа тренировок'!$L$6:$L$25,$M363),"RIR ниже цели","В диапазоне")))))</f>
        <v/>
      </c>
      <c r="M363" s="23" t="str">
        <f aca="false">IF($C363="","",IFERROR(MATCH($C363,'Программа тренировок'!$C$6:$C$25,0),""))</f>
        <v/>
      </c>
    </row>
    <row r="364" customFormat="false" ht="15" hidden="false" customHeight="true" outlineLevel="0" collapsed="false">
      <c r="A364" s="20"/>
      <c r="B364" s="21"/>
      <c r="C364" s="19"/>
      <c r="D364" s="18"/>
      <c r="E364" s="17"/>
      <c r="F364" s="18"/>
      <c r="G364" s="18"/>
      <c r="H364" s="21"/>
      <c r="I364" s="19"/>
      <c r="J364" s="8" t="str">
        <f aca="false">IF(OR(E364="",F364=""),"",E364*F364)</f>
        <v/>
      </c>
      <c r="K364" s="22" t="str">
        <f aca="false">IF($M364="","",INDEX('Программа тренировок'!$G$6:$G$25,$M364))</f>
        <v/>
      </c>
      <c r="L364" s="23" t="str">
        <f aca="false">IF(OR($M364="",$F364="",$G364=""),"",IF($H364="Разминка","Разминка",IF($F364&lt;INDEX('Программа тренировок'!$E$6:$E$25,$M364),"Ниже диапазона",IF(AND($F364&gt;=INDEX('Программа тренировок'!$F$6:$F$25,$M364),$G364&gt;=INDEX('Программа тренировок'!$L$6:$L$25,$M364)),"Верх диапазона: пора добавлять вес",IF($G364&lt;INDEX('Программа тренировок'!$L$6:$L$25,$M364),"RIR ниже цели","В диапазоне")))))</f>
        <v/>
      </c>
      <c r="M364" s="23" t="str">
        <f aca="false">IF($C364="","",IFERROR(MATCH($C364,'Программа тренировок'!$C$6:$C$25,0),""))</f>
        <v/>
      </c>
    </row>
    <row r="365" customFormat="false" ht="15" hidden="false" customHeight="true" outlineLevel="0" collapsed="false">
      <c r="A365" s="20"/>
      <c r="B365" s="21"/>
      <c r="C365" s="19"/>
      <c r="D365" s="18"/>
      <c r="E365" s="17"/>
      <c r="F365" s="18"/>
      <c r="G365" s="18"/>
      <c r="H365" s="21"/>
      <c r="I365" s="19"/>
      <c r="J365" s="8" t="str">
        <f aca="false">IF(OR(E365="",F365=""),"",E365*F365)</f>
        <v/>
      </c>
      <c r="K365" s="22" t="str">
        <f aca="false">IF($M365="","",INDEX('Программа тренировок'!$G$6:$G$25,$M365))</f>
        <v/>
      </c>
      <c r="L365" s="23" t="str">
        <f aca="false">IF(OR($M365="",$F365="",$G365=""),"",IF($H365="Разминка","Разминка",IF($F365&lt;INDEX('Программа тренировок'!$E$6:$E$25,$M365),"Ниже диапазона",IF(AND($F365&gt;=INDEX('Программа тренировок'!$F$6:$F$25,$M365),$G365&gt;=INDEX('Программа тренировок'!$L$6:$L$25,$M365)),"Верх диапазона: пора добавлять вес",IF($G365&lt;INDEX('Программа тренировок'!$L$6:$L$25,$M365),"RIR ниже цели","В диапазоне")))))</f>
        <v/>
      </c>
      <c r="M365" s="23" t="str">
        <f aca="false">IF($C365="","",IFERROR(MATCH($C365,'Программа тренировок'!$C$6:$C$25,0),""))</f>
        <v/>
      </c>
    </row>
    <row r="366" customFormat="false" ht="15" hidden="false" customHeight="true" outlineLevel="0" collapsed="false">
      <c r="A366" s="20"/>
      <c r="B366" s="21"/>
      <c r="C366" s="19"/>
      <c r="D366" s="18"/>
      <c r="E366" s="17"/>
      <c r="F366" s="18"/>
      <c r="G366" s="18"/>
      <c r="H366" s="21"/>
      <c r="I366" s="19"/>
      <c r="J366" s="8" t="str">
        <f aca="false">IF(OR(E366="",F366=""),"",E366*F366)</f>
        <v/>
      </c>
      <c r="K366" s="22" t="str">
        <f aca="false">IF($M366="","",INDEX('Программа тренировок'!$G$6:$G$25,$M366))</f>
        <v/>
      </c>
      <c r="L366" s="23" t="str">
        <f aca="false">IF(OR($M366="",$F366="",$G366=""),"",IF($H366="Разминка","Разминка",IF($F366&lt;INDEX('Программа тренировок'!$E$6:$E$25,$M366),"Ниже диапазона",IF(AND($F366&gt;=INDEX('Программа тренировок'!$F$6:$F$25,$M366),$G366&gt;=INDEX('Программа тренировок'!$L$6:$L$25,$M366)),"Верх диапазона: пора добавлять вес",IF($G366&lt;INDEX('Программа тренировок'!$L$6:$L$25,$M366),"RIR ниже цели","В диапазоне")))))</f>
        <v/>
      </c>
      <c r="M366" s="23" t="str">
        <f aca="false">IF($C366="","",IFERROR(MATCH($C366,'Программа тренировок'!$C$6:$C$25,0),""))</f>
        <v/>
      </c>
    </row>
    <row r="367" customFormat="false" ht="15" hidden="false" customHeight="true" outlineLevel="0" collapsed="false">
      <c r="A367" s="20"/>
      <c r="B367" s="21"/>
      <c r="C367" s="19"/>
      <c r="D367" s="18"/>
      <c r="E367" s="17"/>
      <c r="F367" s="18"/>
      <c r="G367" s="18"/>
      <c r="H367" s="21"/>
      <c r="I367" s="19"/>
      <c r="J367" s="8" t="str">
        <f aca="false">IF(OR(E367="",F367=""),"",E367*F367)</f>
        <v/>
      </c>
      <c r="K367" s="22" t="str">
        <f aca="false">IF($M367="","",INDEX('Программа тренировок'!$G$6:$G$25,$M367))</f>
        <v/>
      </c>
      <c r="L367" s="23" t="str">
        <f aca="false">IF(OR($M367="",$F367="",$G367=""),"",IF($H367="Разминка","Разминка",IF($F367&lt;INDEX('Программа тренировок'!$E$6:$E$25,$M367),"Ниже диапазона",IF(AND($F367&gt;=INDEX('Программа тренировок'!$F$6:$F$25,$M367),$G367&gt;=INDEX('Программа тренировок'!$L$6:$L$25,$M367)),"Верх диапазона: пора добавлять вес",IF($G367&lt;INDEX('Программа тренировок'!$L$6:$L$25,$M367),"RIR ниже цели","В диапазоне")))))</f>
        <v/>
      </c>
      <c r="M367" s="23" t="str">
        <f aca="false">IF($C367="","",IFERROR(MATCH($C367,'Программа тренировок'!$C$6:$C$25,0),""))</f>
        <v/>
      </c>
    </row>
    <row r="368" customFormat="false" ht="15" hidden="false" customHeight="true" outlineLevel="0" collapsed="false">
      <c r="A368" s="20"/>
      <c r="B368" s="21"/>
      <c r="C368" s="19"/>
      <c r="D368" s="18"/>
      <c r="E368" s="17"/>
      <c r="F368" s="18"/>
      <c r="G368" s="18"/>
      <c r="H368" s="21"/>
      <c r="I368" s="19"/>
      <c r="J368" s="8" t="str">
        <f aca="false">IF(OR(E368="",F368=""),"",E368*F368)</f>
        <v/>
      </c>
      <c r="K368" s="22" t="str">
        <f aca="false">IF($M368="","",INDEX('Программа тренировок'!$G$6:$G$25,$M368))</f>
        <v/>
      </c>
      <c r="L368" s="23" t="str">
        <f aca="false">IF(OR($M368="",$F368="",$G368=""),"",IF($H368="Разминка","Разминка",IF($F368&lt;INDEX('Программа тренировок'!$E$6:$E$25,$M368),"Ниже диапазона",IF(AND($F368&gt;=INDEX('Программа тренировок'!$F$6:$F$25,$M368),$G368&gt;=INDEX('Программа тренировок'!$L$6:$L$25,$M368)),"Верх диапазона: пора добавлять вес",IF($G368&lt;INDEX('Программа тренировок'!$L$6:$L$25,$M368),"RIR ниже цели","В диапазоне")))))</f>
        <v/>
      </c>
      <c r="M368" s="23" t="str">
        <f aca="false">IF($C368="","",IFERROR(MATCH($C368,'Программа тренировок'!$C$6:$C$25,0),""))</f>
        <v/>
      </c>
    </row>
    <row r="369" customFormat="false" ht="15" hidden="false" customHeight="true" outlineLevel="0" collapsed="false">
      <c r="A369" s="20"/>
      <c r="B369" s="21"/>
      <c r="C369" s="19"/>
      <c r="D369" s="18"/>
      <c r="E369" s="17"/>
      <c r="F369" s="18"/>
      <c r="G369" s="18"/>
      <c r="H369" s="21"/>
      <c r="I369" s="19"/>
      <c r="J369" s="8" t="str">
        <f aca="false">IF(OR(E369="",F369=""),"",E369*F369)</f>
        <v/>
      </c>
      <c r="K369" s="22" t="str">
        <f aca="false">IF($M369="","",INDEX('Программа тренировок'!$G$6:$G$25,$M369))</f>
        <v/>
      </c>
      <c r="L369" s="23" t="str">
        <f aca="false">IF(OR($M369="",$F369="",$G369=""),"",IF($H369="Разминка","Разминка",IF($F369&lt;INDEX('Программа тренировок'!$E$6:$E$25,$M369),"Ниже диапазона",IF(AND($F369&gt;=INDEX('Программа тренировок'!$F$6:$F$25,$M369),$G369&gt;=INDEX('Программа тренировок'!$L$6:$L$25,$M369)),"Верх диапазона: пора добавлять вес",IF($G369&lt;INDEX('Программа тренировок'!$L$6:$L$25,$M369),"RIR ниже цели","В диапазоне")))))</f>
        <v/>
      </c>
      <c r="M369" s="23" t="str">
        <f aca="false">IF($C369="","",IFERROR(MATCH($C369,'Программа тренировок'!$C$6:$C$25,0),""))</f>
        <v/>
      </c>
    </row>
    <row r="370" customFormat="false" ht="15" hidden="false" customHeight="true" outlineLevel="0" collapsed="false">
      <c r="A370" s="20"/>
      <c r="B370" s="21"/>
      <c r="C370" s="19"/>
      <c r="D370" s="18"/>
      <c r="E370" s="17"/>
      <c r="F370" s="18"/>
      <c r="G370" s="18"/>
      <c r="H370" s="21"/>
      <c r="I370" s="19"/>
      <c r="J370" s="8" t="str">
        <f aca="false">IF(OR(E370="",F370=""),"",E370*F370)</f>
        <v/>
      </c>
      <c r="K370" s="22" t="str">
        <f aca="false">IF($M370="","",INDEX('Программа тренировок'!$G$6:$G$25,$M370))</f>
        <v/>
      </c>
      <c r="L370" s="23" t="str">
        <f aca="false">IF(OR($M370="",$F370="",$G370=""),"",IF($H370="Разминка","Разминка",IF($F370&lt;INDEX('Программа тренировок'!$E$6:$E$25,$M370),"Ниже диапазона",IF(AND($F370&gt;=INDEX('Программа тренировок'!$F$6:$F$25,$M370),$G370&gt;=INDEX('Программа тренировок'!$L$6:$L$25,$M370)),"Верх диапазона: пора добавлять вес",IF($G370&lt;INDEX('Программа тренировок'!$L$6:$L$25,$M370),"RIR ниже цели","В диапазоне")))))</f>
        <v/>
      </c>
      <c r="M370" s="23" t="str">
        <f aca="false">IF($C370="","",IFERROR(MATCH($C370,'Программа тренировок'!$C$6:$C$25,0),""))</f>
        <v/>
      </c>
    </row>
    <row r="371" customFormat="false" ht="15" hidden="false" customHeight="true" outlineLevel="0" collapsed="false">
      <c r="A371" s="20"/>
      <c r="B371" s="21"/>
      <c r="C371" s="19"/>
      <c r="D371" s="18"/>
      <c r="E371" s="17"/>
      <c r="F371" s="18"/>
      <c r="G371" s="18"/>
      <c r="H371" s="21"/>
      <c r="I371" s="19"/>
      <c r="J371" s="8" t="str">
        <f aca="false">IF(OR(E371="",F371=""),"",E371*F371)</f>
        <v/>
      </c>
      <c r="K371" s="22" t="str">
        <f aca="false">IF($M371="","",INDEX('Программа тренировок'!$G$6:$G$25,$M371))</f>
        <v/>
      </c>
      <c r="L371" s="23" t="str">
        <f aca="false">IF(OR($M371="",$F371="",$G371=""),"",IF($H371="Разминка","Разминка",IF($F371&lt;INDEX('Программа тренировок'!$E$6:$E$25,$M371),"Ниже диапазона",IF(AND($F371&gt;=INDEX('Программа тренировок'!$F$6:$F$25,$M371),$G371&gt;=INDEX('Программа тренировок'!$L$6:$L$25,$M371)),"Верх диапазона: пора добавлять вес",IF($G371&lt;INDEX('Программа тренировок'!$L$6:$L$25,$M371),"RIR ниже цели","В диапазоне")))))</f>
        <v/>
      </c>
      <c r="M371" s="23" t="str">
        <f aca="false">IF($C371="","",IFERROR(MATCH($C371,'Программа тренировок'!$C$6:$C$25,0),""))</f>
        <v/>
      </c>
    </row>
    <row r="372" customFormat="false" ht="15" hidden="false" customHeight="true" outlineLevel="0" collapsed="false">
      <c r="A372" s="20"/>
      <c r="B372" s="21"/>
      <c r="C372" s="19"/>
      <c r="D372" s="18"/>
      <c r="E372" s="17"/>
      <c r="F372" s="18"/>
      <c r="G372" s="18"/>
      <c r="H372" s="21"/>
      <c r="I372" s="19"/>
      <c r="J372" s="8" t="str">
        <f aca="false">IF(OR(E372="",F372=""),"",E372*F372)</f>
        <v/>
      </c>
      <c r="K372" s="22" t="str">
        <f aca="false">IF($M372="","",INDEX('Программа тренировок'!$G$6:$G$25,$M372))</f>
        <v/>
      </c>
      <c r="L372" s="23" t="str">
        <f aca="false">IF(OR($M372="",$F372="",$G372=""),"",IF($H372="Разминка","Разминка",IF($F372&lt;INDEX('Программа тренировок'!$E$6:$E$25,$M372),"Ниже диапазона",IF(AND($F372&gt;=INDEX('Программа тренировок'!$F$6:$F$25,$M372),$G372&gt;=INDEX('Программа тренировок'!$L$6:$L$25,$M372)),"Верх диапазона: пора добавлять вес",IF($G372&lt;INDEX('Программа тренировок'!$L$6:$L$25,$M372),"RIR ниже цели","В диапазоне")))))</f>
        <v/>
      </c>
      <c r="M372" s="23" t="str">
        <f aca="false">IF($C372="","",IFERROR(MATCH($C372,'Программа тренировок'!$C$6:$C$25,0),""))</f>
        <v/>
      </c>
    </row>
    <row r="373" customFormat="false" ht="15" hidden="false" customHeight="true" outlineLevel="0" collapsed="false">
      <c r="A373" s="20"/>
      <c r="B373" s="21"/>
      <c r="C373" s="19"/>
      <c r="D373" s="18"/>
      <c r="E373" s="17"/>
      <c r="F373" s="18"/>
      <c r="G373" s="18"/>
      <c r="H373" s="21"/>
      <c r="I373" s="19"/>
      <c r="J373" s="8" t="str">
        <f aca="false">IF(OR(E373="",F373=""),"",E373*F373)</f>
        <v/>
      </c>
      <c r="K373" s="22" t="str">
        <f aca="false">IF($M373="","",INDEX('Программа тренировок'!$G$6:$G$25,$M373))</f>
        <v/>
      </c>
      <c r="L373" s="23" t="str">
        <f aca="false">IF(OR($M373="",$F373="",$G373=""),"",IF($H373="Разминка","Разминка",IF($F373&lt;INDEX('Программа тренировок'!$E$6:$E$25,$M373),"Ниже диапазона",IF(AND($F373&gt;=INDEX('Программа тренировок'!$F$6:$F$25,$M373),$G373&gt;=INDEX('Программа тренировок'!$L$6:$L$25,$M373)),"Верх диапазона: пора добавлять вес",IF($G373&lt;INDEX('Программа тренировок'!$L$6:$L$25,$M373),"RIR ниже цели","В диапазоне")))))</f>
        <v/>
      </c>
      <c r="M373" s="23" t="str">
        <f aca="false">IF($C373="","",IFERROR(MATCH($C373,'Программа тренировок'!$C$6:$C$25,0),""))</f>
        <v/>
      </c>
    </row>
    <row r="374" customFormat="false" ht="15" hidden="false" customHeight="true" outlineLevel="0" collapsed="false">
      <c r="A374" s="20"/>
      <c r="B374" s="21"/>
      <c r="C374" s="19"/>
      <c r="D374" s="18"/>
      <c r="E374" s="17"/>
      <c r="F374" s="18"/>
      <c r="G374" s="18"/>
      <c r="H374" s="21"/>
      <c r="I374" s="19"/>
      <c r="J374" s="8" t="str">
        <f aca="false">IF(OR(E374="",F374=""),"",E374*F374)</f>
        <v/>
      </c>
      <c r="K374" s="22" t="str">
        <f aca="false">IF($M374="","",INDEX('Программа тренировок'!$G$6:$G$25,$M374))</f>
        <v/>
      </c>
      <c r="L374" s="23" t="str">
        <f aca="false">IF(OR($M374="",$F374="",$G374=""),"",IF($H374="Разминка","Разминка",IF($F374&lt;INDEX('Программа тренировок'!$E$6:$E$25,$M374),"Ниже диапазона",IF(AND($F374&gt;=INDEX('Программа тренировок'!$F$6:$F$25,$M374),$G374&gt;=INDEX('Программа тренировок'!$L$6:$L$25,$M374)),"Верх диапазона: пора добавлять вес",IF($G374&lt;INDEX('Программа тренировок'!$L$6:$L$25,$M374),"RIR ниже цели","В диапазоне")))))</f>
        <v/>
      </c>
      <c r="M374" s="23" t="str">
        <f aca="false">IF($C374="","",IFERROR(MATCH($C374,'Программа тренировок'!$C$6:$C$25,0),""))</f>
        <v/>
      </c>
    </row>
    <row r="375" customFormat="false" ht="15" hidden="false" customHeight="true" outlineLevel="0" collapsed="false">
      <c r="A375" s="20"/>
      <c r="B375" s="21"/>
      <c r="C375" s="19"/>
      <c r="D375" s="18"/>
      <c r="E375" s="17"/>
      <c r="F375" s="18"/>
      <c r="G375" s="18"/>
      <c r="H375" s="21"/>
      <c r="I375" s="19"/>
      <c r="J375" s="8" t="str">
        <f aca="false">IF(OR(E375="",F375=""),"",E375*F375)</f>
        <v/>
      </c>
      <c r="K375" s="22" t="str">
        <f aca="false">IF($M375="","",INDEX('Программа тренировок'!$G$6:$G$25,$M375))</f>
        <v/>
      </c>
      <c r="L375" s="23" t="str">
        <f aca="false">IF(OR($M375="",$F375="",$G375=""),"",IF($H375="Разминка","Разминка",IF($F375&lt;INDEX('Программа тренировок'!$E$6:$E$25,$M375),"Ниже диапазона",IF(AND($F375&gt;=INDEX('Программа тренировок'!$F$6:$F$25,$M375),$G375&gt;=INDEX('Программа тренировок'!$L$6:$L$25,$M375)),"Верх диапазона: пора добавлять вес",IF($G375&lt;INDEX('Программа тренировок'!$L$6:$L$25,$M375),"RIR ниже цели","В диапазоне")))))</f>
        <v/>
      </c>
      <c r="M375" s="23" t="str">
        <f aca="false">IF($C375="","",IFERROR(MATCH($C375,'Программа тренировок'!$C$6:$C$25,0),""))</f>
        <v/>
      </c>
    </row>
    <row r="376" customFormat="false" ht="15" hidden="false" customHeight="true" outlineLevel="0" collapsed="false">
      <c r="A376" s="20"/>
      <c r="B376" s="21"/>
      <c r="C376" s="19"/>
      <c r="D376" s="18"/>
      <c r="E376" s="17"/>
      <c r="F376" s="18"/>
      <c r="G376" s="18"/>
      <c r="H376" s="21"/>
      <c r="I376" s="19"/>
      <c r="J376" s="8" t="str">
        <f aca="false">IF(OR(E376="",F376=""),"",E376*F376)</f>
        <v/>
      </c>
      <c r="K376" s="22" t="str">
        <f aca="false">IF($M376="","",INDEX('Программа тренировок'!$G$6:$G$25,$M376))</f>
        <v/>
      </c>
      <c r="L376" s="23" t="str">
        <f aca="false">IF(OR($M376="",$F376="",$G376=""),"",IF($H376="Разминка","Разминка",IF($F376&lt;INDEX('Программа тренировок'!$E$6:$E$25,$M376),"Ниже диапазона",IF(AND($F376&gt;=INDEX('Программа тренировок'!$F$6:$F$25,$M376),$G376&gt;=INDEX('Программа тренировок'!$L$6:$L$25,$M376)),"Верх диапазона: пора добавлять вес",IF($G376&lt;INDEX('Программа тренировок'!$L$6:$L$25,$M376),"RIR ниже цели","В диапазоне")))))</f>
        <v/>
      </c>
      <c r="M376" s="23" t="str">
        <f aca="false">IF($C376="","",IFERROR(MATCH($C376,'Программа тренировок'!$C$6:$C$25,0),""))</f>
        <v/>
      </c>
    </row>
    <row r="377" customFormat="false" ht="15" hidden="false" customHeight="true" outlineLevel="0" collapsed="false">
      <c r="A377" s="20"/>
      <c r="B377" s="21"/>
      <c r="C377" s="19"/>
      <c r="D377" s="18"/>
      <c r="E377" s="17"/>
      <c r="F377" s="18"/>
      <c r="G377" s="18"/>
      <c r="H377" s="21"/>
      <c r="I377" s="19"/>
      <c r="J377" s="8" t="str">
        <f aca="false">IF(OR(E377="",F377=""),"",E377*F377)</f>
        <v/>
      </c>
      <c r="K377" s="22" t="str">
        <f aca="false">IF($M377="","",INDEX('Программа тренировок'!$G$6:$G$25,$M377))</f>
        <v/>
      </c>
      <c r="L377" s="23" t="str">
        <f aca="false">IF(OR($M377="",$F377="",$G377=""),"",IF($H377="Разминка","Разминка",IF($F377&lt;INDEX('Программа тренировок'!$E$6:$E$25,$M377),"Ниже диапазона",IF(AND($F377&gt;=INDEX('Программа тренировок'!$F$6:$F$25,$M377),$G377&gt;=INDEX('Программа тренировок'!$L$6:$L$25,$M377)),"Верх диапазона: пора добавлять вес",IF($G377&lt;INDEX('Программа тренировок'!$L$6:$L$25,$M377),"RIR ниже цели","В диапазоне")))))</f>
        <v/>
      </c>
      <c r="M377" s="23" t="str">
        <f aca="false">IF($C377="","",IFERROR(MATCH($C377,'Программа тренировок'!$C$6:$C$25,0),""))</f>
        <v/>
      </c>
    </row>
    <row r="378" customFormat="false" ht="15" hidden="false" customHeight="true" outlineLevel="0" collapsed="false">
      <c r="A378" s="20"/>
      <c r="B378" s="21"/>
      <c r="C378" s="19"/>
      <c r="D378" s="18"/>
      <c r="E378" s="17"/>
      <c r="F378" s="18"/>
      <c r="G378" s="18"/>
      <c r="H378" s="21"/>
      <c r="I378" s="19"/>
      <c r="J378" s="8" t="str">
        <f aca="false">IF(OR(E378="",F378=""),"",E378*F378)</f>
        <v/>
      </c>
      <c r="K378" s="22" t="str">
        <f aca="false">IF($M378="","",INDEX('Программа тренировок'!$G$6:$G$25,$M378))</f>
        <v/>
      </c>
      <c r="L378" s="23" t="str">
        <f aca="false">IF(OR($M378="",$F378="",$G378=""),"",IF($H378="Разминка","Разминка",IF($F378&lt;INDEX('Программа тренировок'!$E$6:$E$25,$M378),"Ниже диапазона",IF(AND($F378&gt;=INDEX('Программа тренировок'!$F$6:$F$25,$M378),$G378&gt;=INDEX('Программа тренировок'!$L$6:$L$25,$M378)),"Верх диапазона: пора добавлять вес",IF($G378&lt;INDEX('Программа тренировок'!$L$6:$L$25,$M378),"RIR ниже цели","В диапазоне")))))</f>
        <v/>
      </c>
      <c r="M378" s="23" t="str">
        <f aca="false">IF($C378="","",IFERROR(MATCH($C378,'Программа тренировок'!$C$6:$C$25,0),""))</f>
        <v/>
      </c>
    </row>
    <row r="379" customFormat="false" ht="15" hidden="false" customHeight="true" outlineLevel="0" collapsed="false">
      <c r="A379" s="20"/>
      <c r="B379" s="21"/>
      <c r="C379" s="19"/>
      <c r="D379" s="18"/>
      <c r="E379" s="17"/>
      <c r="F379" s="18"/>
      <c r="G379" s="18"/>
      <c r="H379" s="21"/>
      <c r="I379" s="19"/>
      <c r="J379" s="8" t="str">
        <f aca="false">IF(OR(E379="",F379=""),"",E379*F379)</f>
        <v/>
      </c>
      <c r="K379" s="22" t="str">
        <f aca="false">IF($M379="","",INDEX('Программа тренировок'!$G$6:$G$25,$M379))</f>
        <v/>
      </c>
      <c r="L379" s="23" t="str">
        <f aca="false">IF(OR($M379="",$F379="",$G379=""),"",IF($H379="Разминка","Разминка",IF($F379&lt;INDEX('Программа тренировок'!$E$6:$E$25,$M379),"Ниже диапазона",IF(AND($F379&gt;=INDEX('Программа тренировок'!$F$6:$F$25,$M379),$G379&gt;=INDEX('Программа тренировок'!$L$6:$L$25,$M379)),"Верх диапазона: пора добавлять вес",IF($G379&lt;INDEX('Программа тренировок'!$L$6:$L$25,$M379),"RIR ниже цели","В диапазоне")))))</f>
        <v/>
      </c>
      <c r="M379" s="23" t="str">
        <f aca="false">IF($C379="","",IFERROR(MATCH($C379,'Программа тренировок'!$C$6:$C$25,0),""))</f>
        <v/>
      </c>
    </row>
    <row r="380" customFormat="false" ht="15" hidden="false" customHeight="true" outlineLevel="0" collapsed="false">
      <c r="A380" s="20"/>
      <c r="B380" s="21"/>
      <c r="C380" s="19"/>
      <c r="D380" s="18"/>
      <c r="E380" s="17"/>
      <c r="F380" s="18"/>
      <c r="G380" s="18"/>
      <c r="H380" s="21"/>
      <c r="I380" s="19"/>
      <c r="J380" s="8" t="str">
        <f aca="false">IF(OR(E380="",F380=""),"",E380*F380)</f>
        <v/>
      </c>
      <c r="K380" s="22" t="str">
        <f aca="false">IF($M380="","",INDEX('Программа тренировок'!$G$6:$G$25,$M380))</f>
        <v/>
      </c>
      <c r="L380" s="23" t="str">
        <f aca="false">IF(OR($M380="",$F380="",$G380=""),"",IF($H380="Разминка","Разминка",IF($F380&lt;INDEX('Программа тренировок'!$E$6:$E$25,$M380),"Ниже диапазона",IF(AND($F380&gt;=INDEX('Программа тренировок'!$F$6:$F$25,$M380),$G380&gt;=INDEX('Программа тренировок'!$L$6:$L$25,$M380)),"Верх диапазона: пора добавлять вес",IF($G380&lt;INDEX('Программа тренировок'!$L$6:$L$25,$M380),"RIR ниже цели","В диапазоне")))))</f>
        <v/>
      </c>
      <c r="M380" s="23" t="str">
        <f aca="false">IF($C380="","",IFERROR(MATCH($C380,'Программа тренировок'!$C$6:$C$25,0),""))</f>
        <v/>
      </c>
    </row>
    <row r="381" customFormat="false" ht="15" hidden="false" customHeight="true" outlineLevel="0" collapsed="false">
      <c r="A381" s="20"/>
      <c r="B381" s="21"/>
      <c r="C381" s="19"/>
      <c r="D381" s="18"/>
      <c r="E381" s="17"/>
      <c r="F381" s="18"/>
      <c r="G381" s="18"/>
      <c r="H381" s="21"/>
      <c r="I381" s="19"/>
      <c r="J381" s="8" t="str">
        <f aca="false">IF(OR(E381="",F381=""),"",E381*F381)</f>
        <v/>
      </c>
      <c r="K381" s="22" t="str">
        <f aca="false">IF($M381="","",INDEX('Программа тренировок'!$G$6:$G$25,$M381))</f>
        <v/>
      </c>
      <c r="L381" s="23" t="str">
        <f aca="false">IF(OR($M381="",$F381="",$G381=""),"",IF($H381="Разминка","Разминка",IF($F381&lt;INDEX('Программа тренировок'!$E$6:$E$25,$M381),"Ниже диапазона",IF(AND($F381&gt;=INDEX('Программа тренировок'!$F$6:$F$25,$M381),$G381&gt;=INDEX('Программа тренировок'!$L$6:$L$25,$M381)),"Верх диапазона: пора добавлять вес",IF($G381&lt;INDEX('Программа тренировок'!$L$6:$L$25,$M381),"RIR ниже цели","В диапазоне")))))</f>
        <v/>
      </c>
      <c r="M381" s="23" t="str">
        <f aca="false">IF($C381="","",IFERROR(MATCH($C381,'Программа тренировок'!$C$6:$C$25,0),""))</f>
        <v/>
      </c>
    </row>
    <row r="382" customFormat="false" ht="15" hidden="false" customHeight="true" outlineLevel="0" collapsed="false">
      <c r="A382" s="20"/>
      <c r="B382" s="21"/>
      <c r="C382" s="19"/>
      <c r="D382" s="18"/>
      <c r="E382" s="17"/>
      <c r="F382" s="18"/>
      <c r="G382" s="18"/>
      <c r="H382" s="21"/>
      <c r="I382" s="19"/>
      <c r="J382" s="8" t="str">
        <f aca="false">IF(OR(E382="",F382=""),"",E382*F382)</f>
        <v/>
      </c>
      <c r="K382" s="22" t="str">
        <f aca="false">IF($M382="","",INDEX('Программа тренировок'!$G$6:$G$25,$M382))</f>
        <v/>
      </c>
      <c r="L382" s="23" t="str">
        <f aca="false">IF(OR($M382="",$F382="",$G382=""),"",IF($H382="Разминка","Разминка",IF($F382&lt;INDEX('Программа тренировок'!$E$6:$E$25,$M382),"Ниже диапазона",IF(AND($F382&gt;=INDEX('Программа тренировок'!$F$6:$F$25,$M382),$G382&gt;=INDEX('Программа тренировок'!$L$6:$L$25,$M382)),"Верх диапазона: пора добавлять вес",IF($G382&lt;INDEX('Программа тренировок'!$L$6:$L$25,$M382),"RIR ниже цели","В диапазоне")))))</f>
        <v/>
      </c>
      <c r="M382" s="23" t="str">
        <f aca="false">IF($C382="","",IFERROR(MATCH($C382,'Программа тренировок'!$C$6:$C$25,0),""))</f>
        <v/>
      </c>
    </row>
    <row r="383" customFormat="false" ht="15" hidden="false" customHeight="true" outlineLevel="0" collapsed="false">
      <c r="A383" s="20"/>
      <c r="B383" s="21"/>
      <c r="C383" s="19"/>
      <c r="D383" s="18"/>
      <c r="E383" s="17"/>
      <c r="F383" s="18"/>
      <c r="G383" s="18"/>
      <c r="H383" s="21"/>
      <c r="I383" s="19"/>
      <c r="J383" s="8" t="str">
        <f aca="false">IF(OR(E383="",F383=""),"",E383*F383)</f>
        <v/>
      </c>
      <c r="K383" s="22" t="str">
        <f aca="false">IF($M383="","",INDEX('Программа тренировок'!$G$6:$G$25,$M383))</f>
        <v/>
      </c>
      <c r="L383" s="23" t="str">
        <f aca="false">IF(OR($M383="",$F383="",$G383=""),"",IF($H383="Разминка","Разминка",IF($F383&lt;INDEX('Программа тренировок'!$E$6:$E$25,$M383),"Ниже диапазона",IF(AND($F383&gt;=INDEX('Программа тренировок'!$F$6:$F$25,$M383),$G383&gt;=INDEX('Программа тренировок'!$L$6:$L$25,$M383)),"Верх диапазона: пора добавлять вес",IF($G383&lt;INDEX('Программа тренировок'!$L$6:$L$25,$M383),"RIR ниже цели","В диапазоне")))))</f>
        <v/>
      </c>
      <c r="M383" s="23" t="str">
        <f aca="false">IF($C383="","",IFERROR(MATCH($C383,'Программа тренировок'!$C$6:$C$25,0),""))</f>
        <v/>
      </c>
    </row>
    <row r="384" customFormat="false" ht="15" hidden="false" customHeight="true" outlineLevel="0" collapsed="false">
      <c r="A384" s="20"/>
      <c r="B384" s="21"/>
      <c r="C384" s="19"/>
      <c r="D384" s="18"/>
      <c r="E384" s="17"/>
      <c r="F384" s="18"/>
      <c r="G384" s="18"/>
      <c r="H384" s="21"/>
      <c r="I384" s="19"/>
      <c r="J384" s="8" t="str">
        <f aca="false">IF(OR(E384="",F384=""),"",E384*F384)</f>
        <v/>
      </c>
      <c r="K384" s="22" t="str">
        <f aca="false">IF($M384="","",INDEX('Программа тренировок'!$G$6:$G$25,$M384))</f>
        <v/>
      </c>
      <c r="L384" s="23" t="str">
        <f aca="false">IF(OR($M384="",$F384="",$G384=""),"",IF($H384="Разминка","Разминка",IF($F384&lt;INDEX('Программа тренировок'!$E$6:$E$25,$M384),"Ниже диапазона",IF(AND($F384&gt;=INDEX('Программа тренировок'!$F$6:$F$25,$M384),$G384&gt;=INDEX('Программа тренировок'!$L$6:$L$25,$M384)),"Верх диапазона: пора добавлять вес",IF($G384&lt;INDEX('Программа тренировок'!$L$6:$L$25,$M384),"RIR ниже цели","В диапазоне")))))</f>
        <v/>
      </c>
      <c r="M384" s="23" t="str">
        <f aca="false">IF($C384="","",IFERROR(MATCH($C384,'Программа тренировок'!$C$6:$C$25,0),""))</f>
        <v/>
      </c>
    </row>
    <row r="385" customFormat="false" ht="15" hidden="false" customHeight="true" outlineLevel="0" collapsed="false">
      <c r="A385" s="20"/>
      <c r="B385" s="21"/>
      <c r="C385" s="19"/>
      <c r="D385" s="18"/>
      <c r="E385" s="17"/>
      <c r="F385" s="18"/>
      <c r="G385" s="18"/>
      <c r="H385" s="21"/>
      <c r="I385" s="19"/>
      <c r="J385" s="8" t="str">
        <f aca="false">IF(OR(E385="",F385=""),"",E385*F385)</f>
        <v/>
      </c>
      <c r="K385" s="22" t="str">
        <f aca="false">IF($M385="","",INDEX('Программа тренировок'!$G$6:$G$25,$M385))</f>
        <v/>
      </c>
      <c r="L385" s="23" t="str">
        <f aca="false">IF(OR($M385="",$F385="",$G385=""),"",IF($H385="Разминка","Разминка",IF($F385&lt;INDEX('Программа тренировок'!$E$6:$E$25,$M385),"Ниже диапазона",IF(AND($F385&gt;=INDEX('Программа тренировок'!$F$6:$F$25,$M385),$G385&gt;=INDEX('Программа тренировок'!$L$6:$L$25,$M385)),"Верх диапазона: пора добавлять вес",IF($G385&lt;INDEX('Программа тренировок'!$L$6:$L$25,$M385),"RIR ниже цели","В диапазоне")))))</f>
        <v/>
      </c>
      <c r="M385" s="23" t="str">
        <f aca="false">IF($C385="","",IFERROR(MATCH($C385,'Программа тренировок'!$C$6:$C$25,0),""))</f>
        <v/>
      </c>
    </row>
    <row r="386" customFormat="false" ht="15" hidden="false" customHeight="true" outlineLevel="0" collapsed="false">
      <c r="A386" s="20"/>
      <c r="B386" s="21"/>
      <c r="C386" s="19"/>
      <c r="D386" s="18"/>
      <c r="E386" s="17"/>
      <c r="F386" s="18"/>
      <c r="G386" s="18"/>
      <c r="H386" s="21"/>
      <c r="I386" s="19"/>
      <c r="J386" s="8" t="str">
        <f aca="false">IF(OR(E386="",F386=""),"",E386*F386)</f>
        <v/>
      </c>
      <c r="K386" s="22" t="str">
        <f aca="false">IF($M386="","",INDEX('Программа тренировок'!$G$6:$G$25,$M386))</f>
        <v/>
      </c>
      <c r="L386" s="23" t="str">
        <f aca="false">IF(OR($M386="",$F386="",$G386=""),"",IF($H386="Разминка","Разминка",IF($F386&lt;INDEX('Программа тренировок'!$E$6:$E$25,$M386),"Ниже диапазона",IF(AND($F386&gt;=INDEX('Программа тренировок'!$F$6:$F$25,$M386),$G386&gt;=INDEX('Программа тренировок'!$L$6:$L$25,$M386)),"Верх диапазона: пора добавлять вес",IF($G386&lt;INDEX('Программа тренировок'!$L$6:$L$25,$M386),"RIR ниже цели","В диапазоне")))))</f>
        <v/>
      </c>
      <c r="M386" s="23" t="str">
        <f aca="false">IF($C386="","",IFERROR(MATCH($C386,'Программа тренировок'!$C$6:$C$25,0),""))</f>
        <v/>
      </c>
    </row>
    <row r="387" customFormat="false" ht="15" hidden="false" customHeight="true" outlineLevel="0" collapsed="false">
      <c r="A387" s="20"/>
      <c r="B387" s="21"/>
      <c r="C387" s="19"/>
      <c r="D387" s="18"/>
      <c r="E387" s="17"/>
      <c r="F387" s="18"/>
      <c r="G387" s="18"/>
      <c r="H387" s="21"/>
      <c r="I387" s="19"/>
      <c r="J387" s="8" t="str">
        <f aca="false">IF(OR(E387="",F387=""),"",E387*F387)</f>
        <v/>
      </c>
      <c r="K387" s="22" t="str">
        <f aca="false">IF($M387="","",INDEX('Программа тренировок'!$G$6:$G$25,$M387))</f>
        <v/>
      </c>
      <c r="L387" s="23" t="str">
        <f aca="false">IF(OR($M387="",$F387="",$G387=""),"",IF($H387="Разминка","Разминка",IF($F387&lt;INDEX('Программа тренировок'!$E$6:$E$25,$M387),"Ниже диапазона",IF(AND($F387&gt;=INDEX('Программа тренировок'!$F$6:$F$25,$M387),$G387&gt;=INDEX('Программа тренировок'!$L$6:$L$25,$M387)),"Верх диапазона: пора добавлять вес",IF($G387&lt;INDEX('Программа тренировок'!$L$6:$L$25,$M387),"RIR ниже цели","В диапазоне")))))</f>
        <v/>
      </c>
      <c r="M387" s="23" t="str">
        <f aca="false">IF($C387="","",IFERROR(MATCH($C387,'Программа тренировок'!$C$6:$C$25,0),""))</f>
        <v/>
      </c>
    </row>
    <row r="388" customFormat="false" ht="15" hidden="false" customHeight="true" outlineLevel="0" collapsed="false">
      <c r="A388" s="20"/>
      <c r="B388" s="21"/>
      <c r="C388" s="19"/>
      <c r="D388" s="18"/>
      <c r="E388" s="17"/>
      <c r="F388" s="18"/>
      <c r="G388" s="18"/>
      <c r="H388" s="21"/>
      <c r="I388" s="19"/>
      <c r="J388" s="8" t="str">
        <f aca="false">IF(OR(E388="",F388=""),"",E388*F388)</f>
        <v/>
      </c>
      <c r="K388" s="22" t="str">
        <f aca="false">IF($M388="","",INDEX('Программа тренировок'!$G$6:$G$25,$M388))</f>
        <v/>
      </c>
      <c r="L388" s="23" t="str">
        <f aca="false">IF(OR($M388="",$F388="",$G388=""),"",IF($H388="Разминка","Разминка",IF($F388&lt;INDEX('Программа тренировок'!$E$6:$E$25,$M388),"Ниже диапазона",IF(AND($F388&gt;=INDEX('Программа тренировок'!$F$6:$F$25,$M388),$G388&gt;=INDEX('Программа тренировок'!$L$6:$L$25,$M388)),"Верх диапазона: пора добавлять вес",IF($G388&lt;INDEX('Программа тренировок'!$L$6:$L$25,$M388),"RIR ниже цели","В диапазоне")))))</f>
        <v/>
      </c>
      <c r="M388" s="23" t="str">
        <f aca="false">IF($C388="","",IFERROR(MATCH($C388,'Программа тренировок'!$C$6:$C$25,0),""))</f>
        <v/>
      </c>
    </row>
    <row r="389" customFormat="false" ht="15" hidden="false" customHeight="true" outlineLevel="0" collapsed="false">
      <c r="A389" s="20"/>
      <c r="B389" s="21"/>
      <c r="C389" s="19"/>
      <c r="D389" s="18"/>
      <c r="E389" s="17"/>
      <c r="F389" s="18"/>
      <c r="G389" s="18"/>
      <c r="H389" s="21"/>
      <c r="I389" s="19"/>
      <c r="J389" s="8" t="str">
        <f aca="false">IF(OR(E389="",F389=""),"",E389*F389)</f>
        <v/>
      </c>
      <c r="K389" s="22" t="str">
        <f aca="false">IF($M389="","",INDEX('Программа тренировок'!$G$6:$G$25,$M389))</f>
        <v/>
      </c>
      <c r="L389" s="23" t="str">
        <f aca="false">IF(OR($M389="",$F389="",$G389=""),"",IF($H389="Разминка","Разминка",IF($F389&lt;INDEX('Программа тренировок'!$E$6:$E$25,$M389),"Ниже диапазона",IF(AND($F389&gt;=INDEX('Программа тренировок'!$F$6:$F$25,$M389),$G389&gt;=INDEX('Программа тренировок'!$L$6:$L$25,$M389)),"Верх диапазона: пора добавлять вес",IF($G389&lt;INDEX('Программа тренировок'!$L$6:$L$25,$M389),"RIR ниже цели","В диапазоне")))))</f>
        <v/>
      </c>
      <c r="M389" s="23" t="str">
        <f aca="false">IF($C389="","",IFERROR(MATCH($C389,'Программа тренировок'!$C$6:$C$25,0),""))</f>
        <v/>
      </c>
    </row>
    <row r="390" customFormat="false" ht="15" hidden="false" customHeight="true" outlineLevel="0" collapsed="false">
      <c r="A390" s="20"/>
      <c r="B390" s="21"/>
      <c r="C390" s="19"/>
      <c r="D390" s="18"/>
      <c r="E390" s="17"/>
      <c r="F390" s="18"/>
      <c r="G390" s="18"/>
      <c r="H390" s="21"/>
      <c r="I390" s="19"/>
      <c r="J390" s="8" t="str">
        <f aca="false">IF(OR(E390="",F390=""),"",E390*F390)</f>
        <v/>
      </c>
      <c r="K390" s="22" t="str">
        <f aca="false">IF($M390="","",INDEX('Программа тренировок'!$G$6:$G$25,$M390))</f>
        <v/>
      </c>
      <c r="L390" s="23" t="str">
        <f aca="false">IF(OR($M390="",$F390="",$G390=""),"",IF($H390="Разминка","Разминка",IF($F390&lt;INDEX('Программа тренировок'!$E$6:$E$25,$M390),"Ниже диапазона",IF(AND($F390&gt;=INDEX('Программа тренировок'!$F$6:$F$25,$M390),$G390&gt;=INDEX('Программа тренировок'!$L$6:$L$25,$M390)),"Верх диапазона: пора добавлять вес",IF($G390&lt;INDEX('Программа тренировок'!$L$6:$L$25,$M390),"RIR ниже цели","В диапазоне")))))</f>
        <v/>
      </c>
      <c r="M390" s="23" t="str">
        <f aca="false">IF($C390="","",IFERROR(MATCH($C390,'Программа тренировок'!$C$6:$C$25,0),""))</f>
        <v/>
      </c>
    </row>
    <row r="391" customFormat="false" ht="15" hidden="false" customHeight="true" outlineLevel="0" collapsed="false">
      <c r="A391" s="20"/>
      <c r="B391" s="21"/>
      <c r="C391" s="19"/>
      <c r="D391" s="18"/>
      <c r="E391" s="17"/>
      <c r="F391" s="18"/>
      <c r="G391" s="18"/>
      <c r="H391" s="21"/>
      <c r="I391" s="19"/>
      <c r="J391" s="8" t="str">
        <f aca="false">IF(OR(E391="",F391=""),"",E391*F391)</f>
        <v/>
      </c>
      <c r="K391" s="22" t="str">
        <f aca="false">IF($M391="","",INDEX('Программа тренировок'!$G$6:$G$25,$M391))</f>
        <v/>
      </c>
      <c r="L391" s="23" t="str">
        <f aca="false">IF(OR($M391="",$F391="",$G391=""),"",IF($H391="Разминка","Разминка",IF($F391&lt;INDEX('Программа тренировок'!$E$6:$E$25,$M391),"Ниже диапазона",IF(AND($F391&gt;=INDEX('Программа тренировок'!$F$6:$F$25,$M391),$G391&gt;=INDEX('Программа тренировок'!$L$6:$L$25,$M391)),"Верх диапазона: пора добавлять вес",IF($G391&lt;INDEX('Программа тренировок'!$L$6:$L$25,$M391),"RIR ниже цели","В диапазоне")))))</f>
        <v/>
      </c>
      <c r="M391" s="23" t="str">
        <f aca="false">IF($C391="","",IFERROR(MATCH($C391,'Программа тренировок'!$C$6:$C$25,0),""))</f>
        <v/>
      </c>
    </row>
    <row r="392" customFormat="false" ht="15" hidden="false" customHeight="true" outlineLevel="0" collapsed="false">
      <c r="A392" s="20"/>
      <c r="B392" s="21"/>
      <c r="C392" s="19"/>
      <c r="D392" s="18"/>
      <c r="E392" s="17"/>
      <c r="F392" s="18"/>
      <c r="G392" s="18"/>
      <c r="H392" s="21"/>
      <c r="I392" s="19"/>
      <c r="J392" s="8" t="str">
        <f aca="false">IF(OR(E392="",F392=""),"",E392*F392)</f>
        <v/>
      </c>
      <c r="K392" s="22" t="str">
        <f aca="false">IF($M392="","",INDEX('Программа тренировок'!$G$6:$G$25,$M392))</f>
        <v/>
      </c>
      <c r="L392" s="23" t="str">
        <f aca="false">IF(OR($M392="",$F392="",$G392=""),"",IF($H392="Разминка","Разминка",IF($F392&lt;INDEX('Программа тренировок'!$E$6:$E$25,$M392),"Ниже диапазона",IF(AND($F392&gt;=INDEX('Программа тренировок'!$F$6:$F$25,$M392),$G392&gt;=INDEX('Программа тренировок'!$L$6:$L$25,$M392)),"Верх диапазона: пора добавлять вес",IF($G392&lt;INDEX('Программа тренировок'!$L$6:$L$25,$M392),"RIR ниже цели","В диапазоне")))))</f>
        <v/>
      </c>
      <c r="M392" s="23" t="str">
        <f aca="false">IF($C392="","",IFERROR(MATCH($C392,'Программа тренировок'!$C$6:$C$25,0),""))</f>
        <v/>
      </c>
    </row>
    <row r="393" customFormat="false" ht="15" hidden="false" customHeight="true" outlineLevel="0" collapsed="false">
      <c r="A393" s="20"/>
      <c r="B393" s="21"/>
      <c r="C393" s="19"/>
      <c r="D393" s="18"/>
      <c r="E393" s="17"/>
      <c r="F393" s="18"/>
      <c r="G393" s="18"/>
      <c r="H393" s="21"/>
      <c r="I393" s="19"/>
      <c r="J393" s="8" t="str">
        <f aca="false">IF(OR(E393="",F393=""),"",E393*F393)</f>
        <v/>
      </c>
      <c r="K393" s="22" t="str">
        <f aca="false">IF($M393="","",INDEX('Программа тренировок'!$G$6:$G$25,$M393))</f>
        <v/>
      </c>
      <c r="L393" s="23" t="str">
        <f aca="false">IF(OR($M393="",$F393="",$G393=""),"",IF($H393="Разминка","Разминка",IF($F393&lt;INDEX('Программа тренировок'!$E$6:$E$25,$M393),"Ниже диапазона",IF(AND($F393&gt;=INDEX('Программа тренировок'!$F$6:$F$25,$M393),$G393&gt;=INDEX('Программа тренировок'!$L$6:$L$25,$M393)),"Верх диапазона: пора добавлять вес",IF($G393&lt;INDEX('Программа тренировок'!$L$6:$L$25,$M393),"RIR ниже цели","В диапазоне")))))</f>
        <v/>
      </c>
      <c r="M393" s="23" t="str">
        <f aca="false">IF($C393="","",IFERROR(MATCH($C393,'Программа тренировок'!$C$6:$C$25,0),""))</f>
        <v/>
      </c>
    </row>
    <row r="394" customFormat="false" ht="15" hidden="false" customHeight="true" outlineLevel="0" collapsed="false">
      <c r="A394" s="20"/>
      <c r="B394" s="21"/>
      <c r="C394" s="19"/>
      <c r="D394" s="18"/>
      <c r="E394" s="17"/>
      <c r="F394" s="18"/>
      <c r="G394" s="18"/>
      <c r="H394" s="21"/>
      <c r="I394" s="19"/>
      <c r="J394" s="8" t="str">
        <f aca="false">IF(OR(E394="",F394=""),"",E394*F394)</f>
        <v/>
      </c>
      <c r="K394" s="22" t="str">
        <f aca="false">IF($M394="","",INDEX('Программа тренировок'!$G$6:$G$25,$M394))</f>
        <v/>
      </c>
      <c r="L394" s="23" t="str">
        <f aca="false">IF(OR($M394="",$F394="",$G394=""),"",IF($H394="Разминка","Разминка",IF($F394&lt;INDEX('Программа тренировок'!$E$6:$E$25,$M394),"Ниже диапазона",IF(AND($F394&gt;=INDEX('Программа тренировок'!$F$6:$F$25,$M394),$G394&gt;=INDEX('Программа тренировок'!$L$6:$L$25,$M394)),"Верх диапазона: пора добавлять вес",IF($G394&lt;INDEX('Программа тренировок'!$L$6:$L$25,$M394),"RIR ниже цели","В диапазоне")))))</f>
        <v/>
      </c>
      <c r="M394" s="23" t="str">
        <f aca="false">IF($C394="","",IFERROR(MATCH($C394,'Программа тренировок'!$C$6:$C$25,0),""))</f>
        <v/>
      </c>
    </row>
    <row r="395" customFormat="false" ht="15" hidden="false" customHeight="true" outlineLevel="0" collapsed="false">
      <c r="A395" s="20"/>
      <c r="B395" s="21"/>
      <c r="C395" s="19"/>
      <c r="D395" s="18"/>
      <c r="E395" s="17"/>
      <c r="F395" s="18"/>
      <c r="G395" s="18"/>
      <c r="H395" s="21"/>
      <c r="I395" s="19"/>
      <c r="J395" s="8" t="str">
        <f aca="false">IF(OR(E395="",F395=""),"",E395*F395)</f>
        <v/>
      </c>
      <c r="K395" s="22" t="str">
        <f aca="false">IF($M395="","",INDEX('Программа тренировок'!$G$6:$G$25,$M395))</f>
        <v/>
      </c>
      <c r="L395" s="23" t="str">
        <f aca="false">IF(OR($M395="",$F395="",$G395=""),"",IF($H395="Разминка","Разминка",IF($F395&lt;INDEX('Программа тренировок'!$E$6:$E$25,$M395),"Ниже диапазона",IF(AND($F395&gt;=INDEX('Программа тренировок'!$F$6:$F$25,$M395),$G395&gt;=INDEX('Программа тренировок'!$L$6:$L$25,$M395)),"Верх диапазона: пора добавлять вес",IF($G395&lt;INDEX('Программа тренировок'!$L$6:$L$25,$M395),"RIR ниже цели","В диапазоне")))))</f>
        <v/>
      </c>
      <c r="M395" s="23" t="str">
        <f aca="false">IF($C395="","",IFERROR(MATCH($C395,'Программа тренировок'!$C$6:$C$25,0),""))</f>
        <v/>
      </c>
    </row>
    <row r="396" customFormat="false" ht="15" hidden="false" customHeight="true" outlineLevel="0" collapsed="false">
      <c r="A396" s="20"/>
      <c r="B396" s="21"/>
      <c r="C396" s="19"/>
      <c r="D396" s="18"/>
      <c r="E396" s="17"/>
      <c r="F396" s="18"/>
      <c r="G396" s="18"/>
      <c r="H396" s="21"/>
      <c r="I396" s="19"/>
      <c r="J396" s="8" t="str">
        <f aca="false">IF(OR(E396="",F396=""),"",E396*F396)</f>
        <v/>
      </c>
      <c r="K396" s="22" t="str">
        <f aca="false">IF($M396="","",INDEX('Программа тренировок'!$G$6:$G$25,$M396))</f>
        <v/>
      </c>
      <c r="L396" s="23" t="str">
        <f aca="false">IF(OR($M396="",$F396="",$G396=""),"",IF($H396="Разминка","Разминка",IF($F396&lt;INDEX('Программа тренировок'!$E$6:$E$25,$M396),"Ниже диапазона",IF(AND($F396&gt;=INDEX('Программа тренировок'!$F$6:$F$25,$M396),$G396&gt;=INDEX('Программа тренировок'!$L$6:$L$25,$M396)),"Верх диапазона: пора добавлять вес",IF($G396&lt;INDEX('Программа тренировок'!$L$6:$L$25,$M396),"RIR ниже цели","В диапазоне")))))</f>
        <v/>
      </c>
      <c r="M396" s="23" t="str">
        <f aca="false">IF($C396="","",IFERROR(MATCH($C396,'Программа тренировок'!$C$6:$C$25,0),""))</f>
        <v/>
      </c>
    </row>
    <row r="397" customFormat="false" ht="15" hidden="false" customHeight="true" outlineLevel="0" collapsed="false">
      <c r="A397" s="20"/>
      <c r="B397" s="21"/>
      <c r="C397" s="19"/>
      <c r="D397" s="18"/>
      <c r="E397" s="17"/>
      <c r="F397" s="18"/>
      <c r="G397" s="18"/>
      <c r="H397" s="21"/>
      <c r="I397" s="19"/>
      <c r="J397" s="8" t="str">
        <f aca="false">IF(OR(E397="",F397=""),"",E397*F397)</f>
        <v/>
      </c>
      <c r="K397" s="22" t="str">
        <f aca="false">IF($M397="","",INDEX('Программа тренировок'!$G$6:$G$25,$M397))</f>
        <v/>
      </c>
      <c r="L397" s="23" t="str">
        <f aca="false">IF(OR($M397="",$F397="",$G397=""),"",IF($H397="Разминка","Разминка",IF($F397&lt;INDEX('Программа тренировок'!$E$6:$E$25,$M397),"Ниже диапазона",IF(AND($F397&gt;=INDEX('Программа тренировок'!$F$6:$F$25,$M397),$G397&gt;=INDEX('Программа тренировок'!$L$6:$L$25,$M397)),"Верх диапазона: пора добавлять вес",IF($G397&lt;INDEX('Программа тренировок'!$L$6:$L$25,$M397),"RIR ниже цели","В диапазоне")))))</f>
        <v/>
      </c>
      <c r="M397" s="23" t="str">
        <f aca="false">IF($C397="","",IFERROR(MATCH($C397,'Программа тренировок'!$C$6:$C$25,0),""))</f>
        <v/>
      </c>
    </row>
    <row r="398" customFormat="false" ht="15" hidden="false" customHeight="true" outlineLevel="0" collapsed="false">
      <c r="A398" s="20"/>
      <c r="B398" s="21"/>
      <c r="C398" s="19"/>
      <c r="D398" s="18"/>
      <c r="E398" s="17"/>
      <c r="F398" s="18"/>
      <c r="G398" s="18"/>
      <c r="H398" s="21"/>
      <c r="I398" s="19"/>
      <c r="J398" s="8" t="str">
        <f aca="false">IF(OR(E398="",F398=""),"",E398*F398)</f>
        <v/>
      </c>
      <c r="K398" s="22" t="str">
        <f aca="false">IF($M398="","",INDEX('Программа тренировок'!$G$6:$G$25,$M398))</f>
        <v/>
      </c>
      <c r="L398" s="23" t="str">
        <f aca="false">IF(OR($M398="",$F398="",$G398=""),"",IF($H398="Разминка","Разминка",IF($F398&lt;INDEX('Программа тренировок'!$E$6:$E$25,$M398),"Ниже диапазона",IF(AND($F398&gt;=INDEX('Программа тренировок'!$F$6:$F$25,$M398),$G398&gt;=INDEX('Программа тренировок'!$L$6:$L$25,$M398)),"Верх диапазона: пора добавлять вес",IF($G398&lt;INDEX('Программа тренировок'!$L$6:$L$25,$M398),"RIR ниже цели","В диапазоне")))))</f>
        <v/>
      </c>
      <c r="M398" s="23" t="str">
        <f aca="false">IF($C398="","",IFERROR(MATCH($C398,'Программа тренировок'!$C$6:$C$25,0),""))</f>
        <v/>
      </c>
    </row>
    <row r="399" customFormat="false" ht="15" hidden="false" customHeight="true" outlineLevel="0" collapsed="false">
      <c r="A399" s="20"/>
      <c r="B399" s="21"/>
      <c r="C399" s="19"/>
      <c r="D399" s="18"/>
      <c r="E399" s="17"/>
      <c r="F399" s="18"/>
      <c r="G399" s="18"/>
      <c r="H399" s="21"/>
      <c r="I399" s="19"/>
      <c r="J399" s="8" t="str">
        <f aca="false">IF(OR(E399="",F399=""),"",E399*F399)</f>
        <v/>
      </c>
      <c r="K399" s="22" t="str">
        <f aca="false">IF($M399="","",INDEX('Программа тренировок'!$G$6:$G$25,$M399))</f>
        <v/>
      </c>
      <c r="L399" s="23" t="str">
        <f aca="false">IF(OR($M399="",$F399="",$G399=""),"",IF($H399="Разминка","Разминка",IF($F399&lt;INDEX('Программа тренировок'!$E$6:$E$25,$M399),"Ниже диапазона",IF(AND($F399&gt;=INDEX('Программа тренировок'!$F$6:$F$25,$M399),$G399&gt;=INDEX('Программа тренировок'!$L$6:$L$25,$M399)),"Верх диапазона: пора добавлять вес",IF($G399&lt;INDEX('Программа тренировок'!$L$6:$L$25,$M399),"RIR ниже цели","В диапазоне")))))</f>
        <v/>
      </c>
      <c r="M399" s="23" t="str">
        <f aca="false">IF($C399="","",IFERROR(MATCH($C399,'Программа тренировок'!$C$6:$C$25,0),""))</f>
        <v/>
      </c>
    </row>
    <row r="400" customFormat="false" ht="15" hidden="false" customHeight="true" outlineLevel="0" collapsed="false">
      <c r="A400" s="20"/>
      <c r="B400" s="21"/>
      <c r="C400" s="19"/>
      <c r="D400" s="18"/>
      <c r="E400" s="17"/>
      <c r="F400" s="18"/>
      <c r="G400" s="18"/>
      <c r="H400" s="21"/>
      <c r="I400" s="19"/>
      <c r="J400" s="8" t="str">
        <f aca="false">IF(OR(E400="",F400=""),"",E400*F400)</f>
        <v/>
      </c>
      <c r="K400" s="22" t="str">
        <f aca="false">IF($M400="","",INDEX('Программа тренировок'!$G$6:$G$25,$M400))</f>
        <v/>
      </c>
      <c r="L400" s="23" t="str">
        <f aca="false">IF(OR($M400="",$F400="",$G400=""),"",IF($H400="Разминка","Разминка",IF($F400&lt;INDEX('Программа тренировок'!$E$6:$E$25,$M400),"Ниже диапазона",IF(AND($F400&gt;=INDEX('Программа тренировок'!$F$6:$F$25,$M400),$G400&gt;=INDEX('Программа тренировок'!$L$6:$L$25,$M400)),"Верх диапазона: пора добавлять вес",IF($G400&lt;INDEX('Программа тренировок'!$L$6:$L$25,$M400),"RIR ниже цели","В диапазоне")))))</f>
        <v/>
      </c>
      <c r="M400" s="23" t="str">
        <f aca="false">IF($C400="","",IFERROR(MATCH($C400,'Программа тренировок'!$C$6:$C$25,0),""))</f>
        <v/>
      </c>
    </row>
    <row r="401" customFormat="false" ht="15" hidden="false" customHeight="true" outlineLevel="0" collapsed="false">
      <c r="A401" s="20"/>
      <c r="B401" s="21"/>
      <c r="C401" s="19"/>
      <c r="D401" s="18"/>
      <c r="E401" s="17"/>
      <c r="F401" s="18"/>
      <c r="G401" s="18"/>
      <c r="H401" s="21"/>
      <c r="I401" s="19"/>
      <c r="J401" s="8" t="str">
        <f aca="false">IF(OR(E401="",F401=""),"",E401*F401)</f>
        <v/>
      </c>
      <c r="K401" s="22" t="str">
        <f aca="false">IF($M401="","",INDEX('Программа тренировок'!$G$6:$G$25,$M401))</f>
        <v/>
      </c>
      <c r="L401" s="23" t="str">
        <f aca="false">IF(OR($M401="",$F401="",$G401=""),"",IF($H401="Разминка","Разминка",IF($F401&lt;INDEX('Программа тренировок'!$E$6:$E$25,$M401),"Ниже диапазона",IF(AND($F401&gt;=INDEX('Программа тренировок'!$F$6:$F$25,$M401),$G401&gt;=INDEX('Программа тренировок'!$L$6:$L$25,$M401)),"Верх диапазона: пора добавлять вес",IF($G401&lt;INDEX('Программа тренировок'!$L$6:$L$25,$M401),"RIR ниже цели","В диапазоне")))))</f>
        <v/>
      </c>
      <c r="M401" s="23" t="str">
        <f aca="false">IF($C401="","",IFERROR(MATCH($C401,'Программа тренировок'!$C$6:$C$25,0),""))</f>
        <v/>
      </c>
    </row>
    <row r="402" customFormat="false" ht="15" hidden="false" customHeight="true" outlineLevel="0" collapsed="false">
      <c r="A402" s="20"/>
      <c r="B402" s="21"/>
      <c r="C402" s="19"/>
      <c r="D402" s="18"/>
      <c r="E402" s="17"/>
      <c r="F402" s="18"/>
      <c r="G402" s="18"/>
      <c r="H402" s="21"/>
      <c r="I402" s="19"/>
      <c r="J402" s="8" t="str">
        <f aca="false">IF(OR(E402="",F402=""),"",E402*F402)</f>
        <v/>
      </c>
      <c r="K402" s="22" t="str">
        <f aca="false">IF($M402="","",INDEX('Программа тренировок'!$G$6:$G$25,$M402))</f>
        <v/>
      </c>
      <c r="L402" s="23" t="str">
        <f aca="false">IF(OR($M402="",$F402="",$G402=""),"",IF($H402="Разминка","Разминка",IF($F402&lt;INDEX('Программа тренировок'!$E$6:$E$25,$M402),"Ниже диапазона",IF(AND($F402&gt;=INDEX('Программа тренировок'!$F$6:$F$25,$M402),$G402&gt;=INDEX('Программа тренировок'!$L$6:$L$25,$M402)),"Верх диапазона: пора добавлять вес",IF($G402&lt;INDEX('Программа тренировок'!$L$6:$L$25,$M402),"RIR ниже цели","В диапазоне")))))</f>
        <v/>
      </c>
      <c r="M402" s="23" t="str">
        <f aca="false">IF($C402="","",IFERROR(MATCH($C402,'Программа тренировок'!$C$6:$C$25,0),""))</f>
        <v/>
      </c>
    </row>
    <row r="403" customFormat="false" ht="15" hidden="false" customHeight="true" outlineLevel="0" collapsed="false">
      <c r="A403" s="20"/>
      <c r="B403" s="21"/>
      <c r="C403" s="19"/>
      <c r="D403" s="18"/>
      <c r="E403" s="17"/>
      <c r="F403" s="18"/>
      <c r="G403" s="18"/>
      <c r="H403" s="21"/>
      <c r="I403" s="19"/>
      <c r="J403" s="8" t="str">
        <f aca="false">IF(OR(E403="",F403=""),"",E403*F403)</f>
        <v/>
      </c>
      <c r="K403" s="22" t="str">
        <f aca="false">IF($M403="","",INDEX('Программа тренировок'!$G$6:$G$25,$M403))</f>
        <v/>
      </c>
      <c r="L403" s="23" t="str">
        <f aca="false">IF(OR($M403="",$F403="",$G403=""),"",IF($H403="Разминка","Разминка",IF($F403&lt;INDEX('Программа тренировок'!$E$6:$E$25,$M403),"Ниже диапазона",IF(AND($F403&gt;=INDEX('Программа тренировок'!$F$6:$F$25,$M403),$G403&gt;=INDEX('Программа тренировок'!$L$6:$L$25,$M403)),"Верх диапазона: пора добавлять вес",IF($G403&lt;INDEX('Программа тренировок'!$L$6:$L$25,$M403),"RIR ниже цели","В диапазоне")))))</f>
        <v/>
      </c>
      <c r="M403" s="23" t="str">
        <f aca="false">IF($C403="","",IFERROR(MATCH($C403,'Программа тренировок'!$C$6:$C$25,0),""))</f>
        <v/>
      </c>
    </row>
    <row r="404" customFormat="false" ht="15" hidden="false" customHeight="true" outlineLevel="0" collapsed="false">
      <c r="A404" s="20"/>
      <c r="B404" s="21"/>
      <c r="C404" s="19"/>
      <c r="D404" s="18"/>
      <c r="E404" s="17"/>
      <c r="F404" s="18"/>
      <c r="G404" s="18"/>
      <c r="H404" s="21"/>
      <c r="I404" s="19"/>
      <c r="J404" s="8" t="str">
        <f aca="false">IF(OR(E404="",F404=""),"",E404*F404)</f>
        <v/>
      </c>
      <c r="K404" s="22" t="str">
        <f aca="false">IF($M404="","",INDEX('Программа тренировок'!$G$6:$G$25,$M404))</f>
        <v/>
      </c>
      <c r="L404" s="23" t="str">
        <f aca="false">IF(OR($M404="",$F404="",$G404=""),"",IF($H404="Разминка","Разминка",IF($F404&lt;INDEX('Программа тренировок'!$E$6:$E$25,$M404),"Ниже диапазона",IF(AND($F404&gt;=INDEX('Программа тренировок'!$F$6:$F$25,$M404),$G404&gt;=INDEX('Программа тренировок'!$L$6:$L$25,$M404)),"Верх диапазона: пора добавлять вес",IF($G404&lt;INDEX('Программа тренировок'!$L$6:$L$25,$M404),"RIR ниже цели","В диапазоне")))))</f>
        <v/>
      </c>
      <c r="M404" s="23" t="str">
        <f aca="false">IF($C404="","",IFERROR(MATCH($C404,'Программа тренировок'!$C$6:$C$25,0),""))</f>
        <v/>
      </c>
    </row>
    <row r="405" customFormat="false" ht="15" hidden="false" customHeight="true" outlineLevel="0" collapsed="false">
      <c r="A405" s="20"/>
      <c r="B405" s="21"/>
      <c r="C405" s="19"/>
      <c r="D405" s="18"/>
      <c r="E405" s="17"/>
      <c r="F405" s="18"/>
      <c r="G405" s="18"/>
      <c r="H405" s="21"/>
      <c r="I405" s="19"/>
      <c r="J405" s="8" t="str">
        <f aca="false">IF(OR(E405="",F405=""),"",E405*F405)</f>
        <v/>
      </c>
      <c r="K405" s="22" t="str">
        <f aca="false">IF($M405="","",INDEX('Программа тренировок'!$G$6:$G$25,$M405))</f>
        <v/>
      </c>
      <c r="L405" s="23" t="str">
        <f aca="false">IF(OR($M405="",$F405="",$G405=""),"",IF($H405="Разминка","Разминка",IF($F405&lt;INDEX('Программа тренировок'!$E$6:$E$25,$M405),"Ниже диапазона",IF(AND($F405&gt;=INDEX('Программа тренировок'!$F$6:$F$25,$M405),$G405&gt;=INDEX('Программа тренировок'!$L$6:$L$25,$M405)),"Верх диапазона: пора добавлять вес",IF($G405&lt;INDEX('Программа тренировок'!$L$6:$L$25,$M405),"RIR ниже цели","В диапазоне")))))</f>
        <v/>
      </c>
      <c r="M405" s="23" t="str">
        <f aca="false">IF($C405="","",IFERROR(MATCH($C405,'Программа тренировок'!$C$6:$C$25,0),""))</f>
        <v/>
      </c>
    </row>
    <row r="406" customFormat="false" ht="15" hidden="false" customHeight="true" outlineLevel="0" collapsed="false">
      <c r="A406" s="20"/>
      <c r="B406" s="21"/>
      <c r="C406" s="19"/>
      <c r="D406" s="18"/>
      <c r="E406" s="17"/>
      <c r="F406" s="18"/>
      <c r="G406" s="18"/>
      <c r="H406" s="21"/>
      <c r="I406" s="19"/>
      <c r="J406" s="8" t="str">
        <f aca="false">IF(OR(E406="",F406=""),"",E406*F406)</f>
        <v/>
      </c>
      <c r="K406" s="22" t="str">
        <f aca="false">IF($M406="","",INDEX('Программа тренировок'!$G$6:$G$25,$M406))</f>
        <v/>
      </c>
      <c r="L406" s="23" t="str">
        <f aca="false">IF(OR($M406="",$F406="",$G406=""),"",IF($H406="Разминка","Разминка",IF($F406&lt;INDEX('Программа тренировок'!$E$6:$E$25,$M406),"Ниже диапазона",IF(AND($F406&gt;=INDEX('Программа тренировок'!$F$6:$F$25,$M406),$G406&gt;=INDEX('Программа тренировок'!$L$6:$L$25,$M406)),"Верх диапазона: пора добавлять вес",IF($G406&lt;INDEX('Программа тренировок'!$L$6:$L$25,$M406),"RIR ниже цели","В диапазоне")))))</f>
        <v/>
      </c>
      <c r="M406" s="23" t="str">
        <f aca="false">IF($C406="","",IFERROR(MATCH($C406,'Программа тренировок'!$C$6:$C$25,0),""))</f>
        <v/>
      </c>
    </row>
    <row r="407" customFormat="false" ht="15" hidden="false" customHeight="true" outlineLevel="0" collapsed="false">
      <c r="A407" s="20"/>
      <c r="B407" s="21"/>
      <c r="C407" s="19"/>
      <c r="D407" s="18"/>
      <c r="E407" s="17"/>
      <c r="F407" s="18"/>
      <c r="G407" s="18"/>
      <c r="H407" s="21"/>
      <c r="I407" s="19"/>
      <c r="J407" s="8" t="str">
        <f aca="false">IF(OR(E407="",F407=""),"",E407*F407)</f>
        <v/>
      </c>
      <c r="K407" s="22" t="str">
        <f aca="false">IF($M407="","",INDEX('Программа тренировок'!$G$6:$G$25,$M407))</f>
        <v/>
      </c>
      <c r="L407" s="23" t="str">
        <f aca="false">IF(OR($M407="",$F407="",$G407=""),"",IF($H407="Разминка","Разминка",IF($F407&lt;INDEX('Программа тренировок'!$E$6:$E$25,$M407),"Ниже диапазона",IF(AND($F407&gt;=INDEX('Программа тренировок'!$F$6:$F$25,$M407),$G407&gt;=INDEX('Программа тренировок'!$L$6:$L$25,$M407)),"Верх диапазона: пора добавлять вес",IF($G407&lt;INDEX('Программа тренировок'!$L$6:$L$25,$M407),"RIR ниже цели","В диапазоне")))))</f>
        <v/>
      </c>
      <c r="M407" s="23" t="str">
        <f aca="false">IF($C407="","",IFERROR(MATCH($C407,'Программа тренировок'!$C$6:$C$25,0),""))</f>
        <v/>
      </c>
    </row>
    <row r="408" customFormat="false" ht="15" hidden="false" customHeight="true" outlineLevel="0" collapsed="false">
      <c r="A408" s="20"/>
      <c r="B408" s="21"/>
      <c r="C408" s="19"/>
      <c r="D408" s="18"/>
      <c r="E408" s="17"/>
      <c r="F408" s="18"/>
      <c r="G408" s="18"/>
      <c r="H408" s="21"/>
      <c r="I408" s="19"/>
      <c r="J408" s="8" t="str">
        <f aca="false">IF(OR(E408="",F408=""),"",E408*F408)</f>
        <v/>
      </c>
      <c r="K408" s="22" t="str">
        <f aca="false">IF($M408="","",INDEX('Программа тренировок'!$G$6:$G$25,$M408))</f>
        <v/>
      </c>
      <c r="L408" s="23" t="str">
        <f aca="false">IF(OR($M408="",$F408="",$G408=""),"",IF($H408="Разминка","Разминка",IF($F408&lt;INDEX('Программа тренировок'!$E$6:$E$25,$M408),"Ниже диапазона",IF(AND($F408&gt;=INDEX('Программа тренировок'!$F$6:$F$25,$M408),$G408&gt;=INDEX('Программа тренировок'!$L$6:$L$25,$M408)),"Верх диапазона: пора добавлять вес",IF($G408&lt;INDEX('Программа тренировок'!$L$6:$L$25,$M408),"RIR ниже цели","В диапазоне")))))</f>
        <v/>
      </c>
      <c r="M408" s="23" t="str">
        <f aca="false">IF($C408="","",IFERROR(MATCH($C408,'Программа тренировок'!$C$6:$C$25,0),""))</f>
        <v/>
      </c>
    </row>
    <row r="409" customFormat="false" ht="15" hidden="false" customHeight="true" outlineLevel="0" collapsed="false">
      <c r="A409" s="20"/>
      <c r="B409" s="21"/>
      <c r="C409" s="19"/>
      <c r="D409" s="18"/>
      <c r="E409" s="17"/>
      <c r="F409" s="18"/>
      <c r="G409" s="18"/>
      <c r="H409" s="21"/>
      <c r="I409" s="19"/>
      <c r="J409" s="8" t="str">
        <f aca="false">IF(OR(E409="",F409=""),"",E409*F409)</f>
        <v/>
      </c>
      <c r="K409" s="22" t="str">
        <f aca="false">IF($M409="","",INDEX('Программа тренировок'!$G$6:$G$25,$M409))</f>
        <v/>
      </c>
      <c r="L409" s="23" t="str">
        <f aca="false">IF(OR($M409="",$F409="",$G409=""),"",IF($H409="Разминка","Разминка",IF($F409&lt;INDEX('Программа тренировок'!$E$6:$E$25,$M409),"Ниже диапазона",IF(AND($F409&gt;=INDEX('Программа тренировок'!$F$6:$F$25,$M409),$G409&gt;=INDEX('Программа тренировок'!$L$6:$L$25,$M409)),"Верх диапазона: пора добавлять вес",IF($G409&lt;INDEX('Программа тренировок'!$L$6:$L$25,$M409),"RIR ниже цели","В диапазоне")))))</f>
        <v/>
      </c>
      <c r="M409" s="23" t="str">
        <f aca="false">IF($C409="","",IFERROR(MATCH($C409,'Программа тренировок'!$C$6:$C$25,0),""))</f>
        <v/>
      </c>
    </row>
    <row r="410" customFormat="false" ht="15" hidden="false" customHeight="true" outlineLevel="0" collapsed="false">
      <c r="A410" s="20"/>
      <c r="B410" s="21"/>
      <c r="C410" s="19"/>
      <c r="D410" s="18"/>
      <c r="E410" s="17"/>
      <c r="F410" s="18"/>
      <c r="G410" s="18"/>
      <c r="H410" s="21"/>
      <c r="I410" s="19"/>
      <c r="J410" s="8" t="str">
        <f aca="false">IF(OR(E410="",F410=""),"",E410*F410)</f>
        <v/>
      </c>
      <c r="K410" s="22" t="str">
        <f aca="false">IF($M410="","",INDEX('Программа тренировок'!$G$6:$G$25,$M410))</f>
        <v/>
      </c>
      <c r="L410" s="23" t="str">
        <f aca="false">IF(OR($M410="",$F410="",$G410=""),"",IF($H410="Разминка","Разминка",IF($F410&lt;INDEX('Программа тренировок'!$E$6:$E$25,$M410),"Ниже диапазона",IF(AND($F410&gt;=INDEX('Программа тренировок'!$F$6:$F$25,$M410),$G410&gt;=INDEX('Программа тренировок'!$L$6:$L$25,$M410)),"Верх диапазона: пора добавлять вес",IF($G410&lt;INDEX('Программа тренировок'!$L$6:$L$25,$M410),"RIR ниже цели","В диапазоне")))))</f>
        <v/>
      </c>
      <c r="M410" s="23" t="str">
        <f aca="false">IF($C410="","",IFERROR(MATCH($C410,'Программа тренировок'!$C$6:$C$25,0),""))</f>
        <v/>
      </c>
    </row>
    <row r="411" customFormat="false" ht="15" hidden="false" customHeight="true" outlineLevel="0" collapsed="false">
      <c r="A411" s="20"/>
      <c r="B411" s="21"/>
      <c r="C411" s="19"/>
      <c r="D411" s="18"/>
      <c r="E411" s="17"/>
      <c r="F411" s="18"/>
      <c r="G411" s="18"/>
      <c r="H411" s="21"/>
      <c r="I411" s="19"/>
      <c r="J411" s="8" t="str">
        <f aca="false">IF(OR(E411="",F411=""),"",E411*F411)</f>
        <v/>
      </c>
      <c r="K411" s="22" t="str">
        <f aca="false">IF($M411="","",INDEX('Программа тренировок'!$G$6:$G$25,$M411))</f>
        <v/>
      </c>
      <c r="L411" s="23" t="str">
        <f aca="false">IF(OR($M411="",$F411="",$G411=""),"",IF($H411="Разминка","Разминка",IF($F411&lt;INDEX('Программа тренировок'!$E$6:$E$25,$M411),"Ниже диапазона",IF(AND($F411&gt;=INDEX('Программа тренировок'!$F$6:$F$25,$M411),$G411&gt;=INDEX('Программа тренировок'!$L$6:$L$25,$M411)),"Верх диапазона: пора добавлять вес",IF($G411&lt;INDEX('Программа тренировок'!$L$6:$L$25,$M411),"RIR ниже цели","В диапазоне")))))</f>
        <v/>
      </c>
      <c r="M411" s="23" t="str">
        <f aca="false">IF($C411="","",IFERROR(MATCH($C411,'Программа тренировок'!$C$6:$C$25,0),""))</f>
        <v/>
      </c>
    </row>
    <row r="412" customFormat="false" ht="15" hidden="false" customHeight="true" outlineLevel="0" collapsed="false">
      <c r="A412" s="20"/>
      <c r="B412" s="21"/>
      <c r="C412" s="19"/>
      <c r="D412" s="18"/>
      <c r="E412" s="17"/>
      <c r="F412" s="18"/>
      <c r="G412" s="18"/>
      <c r="H412" s="21"/>
      <c r="I412" s="19"/>
      <c r="J412" s="8" t="str">
        <f aca="false">IF(OR(E412="",F412=""),"",E412*F412)</f>
        <v/>
      </c>
      <c r="K412" s="22" t="str">
        <f aca="false">IF($M412="","",INDEX('Программа тренировок'!$G$6:$G$25,$M412))</f>
        <v/>
      </c>
      <c r="L412" s="23" t="str">
        <f aca="false">IF(OR($M412="",$F412="",$G412=""),"",IF($H412="Разминка","Разминка",IF($F412&lt;INDEX('Программа тренировок'!$E$6:$E$25,$M412),"Ниже диапазона",IF(AND($F412&gt;=INDEX('Программа тренировок'!$F$6:$F$25,$M412),$G412&gt;=INDEX('Программа тренировок'!$L$6:$L$25,$M412)),"Верх диапазона: пора добавлять вес",IF($G412&lt;INDEX('Программа тренировок'!$L$6:$L$25,$M412),"RIR ниже цели","В диапазоне")))))</f>
        <v/>
      </c>
      <c r="M412" s="23" t="str">
        <f aca="false">IF($C412="","",IFERROR(MATCH($C412,'Программа тренировок'!$C$6:$C$25,0),""))</f>
        <v/>
      </c>
    </row>
    <row r="413" customFormat="false" ht="15" hidden="false" customHeight="true" outlineLevel="0" collapsed="false">
      <c r="A413" s="20"/>
      <c r="B413" s="21"/>
      <c r="C413" s="19"/>
      <c r="D413" s="18"/>
      <c r="E413" s="17"/>
      <c r="F413" s="18"/>
      <c r="G413" s="18"/>
      <c r="H413" s="21"/>
      <c r="I413" s="19"/>
      <c r="J413" s="8" t="str">
        <f aca="false">IF(OR(E413="",F413=""),"",E413*F413)</f>
        <v/>
      </c>
      <c r="K413" s="22" t="str">
        <f aca="false">IF($M413="","",INDEX('Программа тренировок'!$G$6:$G$25,$M413))</f>
        <v/>
      </c>
      <c r="L413" s="23" t="str">
        <f aca="false">IF(OR($M413="",$F413="",$G413=""),"",IF($H413="Разминка","Разминка",IF($F413&lt;INDEX('Программа тренировок'!$E$6:$E$25,$M413),"Ниже диапазона",IF(AND($F413&gt;=INDEX('Программа тренировок'!$F$6:$F$25,$M413),$G413&gt;=INDEX('Программа тренировок'!$L$6:$L$25,$M413)),"Верх диапазона: пора добавлять вес",IF($G413&lt;INDEX('Программа тренировок'!$L$6:$L$25,$M413),"RIR ниже цели","В диапазоне")))))</f>
        <v/>
      </c>
      <c r="M413" s="23" t="str">
        <f aca="false">IF($C413="","",IFERROR(MATCH($C413,'Программа тренировок'!$C$6:$C$25,0),""))</f>
        <v/>
      </c>
    </row>
    <row r="414" customFormat="false" ht="15" hidden="false" customHeight="true" outlineLevel="0" collapsed="false">
      <c r="A414" s="20"/>
      <c r="B414" s="21"/>
      <c r="C414" s="19"/>
      <c r="D414" s="18"/>
      <c r="E414" s="17"/>
      <c r="F414" s="18"/>
      <c r="G414" s="18"/>
      <c r="H414" s="21"/>
      <c r="I414" s="19"/>
      <c r="J414" s="8" t="str">
        <f aca="false">IF(OR(E414="",F414=""),"",E414*F414)</f>
        <v/>
      </c>
      <c r="K414" s="22" t="str">
        <f aca="false">IF($M414="","",INDEX('Программа тренировок'!$G$6:$G$25,$M414))</f>
        <v/>
      </c>
      <c r="L414" s="23" t="str">
        <f aca="false">IF(OR($M414="",$F414="",$G414=""),"",IF($H414="Разминка","Разминка",IF($F414&lt;INDEX('Программа тренировок'!$E$6:$E$25,$M414),"Ниже диапазона",IF(AND($F414&gt;=INDEX('Программа тренировок'!$F$6:$F$25,$M414),$G414&gt;=INDEX('Программа тренировок'!$L$6:$L$25,$M414)),"Верх диапазона: пора добавлять вес",IF($G414&lt;INDEX('Программа тренировок'!$L$6:$L$25,$M414),"RIR ниже цели","В диапазоне")))))</f>
        <v/>
      </c>
      <c r="M414" s="23" t="str">
        <f aca="false">IF($C414="","",IFERROR(MATCH($C414,'Программа тренировок'!$C$6:$C$25,0),""))</f>
        <v/>
      </c>
    </row>
    <row r="415" customFormat="false" ht="15" hidden="false" customHeight="true" outlineLevel="0" collapsed="false">
      <c r="A415" s="20"/>
      <c r="B415" s="21"/>
      <c r="C415" s="19"/>
      <c r="D415" s="18"/>
      <c r="E415" s="17"/>
      <c r="F415" s="18"/>
      <c r="G415" s="18"/>
      <c r="H415" s="21"/>
      <c r="I415" s="19"/>
      <c r="J415" s="8" t="str">
        <f aca="false">IF(OR(E415="",F415=""),"",E415*F415)</f>
        <v/>
      </c>
      <c r="K415" s="22" t="str">
        <f aca="false">IF($M415="","",INDEX('Программа тренировок'!$G$6:$G$25,$M415))</f>
        <v/>
      </c>
      <c r="L415" s="23" t="str">
        <f aca="false">IF(OR($M415="",$F415="",$G415=""),"",IF($H415="Разминка","Разминка",IF($F415&lt;INDEX('Программа тренировок'!$E$6:$E$25,$M415),"Ниже диапазона",IF(AND($F415&gt;=INDEX('Программа тренировок'!$F$6:$F$25,$M415),$G415&gt;=INDEX('Программа тренировок'!$L$6:$L$25,$M415)),"Верх диапазона: пора добавлять вес",IF($G415&lt;INDEX('Программа тренировок'!$L$6:$L$25,$M415),"RIR ниже цели","В диапазоне")))))</f>
        <v/>
      </c>
      <c r="M415" s="23" t="str">
        <f aca="false">IF($C415="","",IFERROR(MATCH($C415,'Программа тренировок'!$C$6:$C$25,0),""))</f>
        <v/>
      </c>
    </row>
    <row r="416" customFormat="false" ht="15" hidden="false" customHeight="true" outlineLevel="0" collapsed="false">
      <c r="A416" s="20"/>
      <c r="B416" s="21"/>
      <c r="C416" s="19"/>
      <c r="D416" s="18"/>
      <c r="E416" s="17"/>
      <c r="F416" s="18"/>
      <c r="G416" s="18"/>
      <c r="H416" s="21"/>
      <c r="I416" s="19"/>
      <c r="J416" s="8" t="str">
        <f aca="false">IF(OR(E416="",F416=""),"",E416*F416)</f>
        <v/>
      </c>
      <c r="K416" s="22" t="str">
        <f aca="false">IF($M416="","",INDEX('Программа тренировок'!$G$6:$G$25,$M416))</f>
        <v/>
      </c>
      <c r="L416" s="23" t="str">
        <f aca="false">IF(OR($M416="",$F416="",$G416=""),"",IF($H416="Разминка","Разминка",IF($F416&lt;INDEX('Программа тренировок'!$E$6:$E$25,$M416),"Ниже диапазона",IF(AND($F416&gt;=INDEX('Программа тренировок'!$F$6:$F$25,$M416),$G416&gt;=INDEX('Программа тренировок'!$L$6:$L$25,$M416)),"Верх диапазона: пора добавлять вес",IF($G416&lt;INDEX('Программа тренировок'!$L$6:$L$25,$M416),"RIR ниже цели","В диапазоне")))))</f>
        <v/>
      </c>
      <c r="M416" s="23" t="str">
        <f aca="false">IF($C416="","",IFERROR(MATCH($C416,'Программа тренировок'!$C$6:$C$25,0),""))</f>
        <v/>
      </c>
    </row>
    <row r="417" customFormat="false" ht="15" hidden="false" customHeight="true" outlineLevel="0" collapsed="false">
      <c r="A417" s="20"/>
      <c r="B417" s="21"/>
      <c r="C417" s="19"/>
      <c r="D417" s="18"/>
      <c r="E417" s="17"/>
      <c r="F417" s="18"/>
      <c r="G417" s="18"/>
      <c r="H417" s="21"/>
      <c r="I417" s="19"/>
      <c r="J417" s="8" t="str">
        <f aca="false">IF(OR(E417="",F417=""),"",E417*F417)</f>
        <v/>
      </c>
      <c r="K417" s="22" t="str">
        <f aca="false">IF($M417="","",INDEX('Программа тренировок'!$G$6:$G$25,$M417))</f>
        <v/>
      </c>
      <c r="L417" s="23" t="str">
        <f aca="false">IF(OR($M417="",$F417="",$G417=""),"",IF($H417="Разминка","Разминка",IF($F417&lt;INDEX('Программа тренировок'!$E$6:$E$25,$M417),"Ниже диапазона",IF(AND($F417&gt;=INDEX('Программа тренировок'!$F$6:$F$25,$M417),$G417&gt;=INDEX('Программа тренировок'!$L$6:$L$25,$M417)),"Верх диапазона: пора добавлять вес",IF($G417&lt;INDEX('Программа тренировок'!$L$6:$L$25,$M417),"RIR ниже цели","В диапазоне")))))</f>
        <v/>
      </c>
      <c r="M417" s="23" t="str">
        <f aca="false">IF($C417="","",IFERROR(MATCH($C417,'Программа тренировок'!$C$6:$C$25,0),""))</f>
        <v/>
      </c>
    </row>
    <row r="418" customFormat="false" ht="15" hidden="false" customHeight="true" outlineLevel="0" collapsed="false">
      <c r="A418" s="20"/>
      <c r="B418" s="21"/>
      <c r="C418" s="19"/>
      <c r="D418" s="18"/>
      <c r="E418" s="17"/>
      <c r="F418" s="18"/>
      <c r="G418" s="18"/>
      <c r="H418" s="21"/>
      <c r="I418" s="19"/>
      <c r="J418" s="8" t="str">
        <f aca="false">IF(OR(E418="",F418=""),"",E418*F418)</f>
        <v/>
      </c>
      <c r="K418" s="22" t="str">
        <f aca="false">IF($M418="","",INDEX('Программа тренировок'!$G$6:$G$25,$M418))</f>
        <v/>
      </c>
      <c r="L418" s="23" t="str">
        <f aca="false">IF(OR($M418="",$F418="",$G418=""),"",IF($H418="Разминка","Разминка",IF($F418&lt;INDEX('Программа тренировок'!$E$6:$E$25,$M418),"Ниже диапазона",IF(AND($F418&gt;=INDEX('Программа тренировок'!$F$6:$F$25,$M418),$G418&gt;=INDEX('Программа тренировок'!$L$6:$L$25,$M418)),"Верх диапазона: пора добавлять вес",IF($G418&lt;INDEX('Программа тренировок'!$L$6:$L$25,$M418),"RIR ниже цели","В диапазоне")))))</f>
        <v/>
      </c>
      <c r="M418" s="23" t="str">
        <f aca="false">IF($C418="","",IFERROR(MATCH($C418,'Программа тренировок'!$C$6:$C$25,0),""))</f>
        <v/>
      </c>
    </row>
    <row r="419" customFormat="false" ht="15" hidden="false" customHeight="true" outlineLevel="0" collapsed="false">
      <c r="A419" s="20"/>
      <c r="B419" s="21"/>
      <c r="C419" s="19"/>
      <c r="D419" s="18"/>
      <c r="E419" s="17"/>
      <c r="F419" s="18"/>
      <c r="G419" s="18"/>
      <c r="H419" s="21"/>
      <c r="I419" s="19"/>
      <c r="J419" s="8" t="str">
        <f aca="false">IF(OR(E419="",F419=""),"",E419*F419)</f>
        <v/>
      </c>
      <c r="K419" s="22" t="str">
        <f aca="false">IF($M419="","",INDEX('Программа тренировок'!$G$6:$G$25,$M419))</f>
        <v/>
      </c>
      <c r="L419" s="23" t="str">
        <f aca="false">IF(OR($M419="",$F419="",$G419=""),"",IF($H419="Разминка","Разминка",IF($F419&lt;INDEX('Программа тренировок'!$E$6:$E$25,$M419),"Ниже диапазона",IF(AND($F419&gt;=INDEX('Программа тренировок'!$F$6:$F$25,$M419),$G419&gt;=INDEX('Программа тренировок'!$L$6:$L$25,$M419)),"Верх диапазона: пора добавлять вес",IF($G419&lt;INDEX('Программа тренировок'!$L$6:$L$25,$M419),"RIR ниже цели","В диапазоне")))))</f>
        <v/>
      </c>
      <c r="M419" s="23" t="str">
        <f aca="false">IF($C419="","",IFERROR(MATCH($C419,'Программа тренировок'!$C$6:$C$25,0),""))</f>
        <v/>
      </c>
    </row>
    <row r="420" customFormat="false" ht="15" hidden="false" customHeight="true" outlineLevel="0" collapsed="false">
      <c r="A420" s="20"/>
      <c r="B420" s="21"/>
      <c r="C420" s="19"/>
      <c r="D420" s="18"/>
      <c r="E420" s="17"/>
      <c r="F420" s="18"/>
      <c r="G420" s="18"/>
      <c r="H420" s="21"/>
      <c r="I420" s="19"/>
      <c r="J420" s="8" t="str">
        <f aca="false">IF(OR(E420="",F420=""),"",E420*F420)</f>
        <v/>
      </c>
      <c r="K420" s="22" t="str">
        <f aca="false">IF($M420="","",INDEX('Программа тренировок'!$G$6:$G$25,$M420))</f>
        <v/>
      </c>
      <c r="L420" s="23" t="str">
        <f aca="false">IF(OR($M420="",$F420="",$G420=""),"",IF($H420="Разминка","Разминка",IF($F420&lt;INDEX('Программа тренировок'!$E$6:$E$25,$M420),"Ниже диапазона",IF(AND($F420&gt;=INDEX('Программа тренировок'!$F$6:$F$25,$M420),$G420&gt;=INDEX('Программа тренировок'!$L$6:$L$25,$M420)),"Верх диапазона: пора добавлять вес",IF($G420&lt;INDEX('Программа тренировок'!$L$6:$L$25,$M420),"RIR ниже цели","В диапазоне")))))</f>
        <v/>
      </c>
      <c r="M420" s="23" t="str">
        <f aca="false">IF($C420="","",IFERROR(MATCH($C420,'Программа тренировок'!$C$6:$C$25,0),""))</f>
        <v/>
      </c>
    </row>
    <row r="421" customFormat="false" ht="15" hidden="false" customHeight="true" outlineLevel="0" collapsed="false">
      <c r="A421" s="20"/>
      <c r="B421" s="21"/>
      <c r="C421" s="19"/>
      <c r="D421" s="18"/>
      <c r="E421" s="17"/>
      <c r="F421" s="18"/>
      <c r="G421" s="18"/>
      <c r="H421" s="21"/>
      <c r="I421" s="19"/>
      <c r="J421" s="8" t="str">
        <f aca="false">IF(OR(E421="",F421=""),"",E421*F421)</f>
        <v/>
      </c>
      <c r="K421" s="22" t="str">
        <f aca="false">IF($M421="","",INDEX('Программа тренировок'!$G$6:$G$25,$M421))</f>
        <v/>
      </c>
      <c r="L421" s="23" t="str">
        <f aca="false">IF(OR($M421="",$F421="",$G421=""),"",IF($H421="Разминка","Разминка",IF($F421&lt;INDEX('Программа тренировок'!$E$6:$E$25,$M421),"Ниже диапазона",IF(AND($F421&gt;=INDEX('Программа тренировок'!$F$6:$F$25,$M421),$G421&gt;=INDEX('Программа тренировок'!$L$6:$L$25,$M421)),"Верх диапазона: пора добавлять вес",IF($G421&lt;INDEX('Программа тренировок'!$L$6:$L$25,$M421),"RIR ниже цели","В диапазоне")))))</f>
        <v/>
      </c>
      <c r="M421" s="23" t="str">
        <f aca="false">IF($C421="","",IFERROR(MATCH($C421,'Программа тренировок'!$C$6:$C$25,0),""))</f>
        <v/>
      </c>
    </row>
    <row r="422" customFormat="false" ht="15" hidden="false" customHeight="true" outlineLevel="0" collapsed="false">
      <c r="A422" s="20"/>
      <c r="B422" s="21"/>
      <c r="C422" s="19"/>
      <c r="D422" s="18"/>
      <c r="E422" s="17"/>
      <c r="F422" s="18"/>
      <c r="G422" s="18"/>
      <c r="H422" s="21"/>
      <c r="I422" s="19"/>
      <c r="J422" s="8" t="str">
        <f aca="false">IF(OR(E422="",F422=""),"",E422*F422)</f>
        <v/>
      </c>
      <c r="K422" s="22" t="str">
        <f aca="false">IF($M422="","",INDEX('Программа тренировок'!$G$6:$G$25,$M422))</f>
        <v/>
      </c>
      <c r="L422" s="23" t="str">
        <f aca="false">IF(OR($M422="",$F422="",$G422=""),"",IF($H422="Разминка","Разминка",IF($F422&lt;INDEX('Программа тренировок'!$E$6:$E$25,$M422),"Ниже диапазона",IF(AND($F422&gt;=INDEX('Программа тренировок'!$F$6:$F$25,$M422),$G422&gt;=INDEX('Программа тренировок'!$L$6:$L$25,$M422)),"Верх диапазона: пора добавлять вес",IF($G422&lt;INDEX('Программа тренировок'!$L$6:$L$25,$M422),"RIR ниже цели","В диапазоне")))))</f>
        <v/>
      </c>
      <c r="M422" s="23" t="str">
        <f aca="false">IF($C422="","",IFERROR(MATCH($C422,'Программа тренировок'!$C$6:$C$25,0),""))</f>
        <v/>
      </c>
    </row>
    <row r="423" customFormat="false" ht="15" hidden="false" customHeight="true" outlineLevel="0" collapsed="false">
      <c r="A423" s="20"/>
      <c r="B423" s="21"/>
      <c r="C423" s="19"/>
      <c r="D423" s="18"/>
      <c r="E423" s="17"/>
      <c r="F423" s="18"/>
      <c r="G423" s="18"/>
      <c r="H423" s="21"/>
      <c r="I423" s="19"/>
      <c r="J423" s="8" t="str">
        <f aca="false">IF(OR(E423="",F423=""),"",E423*F423)</f>
        <v/>
      </c>
      <c r="K423" s="22" t="str">
        <f aca="false">IF($M423="","",INDEX('Программа тренировок'!$G$6:$G$25,$M423))</f>
        <v/>
      </c>
      <c r="L423" s="23" t="str">
        <f aca="false">IF(OR($M423="",$F423="",$G423=""),"",IF($H423="Разминка","Разминка",IF($F423&lt;INDEX('Программа тренировок'!$E$6:$E$25,$M423),"Ниже диапазона",IF(AND($F423&gt;=INDEX('Программа тренировок'!$F$6:$F$25,$M423),$G423&gt;=INDEX('Программа тренировок'!$L$6:$L$25,$M423)),"Верх диапазона: пора добавлять вес",IF($G423&lt;INDEX('Программа тренировок'!$L$6:$L$25,$M423),"RIR ниже цели","В диапазоне")))))</f>
        <v/>
      </c>
      <c r="M423" s="23" t="str">
        <f aca="false">IF($C423="","",IFERROR(MATCH($C423,'Программа тренировок'!$C$6:$C$25,0),""))</f>
        <v/>
      </c>
    </row>
    <row r="424" customFormat="false" ht="15" hidden="false" customHeight="true" outlineLevel="0" collapsed="false">
      <c r="A424" s="20"/>
      <c r="B424" s="21"/>
      <c r="C424" s="19"/>
      <c r="D424" s="18"/>
      <c r="E424" s="17"/>
      <c r="F424" s="18"/>
      <c r="G424" s="18"/>
      <c r="H424" s="21"/>
      <c r="I424" s="19"/>
      <c r="J424" s="8" t="str">
        <f aca="false">IF(OR(E424="",F424=""),"",E424*F424)</f>
        <v/>
      </c>
      <c r="K424" s="22" t="str">
        <f aca="false">IF($M424="","",INDEX('Программа тренировок'!$G$6:$G$25,$M424))</f>
        <v/>
      </c>
      <c r="L424" s="23" t="str">
        <f aca="false">IF(OR($M424="",$F424="",$G424=""),"",IF($H424="Разминка","Разминка",IF($F424&lt;INDEX('Программа тренировок'!$E$6:$E$25,$M424),"Ниже диапазона",IF(AND($F424&gt;=INDEX('Программа тренировок'!$F$6:$F$25,$M424),$G424&gt;=INDEX('Программа тренировок'!$L$6:$L$25,$M424)),"Верх диапазона: пора добавлять вес",IF($G424&lt;INDEX('Программа тренировок'!$L$6:$L$25,$M424),"RIR ниже цели","В диапазоне")))))</f>
        <v/>
      </c>
      <c r="M424" s="23" t="str">
        <f aca="false">IF($C424="","",IFERROR(MATCH($C424,'Программа тренировок'!$C$6:$C$25,0),""))</f>
        <v/>
      </c>
    </row>
    <row r="425" customFormat="false" ht="15" hidden="false" customHeight="true" outlineLevel="0" collapsed="false">
      <c r="A425" s="20"/>
      <c r="B425" s="21"/>
      <c r="C425" s="19"/>
      <c r="D425" s="18"/>
      <c r="E425" s="17"/>
      <c r="F425" s="18"/>
      <c r="G425" s="18"/>
      <c r="H425" s="21"/>
      <c r="I425" s="19"/>
      <c r="J425" s="8" t="str">
        <f aca="false">IF(OR(E425="",F425=""),"",E425*F425)</f>
        <v/>
      </c>
      <c r="K425" s="22" t="str">
        <f aca="false">IF($M425="","",INDEX('Программа тренировок'!$G$6:$G$25,$M425))</f>
        <v/>
      </c>
      <c r="L425" s="23" t="str">
        <f aca="false">IF(OR($M425="",$F425="",$G425=""),"",IF($H425="Разминка","Разминка",IF($F425&lt;INDEX('Программа тренировок'!$E$6:$E$25,$M425),"Ниже диапазона",IF(AND($F425&gt;=INDEX('Программа тренировок'!$F$6:$F$25,$M425),$G425&gt;=INDEX('Программа тренировок'!$L$6:$L$25,$M425)),"Верх диапазона: пора добавлять вес",IF($G425&lt;INDEX('Программа тренировок'!$L$6:$L$25,$M425),"RIR ниже цели","В диапазоне")))))</f>
        <v/>
      </c>
      <c r="M425" s="23" t="str">
        <f aca="false">IF($C425="","",IFERROR(MATCH($C425,'Программа тренировок'!$C$6:$C$25,0),""))</f>
        <v/>
      </c>
    </row>
    <row r="426" customFormat="false" ht="15" hidden="false" customHeight="true" outlineLevel="0" collapsed="false">
      <c r="A426" s="20"/>
      <c r="B426" s="21"/>
      <c r="C426" s="19"/>
      <c r="D426" s="18"/>
      <c r="E426" s="17"/>
      <c r="F426" s="18"/>
      <c r="G426" s="18"/>
      <c r="H426" s="21"/>
      <c r="I426" s="19"/>
      <c r="J426" s="8" t="str">
        <f aca="false">IF(OR(E426="",F426=""),"",E426*F426)</f>
        <v/>
      </c>
      <c r="K426" s="22" t="str">
        <f aca="false">IF($M426="","",INDEX('Программа тренировок'!$G$6:$G$25,$M426))</f>
        <v/>
      </c>
      <c r="L426" s="23" t="str">
        <f aca="false">IF(OR($M426="",$F426="",$G426=""),"",IF($H426="Разминка","Разминка",IF($F426&lt;INDEX('Программа тренировок'!$E$6:$E$25,$M426),"Ниже диапазона",IF(AND($F426&gt;=INDEX('Программа тренировок'!$F$6:$F$25,$M426),$G426&gt;=INDEX('Программа тренировок'!$L$6:$L$25,$M426)),"Верх диапазона: пора добавлять вес",IF($G426&lt;INDEX('Программа тренировок'!$L$6:$L$25,$M426),"RIR ниже цели","В диапазоне")))))</f>
        <v/>
      </c>
      <c r="M426" s="23" t="str">
        <f aca="false">IF($C426="","",IFERROR(MATCH($C426,'Программа тренировок'!$C$6:$C$25,0),""))</f>
        <v/>
      </c>
    </row>
    <row r="427" customFormat="false" ht="15" hidden="false" customHeight="true" outlineLevel="0" collapsed="false">
      <c r="A427" s="20"/>
      <c r="B427" s="21"/>
      <c r="C427" s="19"/>
      <c r="D427" s="18"/>
      <c r="E427" s="17"/>
      <c r="F427" s="18"/>
      <c r="G427" s="18"/>
      <c r="H427" s="21"/>
      <c r="I427" s="19"/>
      <c r="J427" s="8" t="str">
        <f aca="false">IF(OR(E427="",F427=""),"",E427*F427)</f>
        <v/>
      </c>
      <c r="K427" s="22" t="str">
        <f aca="false">IF($M427="","",INDEX('Программа тренировок'!$G$6:$G$25,$M427))</f>
        <v/>
      </c>
      <c r="L427" s="23" t="str">
        <f aca="false">IF(OR($M427="",$F427="",$G427=""),"",IF($H427="Разминка","Разминка",IF($F427&lt;INDEX('Программа тренировок'!$E$6:$E$25,$M427),"Ниже диапазона",IF(AND($F427&gt;=INDEX('Программа тренировок'!$F$6:$F$25,$M427),$G427&gt;=INDEX('Программа тренировок'!$L$6:$L$25,$M427)),"Верх диапазона: пора добавлять вес",IF($G427&lt;INDEX('Программа тренировок'!$L$6:$L$25,$M427),"RIR ниже цели","В диапазоне")))))</f>
        <v/>
      </c>
      <c r="M427" s="23" t="str">
        <f aca="false">IF($C427="","",IFERROR(MATCH($C427,'Программа тренировок'!$C$6:$C$25,0),""))</f>
        <v/>
      </c>
    </row>
    <row r="428" customFormat="false" ht="15" hidden="false" customHeight="true" outlineLevel="0" collapsed="false">
      <c r="A428" s="20"/>
      <c r="B428" s="21"/>
      <c r="C428" s="19"/>
      <c r="D428" s="18"/>
      <c r="E428" s="17"/>
      <c r="F428" s="18"/>
      <c r="G428" s="18"/>
      <c r="H428" s="21"/>
      <c r="I428" s="19"/>
      <c r="J428" s="8" t="str">
        <f aca="false">IF(OR(E428="",F428=""),"",E428*F428)</f>
        <v/>
      </c>
      <c r="K428" s="22" t="str">
        <f aca="false">IF($M428="","",INDEX('Программа тренировок'!$G$6:$G$25,$M428))</f>
        <v/>
      </c>
      <c r="L428" s="23" t="str">
        <f aca="false">IF(OR($M428="",$F428="",$G428=""),"",IF($H428="Разминка","Разминка",IF($F428&lt;INDEX('Программа тренировок'!$E$6:$E$25,$M428),"Ниже диапазона",IF(AND($F428&gt;=INDEX('Программа тренировок'!$F$6:$F$25,$M428),$G428&gt;=INDEX('Программа тренировок'!$L$6:$L$25,$M428)),"Верх диапазона: пора добавлять вес",IF($G428&lt;INDEX('Программа тренировок'!$L$6:$L$25,$M428),"RIR ниже цели","В диапазоне")))))</f>
        <v/>
      </c>
      <c r="M428" s="23" t="str">
        <f aca="false">IF($C428="","",IFERROR(MATCH($C428,'Программа тренировок'!$C$6:$C$25,0),""))</f>
        <v/>
      </c>
    </row>
    <row r="429" customFormat="false" ht="15" hidden="false" customHeight="true" outlineLevel="0" collapsed="false">
      <c r="A429" s="20"/>
      <c r="B429" s="21"/>
      <c r="C429" s="19"/>
      <c r="D429" s="18"/>
      <c r="E429" s="17"/>
      <c r="F429" s="18"/>
      <c r="G429" s="18"/>
      <c r="H429" s="21"/>
      <c r="I429" s="19"/>
      <c r="J429" s="8" t="str">
        <f aca="false">IF(OR(E429="",F429=""),"",E429*F429)</f>
        <v/>
      </c>
      <c r="K429" s="22" t="str">
        <f aca="false">IF($M429="","",INDEX('Программа тренировок'!$G$6:$G$25,$M429))</f>
        <v/>
      </c>
      <c r="L429" s="23" t="str">
        <f aca="false">IF(OR($M429="",$F429="",$G429=""),"",IF($H429="Разминка","Разминка",IF($F429&lt;INDEX('Программа тренировок'!$E$6:$E$25,$M429),"Ниже диапазона",IF(AND($F429&gt;=INDEX('Программа тренировок'!$F$6:$F$25,$M429),$G429&gt;=INDEX('Программа тренировок'!$L$6:$L$25,$M429)),"Верх диапазона: пора добавлять вес",IF($G429&lt;INDEX('Программа тренировок'!$L$6:$L$25,$M429),"RIR ниже цели","В диапазоне")))))</f>
        <v/>
      </c>
      <c r="M429" s="23" t="str">
        <f aca="false">IF($C429="","",IFERROR(MATCH($C429,'Программа тренировок'!$C$6:$C$25,0),""))</f>
        <v/>
      </c>
    </row>
    <row r="430" customFormat="false" ht="15" hidden="false" customHeight="true" outlineLevel="0" collapsed="false">
      <c r="A430" s="20"/>
      <c r="B430" s="21"/>
      <c r="C430" s="19"/>
      <c r="D430" s="18"/>
      <c r="E430" s="17"/>
      <c r="F430" s="18"/>
      <c r="G430" s="18"/>
      <c r="H430" s="21"/>
      <c r="I430" s="19"/>
      <c r="J430" s="8" t="str">
        <f aca="false">IF(OR(E430="",F430=""),"",E430*F430)</f>
        <v/>
      </c>
      <c r="K430" s="22" t="str">
        <f aca="false">IF($M430="","",INDEX('Программа тренировок'!$G$6:$G$25,$M430))</f>
        <v/>
      </c>
      <c r="L430" s="23" t="str">
        <f aca="false">IF(OR($M430="",$F430="",$G430=""),"",IF($H430="Разминка","Разминка",IF($F430&lt;INDEX('Программа тренировок'!$E$6:$E$25,$M430),"Ниже диапазона",IF(AND($F430&gt;=INDEX('Программа тренировок'!$F$6:$F$25,$M430),$G430&gt;=INDEX('Программа тренировок'!$L$6:$L$25,$M430)),"Верх диапазона: пора добавлять вес",IF($G430&lt;INDEX('Программа тренировок'!$L$6:$L$25,$M430),"RIR ниже цели","В диапазоне")))))</f>
        <v/>
      </c>
      <c r="M430" s="23" t="str">
        <f aca="false">IF($C430="","",IFERROR(MATCH($C430,'Программа тренировок'!$C$6:$C$25,0),""))</f>
        <v/>
      </c>
    </row>
    <row r="431" customFormat="false" ht="15" hidden="false" customHeight="true" outlineLevel="0" collapsed="false">
      <c r="A431" s="20"/>
      <c r="B431" s="21"/>
      <c r="C431" s="19"/>
      <c r="D431" s="18"/>
      <c r="E431" s="17"/>
      <c r="F431" s="18"/>
      <c r="G431" s="18"/>
      <c r="H431" s="21"/>
      <c r="I431" s="19"/>
      <c r="J431" s="8" t="str">
        <f aca="false">IF(OR(E431="",F431=""),"",E431*F431)</f>
        <v/>
      </c>
      <c r="K431" s="22" t="str">
        <f aca="false">IF($M431="","",INDEX('Программа тренировок'!$G$6:$G$25,$M431))</f>
        <v/>
      </c>
      <c r="L431" s="23" t="str">
        <f aca="false">IF(OR($M431="",$F431="",$G431=""),"",IF($H431="Разминка","Разминка",IF($F431&lt;INDEX('Программа тренировок'!$E$6:$E$25,$M431),"Ниже диапазона",IF(AND($F431&gt;=INDEX('Программа тренировок'!$F$6:$F$25,$M431),$G431&gt;=INDEX('Программа тренировок'!$L$6:$L$25,$M431)),"Верх диапазона: пора добавлять вес",IF($G431&lt;INDEX('Программа тренировок'!$L$6:$L$25,$M431),"RIR ниже цели","В диапазоне")))))</f>
        <v/>
      </c>
      <c r="M431" s="23" t="str">
        <f aca="false">IF($C431="","",IFERROR(MATCH($C431,'Программа тренировок'!$C$6:$C$25,0),""))</f>
        <v/>
      </c>
    </row>
    <row r="432" customFormat="false" ht="15" hidden="false" customHeight="true" outlineLevel="0" collapsed="false">
      <c r="A432" s="20"/>
      <c r="B432" s="21"/>
      <c r="C432" s="19"/>
      <c r="D432" s="18"/>
      <c r="E432" s="17"/>
      <c r="F432" s="18"/>
      <c r="G432" s="18"/>
      <c r="H432" s="21"/>
      <c r="I432" s="19"/>
      <c r="J432" s="8" t="str">
        <f aca="false">IF(OR(E432="",F432=""),"",E432*F432)</f>
        <v/>
      </c>
      <c r="K432" s="22" t="str">
        <f aca="false">IF($M432="","",INDEX('Программа тренировок'!$G$6:$G$25,$M432))</f>
        <v/>
      </c>
      <c r="L432" s="23" t="str">
        <f aca="false">IF(OR($M432="",$F432="",$G432=""),"",IF($H432="Разминка","Разминка",IF($F432&lt;INDEX('Программа тренировок'!$E$6:$E$25,$M432),"Ниже диапазона",IF(AND($F432&gt;=INDEX('Программа тренировок'!$F$6:$F$25,$M432),$G432&gt;=INDEX('Программа тренировок'!$L$6:$L$25,$M432)),"Верх диапазона: пора добавлять вес",IF($G432&lt;INDEX('Программа тренировок'!$L$6:$L$25,$M432),"RIR ниже цели","В диапазоне")))))</f>
        <v/>
      </c>
      <c r="M432" s="23" t="str">
        <f aca="false">IF($C432="","",IFERROR(MATCH($C432,'Программа тренировок'!$C$6:$C$25,0),""))</f>
        <v/>
      </c>
    </row>
    <row r="433" customFormat="false" ht="15" hidden="false" customHeight="true" outlineLevel="0" collapsed="false">
      <c r="A433" s="20"/>
      <c r="B433" s="21"/>
      <c r="C433" s="19"/>
      <c r="D433" s="18"/>
      <c r="E433" s="17"/>
      <c r="F433" s="18"/>
      <c r="G433" s="18"/>
      <c r="H433" s="21"/>
      <c r="I433" s="19"/>
      <c r="J433" s="8" t="str">
        <f aca="false">IF(OR(E433="",F433=""),"",E433*F433)</f>
        <v/>
      </c>
      <c r="K433" s="22" t="str">
        <f aca="false">IF($M433="","",INDEX('Программа тренировок'!$G$6:$G$25,$M433))</f>
        <v/>
      </c>
      <c r="L433" s="23" t="str">
        <f aca="false">IF(OR($M433="",$F433="",$G433=""),"",IF($H433="Разминка","Разминка",IF($F433&lt;INDEX('Программа тренировок'!$E$6:$E$25,$M433),"Ниже диапазона",IF(AND($F433&gt;=INDEX('Программа тренировок'!$F$6:$F$25,$M433),$G433&gt;=INDEX('Программа тренировок'!$L$6:$L$25,$M433)),"Верх диапазона: пора добавлять вес",IF($G433&lt;INDEX('Программа тренировок'!$L$6:$L$25,$M433),"RIR ниже цели","В диапазоне")))))</f>
        <v/>
      </c>
      <c r="M433" s="23" t="str">
        <f aca="false">IF($C433="","",IFERROR(MATCH($C433,'Программа тренировок'!$C$6:$C$25,0),""))</f>
        <v/>
      </c>
    </row>
    <row r="434" customFormat="false" ht="15" hidden="false" customHeight="true" outlineLevel="0" collapsed="false">
      <c r="A434" s="20"/>
      <c r="B434" s="21"/>
      <c r="C434" s="19"/>
      <c r="D434" s="18"/>
      <c r="E434" s="17"/>
      <c r="F434" s="18"/>
      <c r="G434" s="18"/>
      <c r="H434" s="21"/>
      <c r="I434" s="19"/>
      <c r="J434" s="8" t="str">
        <f aca="false">IF(OR(E434="",F434=""),"",E434*F434)</f>
        <v/>
      </c>
      <c r="K434" s="22" t="str">
        <f aca="false">IF($M434="","",INDEX('Программа тренировок'!$G$6:$G$25,$M434))</f>
        <v/>
      </c>
      <c r="L434" s="23" t="str">
        <f aca="false">IF(OR($M434="",$F434="",$G434=""),"",IF($H434="Разминка","Разминка",IF($F434&lt;INDEX('Программа тренировок'!$E$6:$E$25,$M434),"Ниже диапазона",IF(AND($F434&gt;=INDEX('Программа тренировок'!$F$6:$F$25,$M434),$G434&gt;=INDEX('Программа тренировок'!$L$6:$L$25,$M434)),"Верх диапазона: пора добавлять вес",IF($G434&lt;INDEX('Программа тренировок'!$L$6:$L$25,$M434),"RIR ниже цели","В диапазоне")))))</f>
        <v/>
      </c>
      <c r="M434" s="23" t="str">
        <f aca="false">IF($C434="","",IFERROR(MATCH($C434,'Программа тренировок'!$C$6:$C$25,0),""))</f>
        <v/>
      </c>
    </row>
    <row r="435" customFormat="false" ht="15" hidden="false" customHeight="true" outlineLevel="0" collapsed="false">
      <c r="A435" s="20"/>
      <c r="B435" s="21"/>
      <c r="C435" s="19"/>
      <c r="D435" s="18"/>
      <c r="E435" s="17"/>
      <c r="F435" s="18"/>
      <c r="G435" s="18"/>
      <c r="H435" s="21"/>
      <c r="I435" s="19"/>
      <c r="J435" s="8" t="str">
        <f aca="false">IF(OR(E435="",F435=""),"",E435*F435)</f>
        <v/>
      </c>
      <c r="K435" s="22" t="str">
        <f aca="false">IF($M435="","",INDEX('Программа тренировок'!$G$6:$G$25,$M435))</f>
        <v/>
      </c>
      <c r="L435" s="23" t="str">
        <f aca="false">IF(OR($M435="",$F435="",$G435=""),"",IF($H435="Разминка","Разминка",IF($F435&lt;INDEX('Программа тренировок'!$E$6:$E$25,$M435),"Ниже диапазона",IF(AND($F435&gt;=INDEX('Программа тренировок'!$F$6:$F$25,$M435),$G435&gt;=INDEX('Программа тренировок'!$L$6:$L$25,$M435)),"Верх диапазона: пора добавлять вес",IF($G435&lt;INDEX('Программа тренировок'!$L$6:$L$25,$M435),"RIR ниже цели","В диапазоне")))))</f>
        <v/>
      </c>
      <c r="M435" s="23" t="str">
        <f aca="false">IF($C435="","",IFERROR(MATCH($C435,'Программа тренировок'!$C$6:$C$25,0),""))</f>
        <v/>
      </c>
    </row>
    <row r="436" customFormat="false" ht="15" hidden="false" customHeight="true" outlineLevel="0" collapsed="false">
      <c r="A436" s="20"/>
      <c r="B436" s="21"/>
      <c r="C436" s="19"/>
      <c r="D436" s="18"/>
      <c r="E436" s="17"/>
      <c r="F436" s="18"/>
      <c r="G436" s="18"/>
      <c r="H436" s="21"/>
      <c r="I436" s="19"/>
      <c r="J436" s="8" t="str">
        <f aca="false">IF(OR(E436="",F436=""),"",E436*F436)</f>
        <v/>
      </c>
      <c r="K436" s="22" t="str">
        <f aca="false">IF($M436="","",INDEX('Программа тренировок'!$G$6:$G$25,$M436))</f>
        <v/>
      </c>
      <c r="L436" s="23" t="str">
        <f aca="false">IF(OR($M436="",$F436="",$G436=""),"",IF($H436="Разминка","Разминка",IF($F436&lt;INDEX('Программа тренировок'!$E$6:$E$25,$M436),"Ниже диапазона",IF(AND($F436&gt;=INDEX('Программа тренировок'!$F$6:$F$25,$M436),$G436&gt;=INDEX('Программа тренировок'!$L$6:$L$25,$M436)),"Верх диапазона: пора добавлять вес",IF($G436&lt;INDEX('Программа тренировок'!$L$6:$L$25,$M436),"RIR ниже цели","В диапазоне")))))</f>
        <v/>
      </c>
      <c r="M436" s="23" t="str">
        <f aca="false">IF($C436="","",IFERROR(MATCH($C436,'Программа тренировок'!$C$6:$C$25,0),""))</f>
        <v/>
      </c>
    </row>
    <row r="437" customFormat="false" ht="15" hidden="false" customHeight="true" outlineLevel="0" collapsed="false">
      <c r="A437" s="20"/>
      <c r="B437" s="21"/>
      <c r="C437" s="19"/>
      <c r="D437" s="18"/>
      <c r="E437" s="17"/>
      <c r="F437" s="18"/>
      <c r="G437" s="18"/>
      <c r="H437" s="21"/>
      <c r="I437" s="19"/>
      <c r="J437" s="8" t="str">
        <f aca="false">IF(OR(E437="",F437=""),"",E437*F437)</f>
        <v/>
      </c>
      <c r="K437" s="22" t="str">
        <f aca="false">IF($M437="","",INDEX('Программа тренировок'!$G$6:$G$25,$M437))</f>
        <v/>
      </c>
      <c r="L437" s="23" t="str">
        <f aca="false">IF(OR($M437="",$F437="",$G437=""),"",IF($H437="Разминка","Разминка",IF($F437&lt;INDEX('Программа тренировок'!$E$6:$E$25,$M437),"Ниже диапазона",IF(AND($F437&gt;=INDEX('Программа тренировок'!$F$6:$F$25,$M437),$G437&gt;=INDEX('Программа тренировок'!$L$6:$L$25,$M437)),"Верх диапазона: пора добавлять вес",IF($G437&lt;INDEX('Программа тренировок'!$L$6:$L$25,$M437),"RIR ниже цели","В диапазоне")))))</f>
        <v/>
      </c>
      <c r="M437" s="23" t="str">
        <f aca="false">IF($C437="","",IFERROR(MATCH($C437,'Программа тренировок'!$C$6:$C$25,0),""))</f>
        <v/>
      </c>
    </row>
    <row r="438" customFormat="false" ht="15" hidden="false" customHeight="true" outlineLevel="0" collapsed="false">
      <c r="A438" s="20"/>
      <c r="B438" s="21"/>
      <c r="C438" s="19"/>
      <c r="D438" s="18"/>
      <c r="E438" s="17"/>
      <c r="F438" s="18"/>
      <c r="G438" s="18"/>
      <c r="H438" s="21"/>
      <c r="I438" s="19"/>
      <c r="J438" s="8" t="str">
        <f aca="false">IF(OR(E438="",F438=""),"",E438*F438)</f>
        <v/>
      </c>
      <c r="K438" s="22" t="str">
        <f aca="false">IF($M438="","",INDEX('Программа тренировок'!$G$6:$G$25,$M438))</f>
        <v/>
      </c>
      <c r="L438" s="23" t="str">
        <f aca="false">IF(OR($M438="",$F438="",$G438=""),"",IF($H438="Разминка","Разминка",IF($F438&lt;INDEX('Программа тренировок'!$E$6:$E$25,$M438),"Ниже диапазона",IF(AND($F438&gt;=INDEX('Программа тренировок'!$F$6:$F$25,$M438),$G438&gt;=INDEX('Программа тренировок'!$L$6:$L$25,$M438)),"Верх диапазона: пора добавлять вес",IF($G438&lt;INDEX('Программа тренировок'!$L$6:$L$25,$M438),"RIR ниже цели","В диапазоне")))))</f>
        <v/>
      </c>
      <c r="M438" s="23" t="str">
        <f aca="false">IF($C438="","",IFERROR(MATCH($C438,'Программа тренировок'!$C$6:$C$25,0),""))</f>
        <v/>
      </c>
    </row>
    <row r="439" customFormat="false" ht="15" hidden="false" customHeight="true" outlineLevel="0" collapsed="false">
      <c r="A439" s="20"/>
      <c r="B439" s="21"/>
      <c r="C439" s="19"/>
      <c r="D439" s="18"/>
      <c r="E439" s="17"/>
      <c r="F439" s="18"/>
      <c r="G439" s="18"/>
      <c r="H439" s="21"/>
      <c r="I439" s="19"/>
      <c r="J439" s="8" t="str">
        <f aca="false">IF(OR(E439="",F439=""),"",E439*F439)</f>
        <v/>
      </c>
      <c r="K439" s="22" t="str">
        <f aca="false">IF($M439="","",INDEX('Программа тренировок'!$G$6:$G$25,$M439))</f>
        <v/>
      </c>
      <c r="L439" s="23" t="str">
        <f aca="false">IF(OR($M439="",$F439="",$G439=""),"",IF($H439="Разминка","Разминка",IF($F439&lt;INDEX('Программа тренировок'!$E$6:$E$25,$M439),"Ниже диапазона",IF(AND($F439&gt;=INDEX('Программа тренировок'!$F$6:$F$25,$M439),$G439&gt;=INDEX('Программа тренировок'!$L$6:$L$25,$M439)),"Верх диапазона: пора добавлять вес",IF($G439&lt;INDEX('Программа тренировок'!$L$6:$L$25,$M439),"RIR ниже цели","В диапазоне")))))</f>
        <v/>
      </c>
      <c r="M439" s="23" t="str">
        <f aca="false">IF($C439="","",IFERROR(MATCH($C439,'Программа тренировок'!$C$6:$C$25,0),""))</f>
        <v/>
      </c>
    </row>
    <row r="440" customFormat="false" ht="15" hidden="false" customHeight="true" outlineLevel="0" collapsed="false">
      <c r="A440" s="20"/>
      <c r="B440" s="21"/>
      <c r="C440" s="19"/>
      <c r="D440" s="18"/>
      <c r="E440" s="17"/>
      <c r="F440" s="18"/>
      <c r="G440" s="18"/>
      <c r="H440" s="21"/>
      <c r="I440" s="19"/>
      <c r="J440" s="8" t="str">
        <f aca="false">IF(OR(E440="",F440=""),"",E440*F440)</f>
        <v/>
      </c>
      <c r="K440" s="22" t="str">
        <f aca="false">IF($M440="","",INDEX('Программа тренировок'!$G$6:$G$25,$M440))</f>
        <v/>
      </c>
      <c r="L440" s="23" t="str">
        <f aca="false">IF(OR($M440="",$F440="",$G440=""),"",IF($H440="Разминка","Разминка",IF($F440&lt;INDEX('Программа тренировок'!$E$6:$E$25,$M440),"Ниже диапазона",IF(AND($F440&gt;=INDEX('Программа тренировок'!$F$6:$F$25,$M440),$G440&gt;=INDEX('Программа тренировок'!$L$6:$L$25,$M440)),"Верх диапазона: пора добавлять вес",IF($G440&lt;INDEX('Программа тренировок'!$L$6:$L$25,$M440),"RIR ниже цели","В диапазоне")))))</f>
        <v/>
      </c>
      <c r="M440" s="23" t="str">
        <f aca="false">IF($C440="","",IFERROR(MATCH($C440,'Программа тренировок'!$C$6:$C$25,0),""))</f>
        <v/>
      </c>
    </row>
    <row r="441" customFormat="false" ht="15" hidden="false" customHeight="true" outlineLevel="0" collapsed="false">
      <c r="A441" s="20"/>
      <c r="B441" s="21"/>
      <c r="C441" s="19"/>
      <c r="D441" s="18"/>
      <c r="E441" s="17"/>
      <c r="F441" s="18"/>
      <c r="G441" s="18"/>
      <c r="H441" s="21"/>
      <c r="I441" s="19"/>
      <c r="J441" s="8" t="str">
        <f aca="false">IF(OR(E441="",F441=""),"",E441*F441)</f>
        <v/>
      </c>
      <c r="K441" s="22" t="str">
        <f aca="false">IF($M441="","",INDEX('Программа тренировок'!$G$6:$G$25,$M441))</f>
        <v/>
      </c>
      <c r="L441" s="23" t="str">
        <f aca="false">IF(OR($M441="",$F441="",$G441=""),"",IF($H441="Разминка","Разминка",IF($F441&lt;INDEX('Программа тренировок'!$E$6:$E$25,$M441),"Ниже диапазона",IF(AND($F441&gt;=INDEX('Программа тренировок'!$F$6:$F$25,$M441),$G441&gt;=INDEX('Программа тренировок'!$L$6:$L$25,$M441)),"Верх диапазона: пора добавлять вес",IF($G441&lt;INDEX('Программа тренировок'!$L$6:$L$25,$M441),"RIR ниже цели","В диапазоне")))))</f>
        <v/>
      </c>
      <c r="M441" s="23" t="str">
        <f aca="false">IF($C441="","",IFERROR(MATCH($C441,'Программа тренировок'!$C$6:$C$25,0),""))</f>
        <v/>
      </c>
    </row>
    <row r="442" customFormat="false" ht="15" hidden="false" customHeight="true" outlineLevel="0" collapsed="false">
      <c r="A442" s="20"/>
      <c r="B442" s="21"/>
      <c r="C442" s="19"/>
      <c r="D442" s="18"/>
      <c r="E442" s="17"/>
      <c r="F442" s="18"/>
      <c r="G442" s="18"/>
      <c r="H442" s="21"/>
      <c r="I442" s="19"/>
      <c r="J442" s="8" t="str">
        <f aca="false">IF(OR(E442="",F442=""),"",E442*F442)</f>
        <v/>
      </c>
      <c r="K442" s="22" t="str">
        <f aca="false">IF($M442="","",INDEX('Программа тренировок'!$G$6:$G$25,$M442))</f>
        <v/>
      </c>
      <c r="L442" s="23" t="str">
        <f aca="false">IF(OR($M442="",$F442="",$G442=""),"",IF($H442="Разминка","Разминка",IF($F442&lt;INDEX('Программа тренировок'!$E$6:$E$25,$M442),"Ниже диапазона",IF(AND($F442&gt;=INDEX('Программа тренировок'!$F$6:$F$25,$M442),$G442&gt;=INDEX('Программа тренировок'!$L$6:$L$25,$M442)),"Верх диапазона: пора добавлять вес",IF($G442&lt;INDEX('Программа тренировок'!$L$6:$L$25,$M442),"RIR ниже цели","В диапазоне")))))</f>
        <v/>
      </c>
      <c r="M442" s="23" t="str">
        <f aca="false">IF($C442="","",IFERROR(MATCH($C442,'Программа тренировок'!$C$6:$C$25,0),""))</f>
        <v/>
      </c>
    </row>
    <row r="443" customFormat="false" ht="15" hidden="false" customHeight="true" outlineLevel="0" collapsed="false">
      <c r="A443" s="20"/>
      <c r="B443" s="21"/>
      <c r="C443" s="19"/>
      <c r="D443" s="18"/>
      <c r="E443" s="17"/>
      <c r="F443" s="18"/>
      <c r="G443" s="18"/>
      <c r="H443" s="21"/>
      <c r="I443" s="19"/>
      <c r="J443" s="8" t="str">
        <f aca="false">IF(OR(E443="",F443=""),"",E443*F443)</f>
        <v/>
      </c>
      <c r="K443" s="22" t="str">
        <f aca="false">IF($M443="","",INDEX('Программа тренировок'!$G$6:$G$25,$M443))</f>
        <v/>
      </c>
      <c r="L443" s="23" t="str">
        <f aca="false">IF(OR($M443="",$F443="",$G443=""),"",IF($H443="Разминка","Разминка",IF($F443&lt;INDEX('Программа тренировок'!$E$6:$E$25,$M443),"Ниже диапазона",IF(AND($F443&gt;=INDEX('Программа тренировок'!$F$6:$F$25,$M443),$G443&gt;=INDEX('Программа тренировок'!$L$6:$L$25,$M443)),"Верх диапазона: пора добавлять вес",IF($G443&lt;INDEX('Программа тренировок'!$L$6:$L$25,$M443),"RIR ниже цели","В диапазоне")))))</f>
        <v/>
      </c>
      <c r="M443" s="23" t="str">
        <f aca="false">IF($C443="","",IFERROR(MATCH($C443,'Программа тренировок'!$C$6:$C$25,0),""))</f>
        <v/>
      </c>
    </row>
    <row r="444" customFormat="false" ht="15" hidden="false" customHeight="true" outlineLevel="0" collapsed="false">
      <c r="A444" s="20"/>
      <c r="B444" s="21"/>
      <c r="C444" s="19"/>
      <c r="D444" s="18"/>
      <c r="E444" s="17"/>
      <c r="F444" s="18"/>
      <c r="G444" s="18"/>
      <c r="H444" s="21"/>
      <c r="I444" s="19"/>
      <c r="J444" s="8" t="str">
        <f aca="false">IF(OR(E444="",F444=""),"",E444*F444)</f>
        <v/>
      </c>
      <c r="K444" s="22" t="str">
        <f aca="false">IF($M444="","",INDEX('Программа тренировок'!$G$6:$G$25,$M444))</f>
        <v/>
      </c>
      <c r="L444" s="23" t="str">
        <f aca="false">IF(OR($M444="",$F444="",$G444=""),"",IF($H444="Разминка","Разминка",IF($F444&lt;INDEX('Программа тренировок'!$E$6:$E$25,$M444),"Ниже диапазона",IF(AND($F444&gt;=INDEX('Программа тренировок'!$F$6:$F$25,$M444),$G444&gt;=INDEX('Программа тренировок'!$L$6:$L$25,$M444)),"Верх диапазона: пора добавлять вес",IF($G444&lt;INDEX('Программа тренировок'!$L$6:$L$25,$M444),"RIR ниже цели","В диапазоне")))))</f>
        <v/>
      </c>
      <c r="M444" s="23" t="str">
        <f aca="false">IF($C444="","",IFERROR(MATCH($C444,'Программа тренировок'!$C$6:$C$25,0),""))</f>
        <v/>
      </c>
    </row>
    <row r="445" customFormat="false" ht="15" hidden="false" customHeight="true" outlineLevel="0" collapsed="false">
      <c r="A445" s="20"/>
      <c r="B445" s="21"/>
      <c r="C445" s="19"/>
      <c r="D445" s="18"/>
      <c r="E445" s="17"/>
      <c r="F445" s="18"/>
      <c r="G445" s="18"/>
      <c r="H445" s="21"/>
      <c r="I445" s="19"/>
      <c r="J445" s="8" t="str">
        <f aca="false">IF(OR(E445="",F445=""),"",E445*F445)</f>
        <v/>
      </c>
      <c r="K445" s="22" t="str">
        <f aca="false">IF($M445="","",INDEX('Программа тренировок'!$G$6:$G$25,$M445))</f>
        <v/>
      </c>
      <c r="L445" s="23" t="str">
        <f aca="false">IF(OR($M445="",$F445="",$G445=""),"",IF($H445="Разминка","Разминка",IF($F445&lt;INDEX('Программа тренировок'!$E$6:$E$25,$M445),"Ниже диапазона",IF(AND($F445&gt;=INDEX('Программа тренировок'!$F$6:$F$25,$M445),$G445&gt;=INDEX('Программа тренировок'!$L$6:$L$25,$M445)),"Верх диапазона: пора добавлять вес",IF($G445&lt;INDEX('Программа тренировок'!$L$6:$L$25,$M445),"RIR ниже цели","В диапазоне")))))</f>
        <v/>
      </c>
      <c r="M445" s="23" t="str">
        <f aca="false">IF($C445="","",IFERROR(MATCH($C445,'Программа тренировок'!$C$6:$C$25,0),""))</f>
        <v/>
      </c>
    </row>
    <row r="446" customFormat="false" ht="15" hidden="false" customHeight="true" outlineLevel="0" collapsed="false">
      <c r="A446" s="20"/>
      <c r="B446" s="21"/>
      <c r="C446" s="19"/>
      <c r="D446" s="18"/>
      <c r="E446" s="17"/>
      <c r="F446" s="18"/>
      <c r="G446" s="18"/>
      <c r="H446" s="21"/>
      <c r="I446" s="19"/>
      <c r="J446" s="8" t="str">
        <f aca="false">IF(OR(E446="",F446=""),"",E446*F446)</f>
        <v/>
      </c>
      <c r="K446" s="22" t="str">
        <f aca="false">IF($M446="","",INDEX('Программа тренировок'!$G$6:$G$25,$M446))</f>
        <v/>
      </c>
      <c r="L446" s="23" t="str">
        <f aca="false">IF(OR($M446="",$F446="",$G446=""),"",IF($H446="Разминка","Разминка",IF($F446&lt;INDEX('Программа тренировок'!$E$6:$E$25,$M446),"Ниже диапазона",IF(AND($F446&gt;=INDEX('Программа тренировок'!$F$6:$F$25,$M446),$G446&gt;=INDEX('Программа тренировок'!$L$6:$L$25,$M446)),"Верх диапазона: пора добавлять вес",IF($G446&lt;INDEX('Программа тренировок'!$L$6:$L$25,$M446),"RIR ниже цели","В диапазоне")))))</f>
        <v/>
      </c>
      <c r="M446" s="23" t="str">
        <f aca="false">IF($C446="","",IFERROR(MATCH($C446,'Программа тренировок'!$C$6:$C$25,0),""))</f>
        <v/>
      </c>
    </row>
    <row r="447" customFormat="false" ht="15" hidden="false" customHeight="true" outlineLevel="0" collapsed="false">
      <c r="A447" s="20"/>
      <c r="B447" s="21"/>
      <c r="C447" s="19"/>
      <c r="D447" s="18"/>
      <c r="E447" s="17"/>
      <c r="F447" s="18"/>
      <c r="G447" s="18"/>
      <c r="H447" s="21"/>
      <c r="I447" s="19"/>
      <c r="J447" s="8" t="str">
        <f aca="false">IF(OR(E447="",F447=""),"",E447*F447)</f>
        <v/>
      </c>
      <c r="K447" s="22" t="str">
        <f aca="false">IF($M447="","",INDEX('Программа тренировок'!$G$6:$G$25,$M447))</f>
        <v/>
      </c>
      <c r="L447" s="23" t="str">
        <f aca="false">IF(OR($M447="",$F447="",$G447=""),"",IF($H447="Разминка","Разминка",IF($F447&lt;INDEX('Программа тренировок'!$E$6:$E$25,$M447),"Ниже диапазона",IF(AND($F447&gt;=INDEX('Программа тренировок'!$F$6:$F$25,$M447),$G447&gt;=INDEX('Программа тренировок'!$L$6:$L$25,$M447)),"Верх диапазона: пора добавлять вес",IF($G447&lt;INDEX('Программа тренировок'!$L$6:$L$25,$M447),"RIR ниже цели","В диапазоне")))))</f>
        <v/>
      </c>
      <c r="M447" s="23" t="str">
        <f aca="false">IF($C447="","",IFERROR(MATCH($C447,'Программа тренировок'!$C$6:$C$25,0),""))</f>
        <v/>
      </c>
    </row>
    <row r="448" customFormat="false" ht="15" hidden="false" customHeight="true" outlineLevel="0" collapsed="false">
      <c r="A448" s="20"/>
      <c r="B448" s="21"/>
      <c r="C448" s="19"/>
      <c r="D448" s="18"/>
      <c r="E448" s="17"/>
      <c r="F448" s="18"/>
      <c r="G448" s="18"/>
      <c r="H448" s="21"/>
      <c r="I448" s="19"/>
      <c r="J448" s="8" t="str">
        <f aca="false">IF(OR(E448="",F448=""),"",E448*F448)</f>
        <v/>
      </c>
      <c r="K448" s="22" t="str">
        <f aca="false">IF($M448="","",INDEX('Программа тренировок'!$G$6:$G$25,$M448))</f>
        <v/>
      </c>
      <c r="L448" s="23" t="str">
        <f aca="false">IF(OR($M448="",$F448="",$G448=""),"",IF($H448="Разминка","Разминка",IF($F448&lt;INDEX('Программа тренировок'!$E$6:$E$25,$M448),"Ниже диапазона",IF(AND($F448&gt;=INDEX('Программа тренировок'!$F$6:$F$25,$M448),$G448&gt;=INDEX('Программа тренировок'!$L$6:$L$25,$M448)),"Верх диапазона: пора добавлять вес",IF($G448&lt;INDEX('Программа тренировок'!$L$6:$L$25,$M448),"RIR ниже цели","В диапазоне")))))</f>
        <v/>
      </c>
      <c r="M448" s="23" t="str">
        <f aca="false">IF($C448="","",IFERROR(MATCH($C448,'Программа тренировок'!$C$6:$C$25,0),""))</f>
        <v/>
      </c>
    </row>
    <row r="449" customFormat="false" ht="15" hidden="false" customHeight="true" outlineLevel="0" collapsed="false">
      <c r="A449" s="20"/>
      <c r="B449" s="21"/>
      <c r="C449" s="19"/>
      <c r="D449" s="18"/>
      <c r="E449" s="17"/>
      <c r="F449" s="18"/>
      <c r="G449" s="18"/>
      <c r="H449" s="21"/>
      <c r="I449" s="19"/>
      <c r="J449" s="8" t="str">
        <f aca="false">IF(OR(E449="",F449=""),"",E449*F449)</f>
        <v/>
      </c>
      <c r="K449" s="22" t="str">
        <f aca="false">IF($M449="","",INDEX('Программа тренировок'!$G$6:$G$25,$M449))</f>
        <v/>
      </c>
      <c r="L449" s="23" t="str">
        <f aca="false">IF(OR($M449="",$F449="",$G449=""),"",IF($H449="Разминка","Разминка",IF($F449&lt;INDEX('Программа тренировок'!$E$6:$E$25,$M449),"Ниже диапазона",IF(AND($F449&gt;=INDEX('Программа тренировок'!$F$6:$F$25,$M449),$G449&gt;=INDEX('Программа тренировок'!$L$6:$L$25,$M449)),"Верх диапазона: пора добавлять вес",IF($G449&lt;INDEX('Программа тренировок'!$L$6:$L$25,$M449),"RIR ниже цели","В диапазоне")))))</f>
        <v/>
      </c>
      <c r="M449" s="23" t="str">
        <f aca="false">IF($C449="","",IFERROR(MATCH($C449,'Программа тренировок'!$C$6:$C$25,0),""))</f>
        <v/>
      </c>
    </row>
    <row r="450" customFormat="false" ht="15" hidden="false" customHeight="true" outlineLevel="0" collapsed="false">
      <c r="A450" s="20"/>
      <c r="B450" s="21"/>
      <c r="C450" s="19"/>
      <c r="D450" s="18"/>
      <c r="E450" s="17"/>
      <c r="F450" s="18"/>
      <c r="G450" s="18"/>
      <c r="H450" s="21"/>
      <c r="I450" s="19"/>
      <c r="J450" s="8" t="str">
        <f aca="false">IF(OR(E450="",F450=""),"",E450*F450)</f>
        <v/>
      </c>
      <c r="K450" s="22" t="str">
        <f aca="false">IF($M450="","",INDEX('Программа тренировок'!$G$6:$G$25,$M450))</f>
        <v/>
      </c>
      <c r="L450" s="23" t="str">
        <f aca="false">IF(OR($M450="",$F450="",$G450=""),"",IF($H450="Разминка","Разминка",IF($F450&lt;INDEX('Программа тренировок'!$E$6:$E$25,$M450),"Ниже диапазона",IF(AND($F450&gt;=INDEX('Программа тренировок'!$F$6:$F$25,$M450),$G450&gt;=INDEX('Программа тренировок'!$L$6:$L$25,$M450)),"Верх диапазона: пора добавлять вес",IF($G450&lt;INDEX('Программа тренировок'!$L$6:$L$25,$M450),"RIR ниже цели","В диапазоне")))))</f>
        <v/>
      </c>
      <c r="M450" s="23" t="str">
        <f aca="false">IF($C450="","",IFERROR(MATCH($C450,'Программа тренировок'!$C$6:$C$25,0),""))</f>
        <v/>
      </c>
    </row>
    <row r="451" customFormat="false" ht="15" hidden="false" customHeight="true" outlineLevel="0" collapsed="false">
      <c r="A451" s="20"/>
      <c r="B451" s="21"/>
      <c r="C451" s="19"/>
      <c r="D451" s="18"/>
      <c r="E451" s="17"/>
      <c r="F451" s="18"/>
      <c r="G451" s="18"/>
      <c r="H451" s="21"/>
      <c r="I451" s="19"/>
      <c r="J451" s="8" t="str">
        <f aca="false">IF(OR(E451="",F451=""),"",E451*F451)</f>
        <v/>
      </c>
      <c r="K451" s="22" t="str">
        <f aca="false">IF($M451="","",INDEX('Программа тренировок'!$G$6:$G$25,$M451))</f>
        <v/>
      </c>
      <c r="L451" s="23" t="str">
        <f aca="false">IF(OR($M451="",$F451="",$G451=""),"",IF($H451="Разминка","Разминка",IF($F451&lt;INDEX('Программа тренировок'!$E$6:$E$25,$M451),"Ниже диапазона",IF(AND($F451&gt;=INDEX('Программа тренировок'!$F$6:$F$25,$M451),$G451&gt;=INDEX('Программа тренировок'!$L$6:$L$25,$M451)),"Верх диапазона: пора добавлять вес",IF($G451&lt;INDEX('Программа тренировок'!$L$6:$L$25,$M451),"RIR ниже цели","В диапазоне")))))</f>
        <v/>
      </c>
      <c r="M451" s="23" t="str">
        <f aca="false">IF($C451="","",IFERROR(MATCH($C451,'Программа тренировок'!$C$6:$C$25,0),""))</f>
        <v/>
      </c>
    </row>
    <row r="452" customFormat="false" ht="15" hidden="false" customHeight="true" outlineLevel="0" collapsed="false">
      <c r="A452" s="20"/>
      <c r="B452" s="21"/>
      <c r="C452" s="19"/>
      <c r="D452" s="18"/>
      <c r="E452" s="17"/>
      <c r="F452" s="18"/>
      <c r="G452" s="18"/>
      <c r="H452" s="21"/>
      <c r="I452" s="19"/>
      <c r="J452" s="8" t="str">
        <f aca="false">IF(OR(E452="",F452=""),"",E452*F452)</f>
        <v/>
      </c>
      <c r="K452" s="22" t="str">
        <f aca="false">IF($M452="","",INDEX('Программа тренировок'!$G$6:$G$25,$M452))</f>
        <v/>
      </c>
      <c r="L452" s="23" t="str">
        <f aca="false">IF(OR($M452="",$F452="",$G452=""),"",IF($H452="Разминка","Разминка",IF($F452&lt;INDEX('Программа тренировок'!$E$6:$E$25,$M452),"Ниже диапазона",IF(AND($F452&gt;=INDEX('Программа тренировок'!$F$6:$F$25,$M452),$G452&gt;=INDEX('Программа тренировок'!$L$6:$L$25,$M452)),"Верх диапазона: пора добавлять вес",IF($G452&lt;INDEX('Программа тренировок'!$L$6:$L$25,$M452),"RIR ниже цели","В диапазоне")))))</f>
        <v/>
      </c>
      <c r="M452" s="23" t="str">
        <f aca="false">IF($C452="","",IFERROR(MATCH($C452,'Программа тренировок'!$C$6:$C$25,0),""))</f>
        <v/>
      </c>
    </row>
    <row r="453" customFormat="false" ht="15" hidden="false" customHeight="true" outlineLevel="0" collapsed="false">
      <c r="A453" s="20"/>
      <c r="B453" s="21"/>
      <c r="C453" s="19"/>
      <c r="D453" s="18"/>
      <c r="E453" s="17"/>
      <c r="F453" s="18"/>
      <c r="G453" s="18"/>
      <c r="H453" s="21"/>
      <c r="I453" s="19"/>
      <c r="J453" s="8" t="str">
        <f aca="false">IF(OR(E453="",F453=""),"",E453*F453)</f>
        <v/>
      </c>
      <c r="K453" s="22" t="str">
        <f aca="false">IF($M453="","",INDEX('Программа тренировок'!$G$6:$G$25,$M453))</f>
        <v/>
      </c>
      <c r="L453" s="23" t="str">
        <f aca="false">IF(OR($M453="",$F453="",$G453=""),"",IF($H453="Разминка","Разминка",IF($F453&lt;INDEX('Программа тренировок'!$E$6:$E$25,$M453),"Ниже диапазона",IF(AND($F453&gt;=INDEX('Программа тренировок'!$F$6:$F$25,$M453),$G453&gt;=INDEX('Программа тренировок'!$L$6:$L$25,$M453)),"Верх диапазона: пора добавлять вес",IF($G453&lt;INDEX('Программа тренировок'!$L$6:$L$25,$M453),"RIR ниже цели","В диапазоне")))))</f>
        <v/>
      </c>
      <c r="M453" s="23" t="str">
        <f aca="false">IF($C453="","",IFERROR(MATCH($C453,'Программа тренировок'!$C$6:$C$25,0),""))</f>
        <v/>
      </c>
    </row>
    <row r="454" customFormat="false" ht="15" hidden="false" customHeight="true" outlineLevel="0" collapsed="false">
      <c r="A454" s="20"/>
      <c r="B454" s="21"/>
      <c r="C454" s="19"/>
      <c r="D454" s="18"/>
      <c r="E454" s="17"/>
      <c r="F454" s="18"/>
      <c r="G454" s="18"/>
      <c r="H454" s="21"/>
      <c r="I454" s="19"/>
      <c r="J454" s="8" t="str">
        <f aca="false">IF(OR(E454="",F454=""),"",E454*F454)</f>
        <v/>
      </c>
      <c r="K454" s="22" t="str">
        <f aca="false">IF($M454="","",INDEX('Программа тренировок'!$G$6:$G$25,$M454))</f>
        <v/>
      </c>
      <c r="L454" s="23" t="str">
        <f aca="false">IF(OR($M454="",$F454="",$G454=""),"",IF($H454="Разминка","Разминка",IF($F454&lt;INDEX('Программа тренировок'!$E$6:$E$25,$M454),"Ниже диапазона",IF(AND($F454&gt;=INDEX('Программа тренировок'!$F$6:$F$25,$M454),$G454&gt;=INDEX('Программа тренировок'!$L$6:$L$25,$M454)),"Верх диапазона: пора добавлять вес",IF($G454&lt;INDEX('Программа тренировок'!$L$6:$L$25,$M454),"RIR ниже цели","В диапазоне")))))</f>
        <v/>
      </c>
      <c r="M454" s="23" t="str">
        <f aca="false">IF($C454="","",IFERROR(MATCH($C454,'Программа тренировок'!$C$6:$C$25,0),""))</f>
        <v/>
      </c>
    </row>
    <row r="455" customFormat="false" ht="15" hidden="false" customHeight="true" outlineLevel="0" collapsed="false">
      <c r="A455" s="20"/>
      <c r="B455" s="21"/>
      <c r="C455" s="19"/>
      <c r="D455" s="18"/>
      <c r="E455" s="17"/>
      <c r="F455" s="18"/>
      <c r="G455" s="18"/>
      <c r="H455" s="21"/>
      <c r="I455" s="19"/>
      <c r="J455" s="8" t="str">
        <f aca="false">IF(OR(E455="",F455=""),"",E455*F455)</f>
        <v/>
      </c>
      <c r="K455" s="22" t="str">
        <f aca="false">IF($M455="","",INDEX('Программа тренировок'!$G$6:$G$25,$M455))</f>
        <v/>
      </c>
      <c r="L455" s="23" t="str">
        <f aca="false">IF(OR($M455="",$F455="",$G455=""),"",IF($H455="Разминка","Разминка",IF($F455&lt;INDEX('Программа тренировок'!$E$6:$E$25,$M455),"Ниже диапазона",IF(AND($F455&gt;=INDEX('Программа тренировок'!$F$6:$F$25,$M455),$G455&gt;=INDEX('Программа тренировок'!$L$6:$L$25,$M455)),"Верх диапазона: пора добавлять вес",IF($G455&lt;INDEX('Программа тренировок'!$L$6:$L$25,$M455),"RIR ниже цели","В диапазоне")))))</f>
        <v/>
      </c>
      <c r="M455" s="23" t="str">
        <f aca="false">IF($C455="","",IFERROR(MATCH($C455,'Программа тренировок'!$C$6:$C$25,0),""))</f>
        <v/>
      </c>
    </row>
    <row r="456" customFormat="false" ht="15" hidden="false" customHeight="true" outlineLevel="0" collapsed="false">
      <c r="A456" s="20"/>
      <c r="B456" s="21"/>
      <c r="C456" s="19"/>
      <c r="D456" s="18"/>
      <c r="E456" s="17"/>
      <c r="F456" s="18"/>
      <c r="G456" s="18"/>
      <c r="H456" s="21"/>
      <c r="I456" s="19"/>
      <c r="J456" s="8" t="str">
        <f aca="false">IF(OR(E456="",F456=""),"",E456*F456)</f>
        <v/>
      </c>
      <c r="K456" s="22" t="str">
        <f aca="false">IF($M456="","",INDEX('Программа тренировок'!$G$6:$G$25,$M456))</f>
        <v/>
      </c>
      <c r="L456" s="23" t="str">
        <f aca="false">IF(OR($M456="",$F456="",$G456=""),"",IF($H456="Разминка","Разминка",IF($F456&lt;INDEX('Программа тренировок'!$E$6:$E$25,$M456),"Ниже диапазона",IF(AND($F456&gt;=INDEX('Программа тренировок'!$F$6:$F$25,$M456),$G456&gt;=INDEX('Программа тренировок'!$L$6:$L$25,$M456)),"Верх диапазона: пора добавлять вес",IF($G456&lt;INDEX('Программа тренировок'!$L$6:$L$25,$M456),"RIR ниже цели","В диапазоне")))))</f>
        <v/>
      </c>
      <c r="M456" s="23" t="str">
        <f aca="false">IF($C456="","",IFERROR(MATCH($C456,'Программа тренировок'!$C$6:$C$25,0),""))</f>
        <v/>
      </c>
    </row>
    <row r="457" customFormat="false" ht="15" hidden="false" customHeight="true" outlineLevel="0" collapsed="false">
      <c r="A457" s="20"/>
      <c r="B457" s="21"/>
      <c r="C457" s="19"/>
      <c r="D457" s="18"/>
      <c r="E457" s="17"/>
      <c r="F457" s="18"/>
      <c r="G457" s="18"/>
      <c r="H457" s="21"/>
      <c r="I457" s="19"/>
      <c r="J457" s="8" t="str">
        <f aca="false">IF(OR(E457="",F457=""),"",E457*F457)</f>
        <v/>
      </c>
      <c r="K457" s="22" t="str">
        <f aca="false">IF($M457="","",INDEX('Программа тренировок'!$G$6:$G$25,$M457))</f>
        <v/>
      </c>
      <c r="L457" s="23" t="str">
        <f aca="false">IF(OR($M457="",$F457="",$G457=""),"",IF($H457="Разминка","Разминка",IF($F457&lt;INDEX('Программа тренировок'!$E$6:$E$25,$M457),"Ниже диапазона",IF(AND($F457&gt;=INDEX('Программа тренировок'!$F$6:$F$25,$M457),$G457&gt;=INDEX('Программа тренировок'!$L$6:$L$25,$M457)),"Верх диапазона: пора добавлять вес",IF($G457&lt;INDEX('Программа тренировок'!$L$6:$L$25,$M457),"RIR ниже цели","В диапазоне")))))</f>
        <v/>
      </c>
      <c r="M457" s="23" t="str">
        <f aca="false">IF($C457="","",IFERROR(MATCH($C457,'Программа тренировок'!$C$6:$C$25,0),""))</f>
        <v/>
      </c>
    </row>
    <row r="458" customFormat="false" ht="15" hidden="false" customHeight="true" outlineLevel="0" collapsed="false">
      <c r="A458" s="20"/>
      <c r="B458" s="21"/>
      <c r="C458" s="19"/>
      <c r="D458" s="18"/>
      <c r="E458" s="17"/>
      <c r="F458" s="18"/>
      <c r="G458" s="18"/>
      <c r="H458" s="21"/>
      <c r="I458" s="19"/>
      <c r="J458" s="8" t="str">
        <f aca="false">IF(OR(E458="",F458=""),"",E458*F458)</f>
        <v/>
      </c>
      <c r="K458" s="22" t="str">
        <f aca="false">IF($M458="","",INDEX('Программа тренировок'!$G$6:$G$25,$M458))</f>
        <v/>
      </c>
      <c r="L458" s="23" t="str">
        <f aca="false">IF(OR($M458="",$F458="",$G458=""),"",IF($H458="Разминка","Разминка",IF($F458&lt;INDEX('Программа тренировок'!$E$6:$E$25,$M458),"Ниже диапазона",IF(AND($F458&gt;=INDEX('Программа тренировок'!$F$6:$F$25,$M458),$G458&gt;=INDEX('Программа тренировок'!$L$6:$L$25,$M458)),"Верх диапазона: пора добавлять вес",IF($G458&lt;INDEX('Программа тренировок'!$L$6:$L$25,$M458),"RIR ниже цели","В диапазоне")))))</f>
        <v/>
      </c>
      <c r="M458" s="23" t="str">
        <f aca="false">IF($C458="","",IFERROR(MATCH($C458,'Программа тренировок'!$C$6:$C$25,0),""))</f>
        <v/>
      </c>
    </row>
    <row r="459" customFormat="false" ht="15" hidden="false" customHeight="true" outlineLevel="0" collapsed="false">
      <c r="A459" s="20"/>
      <c r="B459" s="21"/>
      <c r="C459" s="19"/>
      <c r="D459" s="18"/>
      <c r="E459" s="17"/>
      <c r="F459" s="18"/>
      <c r="G459" s="18"/>
      <c r="H459" s="21"/>
      <c r="I459" s="19"/>
      <c r="J459" s="8" t="str">
        <f aca="false">IF(OR(E459="",F459=""),"",E459*F459)</f>
        <v/>
      </c>
      <c r="K459" s="22" t="str">
        <f aca="false">IF($M459="","",INDEX('Программа тренировок'!$G$6:$G$25,$M459))</f>
        <v/>
      </c>
      <c r="L459" s="23" t="str">
        <f aca="false">IF(OR($M459="",$F459="",$G459=""),"",IF($H459="Разминка","Разминка",IF($F459&lt;INDEX('Программа тренировок'!$E$6:$E$25,$M459),"Ниже диапазона",IF(AND($F459&gt;=INDEX('Программа тренировок'!$F$6:$F$25,$M459),$G459&gt;=INDEX('Программа тренировок'!$L$6:$L$25,$M459)),"Верх диапазона: пора добавлять вес",IF($G459&lt;INDEX('Программа тренировок'!$L$6:$L$25,$M459),"RIR ниже цели","В диапазоне")))))</f>
        <v/>
      </c>
      <c r="M459" s="23" t="str">
        <f aca="false">IF($C459="","",IFERROR(MATCH($C459,'Программа тренировок'!$C$6:$C$25,0),""))</f>
        <v/>
      </c>
    </row>
    <row r="460" customFormat="false" ht="15" hidden="false" customHeight="true" outlineLevel="0" collapsed="false">
      <c r="A460" s="20"/>
      <c r="B460" s="21"/>
      <c r="C460" s="19"/>
      <c r="D460" s="18"/>
      <c r="E460" s="17"/>
      <c r="F460" s="18"/>
      <c r="G460" s="18"/>
      <c r="H460" s="21"/>
      <c r="I460" s="19"/>
      <c r="J460" s="8" t="str">
        <f aca="false">IF(OR(E460="",F460=""),"",E460*F460)</f>
        <v/>
      </c>
      <c r="K460" s="22" t="str">
        <f aca="false">IF($M460="","",INDEX('Программа тренировок'!$G$6:$G$25,$M460))</f>
        <v/>
      </c>
      <c r="L460" s="23" t="str">
        <f aca="false">IF(OR($M460="",$F460="",$G460=""),"",IF($H460="Разминка","Разминка",IF($F460&lt;INDEX('Программа тренировок'!$E$6:$E$25,$M460),"Ниже диапазона",IF(AND($F460&gt;=INDEX('Программа тренировок'!$F$6:$F$25,$M460),$G460&gt;=INDEX('Программа тренировок'!$L$6:$L$25,$M460)),"Верх диапазона: пора добавлять вес",IF($G460&lt;INDEX('Программа тренировок'!$L$6:$L$25,$M460),"RIR ниже цели","В диапазоне")))))</f>
        <v/>
      </c>
      <c r="M460" s="23" t="str">
        <f aca="false">IF($C460="","",IFERROR(MATCH($C460,'Программа тренировок'!$C$6:$C$25,0),""))</f>
        <v/>
      </c>
    </row>
    <row r="461" customFormat="false" ht="15" hidden="false" customHeight="true" outlineLevel="0" collapsed="false">
      <c r="A461" s="20"/>
      <c r="B461" s="21"/>
      <c r="C461" s="19"/>
      <c r="D461" s="18"/>
      <c r="E461" s="17"/>
      <c r="F461" s="18"/>
      <c r="G461" s="18"/>
      <c r="H461" s="21"/>
      <c r="I461" s="19"/>
      <c r="J461" s="8" t="str">
        <f aca="false">IF(OR(E461="",F461=""),"",E461*F461)</f>
        <v/>
      </c>
      <c r="K461" s="22" t="str">
        <f aca="false">IF($M461="","",INDEX('Программа тренировок'!$G$6:$G$25,$M461))</f>
        <v/>
      </c>
      <c r="L461" s="23" t="str">
        <f aca="false">IF(OR($M461="",$F461="",$G461=""),"",IF($H461="Разминка","Разминка",IF($F461&lt;INDEX('Программа тренировок'!$E$6:$E$25,$M461),"Ниже диапазона",IF(AND($F461&gt;=INDEX('Программа тренировок'!$F$6:$F$25,$M461),$G461&gt;=INDEX('Программа тренировок'!$L$6:$L$25,$M461)),"Верх диапазона: пора добавлять вес",IF($G461&lt;INDEX('Программа тренировок'!$L$6:$L$25,$M461),"RIR ниже цели","В диапазоне")))))</f>
        <v/>
      </c>
      <c r="M461" s="23" t="str">
        <f aca="false">IF($C461="","",IFERROR(MATCH($C461,'Программа тренировок'!$C$6:$C$25,0),""))</f>
        <v/>
      </c>
    </row>
    <row r="462" customFormat="false" ht="15" hidden="false" customHeight="true" outlineLevel="0" collapsed="false">
      <c r="A462" s="20"/>
      <c r="B462" s="21"/>
      <c r="C462" s="19"/>
      <c r="D462" s="18"/>
      <c r="E462" s="17"/>
      <c r="F462" s="18"/>
      <c r="G462" s="18"/>
      <c r="H462" s="21"/>
      <c r="I462" s="19"/>
      <c r="J462" s="8" t="str">
        <f aca="false">IF(OR(E462="",F462=""),"",E462*F462)</f>
        <v/>
      </c>
      <c r="K462" s="22" t="str">
        <f aca="false">IF($M462="","",INDEX('Программа тренировок'!$G$6:$G$25,$M462))</f>
        <v/>
      </c>
      <c r="L462" s="23" t="str">
        <f aca="false">IF(OR($M462="",$F462="",$G462=""),"",IF($H462="Разминка","Разминка",IF($F462&lt;INDEX('Программа тренировок'!$E$6:$E$25,$M462),"Ниже диапазона",IF(AND($F462&gt;=INDEX('Программа тренировок'!$F$6:$F$25,$M462),$G462&gt;=INDEX('Программа тренировок'!$L$6:$L$25,$M462)),"Верх диапазона: пора добавлять вес",IF($G462&lt;INDEX('Программа тренировок'!$L$6:$L$25,$M462),"RIR ниже цели","В диапазоне")))))</f>
        <v/>
      </c>
      <c r="M462" s="23" t="str">
        <f aca="false">IF($C462="","",IFERROR(MATCH($C462,'Программа тренировок'!$C$6:$C$25,0),""))</f>
        <v/>
      </c>
    </row>
    <row r="463" customFormat="false" ht="15" hidden="false" customHeight="true" outlineLevel="0" collapsed="false">
      <c r="A463" s="20"/>
      <c r="B463" s="21"/>
      <c r="C463" s="19"/>
      <c r="D463" s="18"/>
      <c r="E463" s="17"/>
      <c r="F463" s="18"/>
      <c r="G463" s="18"/>
      <c r="H463" s="21"/>
      <c r="I463" s="19"/>
      <c r="J463" s="8" t="str">
        <f aca="false">IF(OR(E463="",F463=""),"",E463*F463)</f>
        <v/>
      </c>
      <c r="K463" s="22" t="str">
        <f aca="false">IF($M463="","",INDEX('Программа тренировок'!$G$6:$G$25,$M463))</f>
        <v/>
      </c>
      <c r="L463" s="23" t="str">
        <f aca="false">IF(OR($M463="",$F463="",$G463=""),"",IF($H463="Разминка","Разминка",IF($F463&lt;INDEX('Программа тренировок'!$E$6:$E$25,$M463),"Ниже диапазона",IF(AND($F463&gt;=INDEX('Программа тренировок'!$F$6:$F$25,$M463),$G463&gt;=INDEX('Программа тренировок'!$L$6:$L$25,$M463)),"Верх диапазона: пора добавлять вес",IF($G463&lt;INDEX('Программа тренировок'!$L$6:$L$25,$M463),"RIR ниже цели","В диапазоне")))))</f>
        <v/>
      </c>
      <c r="M463" s="23" t="str">
        <f aca="false">IF($C463="","",IFERROR(MATCH($C463,'Программа тренировок'!$C$6:$C$25,0),""))</f>
        <v/>
      </c>
    </row>
    <row r="464" customFormat="false" ht="15" hidden="false" customHeight="true" outlineLevel="0" collapsed="false">
      <c r="A464" s="20"/>
      <c r="B464" s="21"/>
      <c r="C464" s="19"/>
      <c r="D464" s="18"/>
      <c r="E464" s="17"/>
      <c r="F464" s="18"/>
      <c r="G464" s="18"/>
      <c r="H464" s="21"/>
      <c r="I464" s="19"/>
      <c r="J464" s="8" t="str">
        <f aca="false">IF(OR(E464="",F464=""),"",E464*F464)</f>
        <v/>
      </c>
      <c r="K464" s="22" t="str">
        <f aca="false">IF($M464="","",INDEX('Программа тренировок'!$G$6:$G$25,$M464))</f>
        <v/>
      </c>
      <c r="L464" s="23" t="str">
        <f aca="false">IF(OR($M464="",$F464="",$G464=""),"",IF($H464="Разминка","Разминка",IF($F464&lt;INDEX('Программа тренировок'!$E$6:$E$25,$M464),"Ниже диапазона",IF(AND($F464&gt;=INDEX('Программа тренировок'!$F$6:$F$25,$M464),$G464&gt;=INDEX('Программа тренировок'!$L$6:$L$25,$M464)),"Верх диапазона: пора добавлять вес",IF($G464&lt;INDEX('Программа тренировок'!$L$6:$L$25,$M464),"RIR ниже цели","В диапазоне")))))</f>
        <v/>
      </c>
      <c r="M464" s="23" t="str">
        <f aca="false">IF($C464="","",IFERROR(MATCH($C464,'Программа тренировок'!$C$6:$C$25,0),""))</f>
        <v/>
      </c>
    </row>
    <row r="465" customFormat="false" ht="15" hidden="false" customHeight="true" outlineLevel="0" collapsed="false">
      <c r="A465" s="20"/>
      <c r="B465" s="21"/>
      <c r="C465" s="19"/>
      <c r="D465" s="18"/>
      <c r="E465" s="17"/>
      <c r="F465" s="18"/>
      <c r="G465" s="18"/>
      <c r="H465" s="21"/>
      <c r="I465" s="19"/>
      <c r="J465" s="8" t="str">
        <f aca="false">IF(OR(E465="",F465=""),"",E465*F465)</f>
        <v/>
      </c>
      <c r="K465" s="22" t="str">
        <f aca="false">IF($M465="","",INDEX('Программа тренировок'!$G$6:$G$25,$M465))</f>
        <v/>
      </c>
      <c r="L465" s="23" t="str">
        <f aca="false">IF(OR($M465="",$F465="",$G465=""),"",IF($H465="Разминка","Разминка",IF($F465&lt;INDEX('Программа тренировок'!$E$6:$E$25,$M465),"Ниже диапазона",IF(AND($F465&gt;=INDEX('Программа тренировок'!$F$6:$F$25,$M465),$G465&gt;=INDEX('Программа тренировок'!$L$6:$L$25,$M465)),"Верх диапазона: пора добавлять вес",IF($G465&lt;INDEX('Программа тренировок'!$L$6:$L$25,$M465),"RIR ниже цели","В диапазоне")))))</f>
        <v/>
      </c>
      <c r="M465" s="23" t="str">
        <f aca="false">IF($C465="","",IFERROR(MATCH($C465,'Программа тренировок'!$C$6:$C$25,0),""))</f>
        <v/>
      </c>
    </row>
    <row r="466" customFormat="false" ht="15" hidden="false" customHeight="true" outlineLevel="0" collapsed="false">
      <c r="A466" s="20"/>
      <c r="B466" s="21"/>
      <c r="C466" s="19"/>
      <c r="D466" s="18"/>
      <c r="E466" s="17"/>
      <c r="F466" s="18"/>
      <c r="G466" s="18"/>
      <c r="H466" s="21"/>
      <c r="I466" s="19"/>
      <c r="J466" s="8" t="str">
        <f aca="false">IF(OR(E466="",F466=""),"",E466*F466)</f>
        <v/>
      </c>
      <c r="K466" s="22" t="str">
        <f aca="false">IF($M466="","",INDEX('Программа тренировок'!$G$6:$G$25,$M466))</f>
        <v/>
      </c>
      <c r="L466" s="23" t="str">
        <f aca="false">IF(OR($M466="",$F466="",$G466=""),"",IF($H466="Разминка","Разминка",IF($F466&lt;INDEX('Программа тренировок'!$E$6:$E$25,$M466),"Ниже диапазона",IF(AND($F466&gt;=INDEX('Программа тренировок'!$F$6:$F$25,$M466),$G466&gt;=INDEX('Программа тренировок'!$L$6:$L$25,$M466)),"Верх диапазона: пора добавлять вес",IF($G466&lt;INDEX('Программа тренировок'!$L$6:$L$25,$M466),"RIR ниже цели","В диапазоне")))))</f>
        <v/>
      </c>
      <c r="M466" s="23" t="str">
        <f aca="false">IF($C466="","",IFERROR(MATCH($C466,'Программа тренировок'!$C$6:$C$25,0),""))</f>
        <v/>
      </c>
    </row>
    <row r="467" customFormat="false" ht="15" hidden="false" customHeight="true" outlineLevel="0" collapsed="false">
      <c r="A467" s="20"/>
      <c r="B467" s="21"/>
      <c r="C467" s="19"/>
      <c r="D467" s="18"/>
      <c r="E467" s="17"/>
      <c r="F467" s="18"/>
      <c r="G467" s="18"/>
      <c r="H467" s="21"/>
      <c r="I467" s="19"/>
      <c r="J467" s="8" t="str">
        <f aca="false">IF(OR(E467="",F467=""),"",E467*F467)</f>
        <v/>
      </c>
      <c r="K467" s="22" t="str">
        <f aca="false">IF($M467="","",INDEX('Программа тренировок'!$G$6:$G$25,$M467))</f>
        <v/>
      </c>
      <c r="L467" s="23" t="str">
        <f aca="false">IF(OR($M467="",$F467="",$G467=""),"",IF($H467="Разминка","Разминка",IF($F467&lt;INDEX('Программа тренировок'!$E$6:$E$25,$M467),"Ниже диапазона",IF(AND($F467&gt;=INDEX('Программа тренировок'!$F$6:$F$25,$M467),$G467&gt;=INDEX('Программа тренировок'!$L$6:$L$25,$M467)),"Верх диапазона: пора добавлять вес",IF($G467&lt;INDEX('Программа тренировок'!$L$6:$L$25,$M467),"RIR ниже цели","В диапазоне")))))</f>
        <v/>
      </c>
      <c r="M467" s="23" t="str">
        <f aca="false">IF($C467="","",IFERROR(MATCH($C467,'Программа тренировок'!$C$6:$C$25,0),""))</f>
        <v/>
      </c>
    </row>
    <row r="468" customFormat="false" ht="15" hidden="false" customHeight="true" outlineLevel="0" collapsed="false">
      <c r="A468" s="20"/>
      <c r="B468" s="21"/>
      <c r="C468" s="19"/>
      <c r="D468" s="18"/>
      <c r="E468" s="17"/>
      <c r="F468" s="18"/>
      <c r="G468" s="18"/>
      <c r="H468" s="21"/>
      <c r="I468" s="19"/>
      <c r="J468" s="8" t="str">
        <f aca="false">IF(OR(E468="",F468=""),"",E468*F468)</f>
        <v/>
      </c>
      <c r="K468" s="22" t="str">
        <f aca="false">IF($M468="","",INDEX('Программа тренировок'!$G$6:$G$25,$M468))</f>
        <v/>
      </c>
      <c r="L468" s="23" t="str">
        <f aca="false">IF(OR($M468="",$F468="",$G468=""),"",IF($H468="Разминка","Разминка",IF($F468&lt;INDEX('Программа тренировок'!$E$6:$E$25,$M468),"Ниже диапазона",IF(AND($F468&gt;=INDEX('Программа тренировок'!$F$6:$F$25,$M468),$G468&gt;=INDEX('Программа тренировок'!$L$6:$L$25,$M468)),"Верх диапазона: пора добавлять вес",IF($G468&lt;INDEX('Программа тренировок'!$L$6:$L$25,$M468),"RIR ниже цели","В диапазоне")))))</f>
        <v/>
      </c>
      <c r="M468" s="23" t="str">
        <f aca="false">IF($C468="","",IFERROR(MATCH($C468,'Программа тренировок'!$C$6:$C$25,0),""))</f>
        <v/>
      </c>
    </row>
    <row r="469" customFormat="false" ht="15" hidden="false" customHeight="true" outlineLevel="0" collapsed="false">
      <c r="A469" s="20"/>
      <c r="B469" s="21"/>
      <c r="C469" s="19"/>
      <c r="D469" s="18"/>
      <c r="E469" s="17"/>
      <c r="F469" s="18"/>
      <c r="G469" s="18"/>
      <c r="H469" s="21"/>
      <c r="I469" s="19"/>
      <c r="J469" s="8" t="str">
        <f aca="false">IF(OR(E469="",F469=""),"",E469*F469)</f>
        <v/>
      </c>
      <c r="K469" s="22" t="str">
        <f aca="false">IF($M469="","",INDEX('Программа тренировок'!$G$6:$G$25,$M469))</f>
        <v/>
      </c>
      <c r="L469" s="23" t="str">
        <f aca="false">IF(OR($M469="",$F469="",$G469=""),"",IF($H469="Разминка","Разминка",IF($F469&lt;INDEX('Программа тренировок'!$E$6:$E$25,$M469),"Ниже диапазона",IF(AND($F469&gt;=INDEX('Программа тренировок'!$F$6:$F$25,$M469),$G469&gt;=INDEX('Программа тренировок'!$L$6:$L$25,$M469)),"Верх диапазона: пора добавлять вес",IF($G469&lt;INDEX('Программа тренировок'!$L$6:$L$25,$M469),"RIR ниже цели","В диапазоне")))))</f>
        <v/>
      </c>
      <c r="M469" s="23" t="str">
        <f aca="false">IF($C469="","",IFERROR(MATCH($C469,'Программа тренировок'!$C$6:$C$25,0),""))</f>
        <v/>
      </c>
    </row>
    <row r="470" customFormat="false" ht="15" hidden="false" customHeight="true" outlineLevel="0" collapsed="false">
      <c r="A470" s="20"/>
      <c r="B470" s="21"/>
      <c r="C470" s="19"/>
      <c r="D470" s="18"/>
      <c r="E470" s="17"/>
      <c r="F470" s="18"/>
      <c r="G470" s="18"/>
      <c r="H470" s="21"/>
      <c r="I470" s="19"/>
      <c r="J470" s="8" t="str">
        <f aca="false">IF(OR(E470="",F470=""),"",E470*F470)</f>
        <v/>
      </c>
      <c r="K470" s="22" t="str">
        <f aca="false">IF($M470="","",INDEX('Программа тренировок'!$G$6:$G$25,$M470))</f>
        <v/>
      </c>
      <c r="L470" s="23" t="str">
        <f aca="false">IF(OR($M470="",$F470="",$G470=""),"",IF($H470="Разминка","Разминка",IF($F470&lt;INDEX('Программа тренировок'!$E$6:$E$25,$M470),"Ниже диапазона",IF(AND($F470&gt;=INDEX('Программа тренировок'!$F$6:$F$25,$M470),$G470&gt;=INDEX('Программа тренировок'!$L$6:$L$25,$M470)),"Верх диапазона: пора добавлять вес",IF($G470&lt;INDEX('Программа тренировок'!$L$6:$L$25,$M470),"RIR ниже цели","В диапазоне")))))</f>
        <v/>
      </c>
      <c r="M470" s="23" t="str">
        <f aca="false">IF($C470="","",IFERROR(MATCH($C470,'Программа тренировок'!$C$6:$C$25,0),""))</f>
        <v/>
      </c>
    </row>
    <row r="471" customFormat="false" ht="15" hidden="false" customHeight="true" outlineLevel="0" collapsed="false">
      <c r="A471" s="20"/>
      <c r="B471" s="21"/>
      <c r="C471" s="19"/>
      <c r="D471" s="18"/>
      <c r="E471" s="17"/>
      <c r="F471" s="18"/>
      <c r="G471" s="18"/>
      <c r="H471" s="21"/>
      <c r="I471" s="19"/>
      <c r="J471" s="8" t="str">
        <f aca="false">IF(OR(E471="",F471=""),"",E471*F471)</f>
        <v/>
      </c>
      <c r="K471" s="22" t="str">
        <f aca="false">IF($M471="","",INDEX('Программа тренировок'!$G$6:$G$25,$M471))</f>
        <v/>
      </c>
      <c r="L471" s="23" t="str">
        <f aca="false">IF(OR($M471="",$F471="",$G471=""),"",IF($H471="Разминка","Разминка",IF($F471&lt;INDEX('Программа тренировок'!$E$6:$E$25,$M471),"Ниже диапазона",IF(AND($F471&gt;=INDEX('Программа тренировок'!$F$6:$F$25,$M471),$G471&gt;=INDEX('Программа тренировок'!$L$6:$L$25,$M471)),"Верх диапазона: пора добавлять вес",IF($G471&lt;INDEX('Программа тренировок'!$L$6:$L$25,$M471),"RIR ниже цели","В диапазоне")))))</f>
        <v/>
      </c>
      <c r="M471" s="23" t="str">
        <f aca="false">IF($C471="","",IFERROR(MATCH($C471,'Программа тренировок'!$C$6:$C$25,0),""))</f>
        <v/>
      </c>
    </row>
    <row r="472" customFormat="false" ht="15" hidden="false" customHeight="true" outlineLevel="0" collapsed="false">
      <c r="A472" s="20"/>
      <c r="B472" s="21"/>
      <c r="C472" s="19"/>
      <c r="D472" s="18"/>
      <c r="E472" s="17"/>
      <c r="F472" s="18"/>
      <c r="G472" s="18"/>
      <c r="H472" s="21"/>
      <c r="I472" s="19"/>
      <c r="J472" s="8" t="str">
        <f aca="false">IF(OR(E472="",F472=""),"",E472*F472)</f>
        <v/>
      </c>
      <c r="K472" s="22" t="str">
        <f aca="false">IF($M472="","",INDEX('Программа тренировок'!$G$6:$G$25,$M472))</f>
        <v/>
      </c>
      <c r="L472" s="23" t="str">
        <f aca="false">IF(OR($M472="",$F472="",$G472=""),"",IF($H472="Разминка","Разминка",IF($F472&lt;INDEX('Программа тренировок'!$E$6:$E$25,$M472),"Ниже диапазона",IF(AND($F472&gt;=INDEX('Программа тренировок'!$F$6:$F$25,$M472),$G472&gt;=INDEX('Программа тренировок'!$L$6:$L$25,$M472)),"Верх диапазона: пора добавлять вес",IF($G472&lt;INDEX('Программа тренировок'!$L$6:$L$25,$M472),"RIR ниже цели","В диапазоне")))))</f>
        <v/>
      </c>
      <c r="M472" s="23" t="str">
        <f aca="false">IF($C472="","",IFERROR(MATCH($C472,'Программа тренировок'!$C$6:$C$25,0),""))</f>
        <v/>
      </c>
    </row>
    <row r="473" customFormat="false" ht="15" hidden="false" customHeight="true" outlineLevel="0" collapsed="false">
      <c r="A473" s="20"/>
      <c r="B473" s="21"/>
      <c r="C473" s="19"/>
      <c r="D473" s="18"/>
      <c r="E473" s="17"/>
      <c r="F473" s="18"/>
      <c r="G473" s="18"/>
      <c r="H473" s="21"/>
      <c r="I473" s="19"/>
      <c r="J473" s="8" t="str">
        <f aca="false">IF(OR(E473="",F473=""),"",E473*F473)</f>
        <v/>
      </c>
      <c r="K473" s="22" t="str">
        <f aca="false">IF($M473="","",INDEX('Программа тренировок'!$G$6:$G$25,$M473))</f>
        <v/>
      </c>
      <c r="L473" s="23" t="str">
        <f aca="false">IF(OR($M473="",$F473="",$G473=""),"",IF($H473="Разминка","Разминка",IF($F473&lt;INDEX('Программа тренировок'!$E$6:$E$25,$M473),"Ниже диапазона",IF(AND($F473&gt;=INDEX('Программа тренировок'!$F$6:$F$25,$M473),$G473&gt;=INDEX('Программа тренировок'!$L$6:$L$25,$M473)),"Верх диапазона: пора добавлять вес",IF($G473&lt;INDEX('Программа тренировок'!$L$6:$L$25,$M473),"RIR ниже цели","В диапазоне")))))</f>
        <v/>
      </c>
      <c r="M473" s="23" t="str">
        <f aca="false">IF($C473="","",IFERROR(MATCH($C473,'Программа тренировок'!$C$6:$C$25,0),""))</f>
        <v/>
      </c>
    </row>
    <row r="474" customFormat="false" ht="15" hidden="false" customHeight="true" outlineLevel="0" collapsed="false">
      <c r="A474" s="20"/>
      <c r="B474" s="21"/>
      <c r="C474" s="19"/>
      <c r="D474" s="18"/>
      <c r="E474" s="17"/>
      <c r="F474" s="18"/>
      <c r="G474" s="18"/>
      <c r="H474" s="21"/>
      <c r="I474" s="19"/>
      <c r="J474" s="8" t="str">
        <f aca="false">IF(OR(E474="",F474=""),"",E474*F474)</f>
        <v/>
      </c>
      <c r="K474" s="22" t="str">
        <f aca="false">IF($M474="","",INDEX('Программа тренировок'!$G$6:$G$25,$M474))</f>
        <v/>
      </c>
      <c r="L474" s="23" t="str">
        <f aca="false">IF(OR($M474="",$F474="",$G474=""),"",IF($H474="Разминка","Разминка",IF($F474&lt;INDEX('Программа тренировок'!$E$6:$E$25,$M474),"Ниже диапазона",IF(AND($F474&gt;=INDEX('Программа тренировок'!$F$6:$F$25,$M474),$G474&gt;=INDEX('Программа тренировок'!$L$6:$L$25,$M474)),"Верх диапазона: пора добавлять вес",IF($G474&lt;INDEX('Программа тренировок'!$L$6:$L$25,$M474),"RIR ниже цели","В диапазоне")))))</f>
        <v/>
      </c>
      <c r="M474" s="23" t="str">
        <f aca="false">IF($C474="","",IFERROR(MATCH($C474,'Программа тренировок'!$C$6:$C$25,0),""))</f>
        <v/>
      </c>
    </row>
    <row r="475" customFormat="false" ht="15" hidden="false" customHeight="true" outlineLevel="0" collapsed="false">
      <c r="A475" s="20"/>
      <c r="B475" s="21"/>
      <c r="C475" s="19"/>
      <c r="D475" s="18"/>
      <c r="E475" s="17"/>
      <c r="F475" s="18"/>
      <c r="G475" s="18"/>
      <c r="H475" s="21"/>
      <c r="I475" s="19"/>
      <c r="J475" s="8" t="str">
        <f aca="false">IF(OR(E475="",F475=""),"",E475*F475)</f>
        <v/>
      </c>
      <c r="K475" s="22" t="str">
        <f aca="false">IF($M475="","",INDEX('Программа тренировок'!$G$6:$G$25,$M475))</f>
        <v/>
      </c>
      <c r="L475" s="23" t="str">
        <f aca="false">IF(OR($M475="",$F475="",$G475=""),"",IF($H475="Разминка","Разминка",IF($F475&lt;INDEX('Программа тренировок'!$E$6:$E$25,$M475),"Ниже диапазона",IF(AND($F475&gt;=INDEX('Программа тренировок'!$F$6:$F$25,$M475),$G475&gt;=INDEX('Программа тренировок'!$L$6:$L$25,$M475)),"Верх диапазона: пора добавлять вес",IF($G475&lt;INDEX('Программа тренировок'!$L$6:$L$25,$M475),"RIR ниже цели","В диапазоне")))))</f>
        <v/>
      </c>
      <c r="M475" s="23" t="str">
        <f aca="false">IF($C475="","",IFERROR(MATCH($C475,'Программа тренировок'!$C$6:$C$25,0),""))</f>
        <v/>
      </c>
    </row>
    <row r="476" customFormat="false" ht="15" hidden="false" customHeight="true" outlineLevel="0" collapsed="false">
      <c r="A476" s="20"/>
      <c r="B476" s="21"/>
      <c r="C476" s="19"/>
      <c r="D476" s="18"/>
      <c r="E476" s="17"/>
      <c r="F476" s="18"/>
      <c r="G476" s="18"/>
      <c r="H476" s="21"/>
      <c r="I476" s="19"/>
      <c r="J476" s="8" t="str">
        <f aca="false">IF(OR(E476="",F476=""),"",E476*F476)</f>
        <v/>
      </c>
      <c r="K476" s="22" t="str">
        <f aca="false">IF($M476="","",INDEX('Программа тренировок'!$G$6:$G$25,$M476))</f>
        <v/>
      </c>
      <c r="L476" s="23" t="str">
        <f aca="false">IF(OR($M476="",$F476="",$G476=""),"",IF($H476="Разминка","Разминка",IF($F476&lt;INDEX('Программа тренировок'!$E$6:$E$25,$M476),"Ниже диапазона",IF(AND($F476&gt;=INDEX('Программа тренировок'!$F$6:$F$25,$M476),$G476&gt;=INDEX('Программа тренировок'!$L$6:$L$25,$M476)),"Верх диапазона: пора добавлять вес",IF($G476&lt;INDEX('Программа тренировок'!$L$6:$L$25,$M476),"RIR ниже цели","В диапазоне")))))</f>
        <v/>
      </c>
      <c r="M476" s="23" t="str">
        <f aca="false">IF($C476="","",IFERROR(MATCH($C476,'Программа тренировок'!$C$6:$C$25,0),""))</f>
        <v/>
      </c>
    </row>
    <row r="477" customFormat="false" ht="15" hidden="false" customHeight="true" outlineLevel="0" collapsed="false">
      <c r="A477" s="20"/>
      <c r="B477" s="21"/>
      <c r="C477" s="19"/>
      <c r="D477" s="18"/>
      <c r="E477" s="17"/>
      <c r="F477" s="18"/>
      <c r="G477" s="18"/>
      <c r="H477" s="21"/>
      <c r="I477" s="19"/>
      <c r="J477" s="8" t="str">
        <f aca="false">IF(OR(E477="",F477=""),"",E477*F477)</f>
        <v/>
      </c>
      <c r="K477" s="22" t="str">
        <f aca="false">IF($M477="","",INDEX('Программа тренировок'!$G$6:$G$25,$M477))</f>
        <v/>
      </c>
      <c r="L477" s="23" t="str">
        <f aca="false">IF(OR($M477="",$F477="",$G477=""),"",IF($H477="Разминка","Разминка",IF($F477&lt;INDEX('Программа тренировок'!$E$6:$E$25,$M477),"Ниже диапазона",IF(AND($F477&gt;=INDEX('Программа тренировок'!$F$6:$F$25,$M477),$G477&gt;=INDEX('Программа тренировок'!$L$6:$L$25,$M477)),"Верх диапазона: пора добавлять вес",IF($G477&lt;INDEX('Программа тренировок'!$L$6:$L$25,$M477),"RIR ниже цели","В диапазоне")))))</f>
        <v/>
      </c>
      <c r="M477" s="23" t="str">
        <f aca="false">IF($C477="","",IFERROR(MATCH($C477,'Программа тренировок'!$C$6:$C$25,0),""))</f>
        <v/>
      </c>
    </row>
    <row r="478" customFormat="false" ht="15" hidden="false" customHeight="true" outlineLevel="0" collapsed="false">
      <c r="A478" s="20"/>
      <c r="B478" s="21"/>
      <c r="C478" s="19"/>
      <c r="D478" s="18"/>
      <c r="E478" s="17"/>
      <c r="F478" s="18"/>
      <c r="G478" s="18"/>
      <c r="H478" s="21"/>
      <c r="I478" s="19"/>
      <c r="J478" s="8" t="str">
        <f aca="false">IF(OR(E478="",F478=""),"",E478*F478)</f>
        <v/>
      </c>
      <c r="K478" s="22" t="str">
        <f aca="false">IF($M478="","",INDEX('Программа тренировок'!$G$6:$G$25,$M478))</f>
        <v/>
      </c>
      <c r="L478" s="23" t="str">
        <f aca="false">IF(OR($M478="",$F478="",$G478=""),"",IF($H478="Разминка","Разминка",IF($F478&lt;INDEX('Программа тренировок'!$E$6:$E$25,$M478),"Ниже диапазона",IF(AND($F478&gt;=INDEX('Программа тренировок'!$F$6:$F$25,$M478),$G478&gt;=INDEX('Программа тренировок'!$L$6:$L$25,$M478)),"Верх диапазона: пора добавлять вес",IF($G478&lt;INDEX('Программа тренировок'!$L$6:$L$25,$M478),"RIR ниже цели","В диапазоне")))))</f>
        <v/>
      </c>
      <c r="M478" s="23" t="str">
        <f aca="false">IF($C478="","",IFERROR(MATCH($C478,'Программа тренировок'!$C$6:$C$25,0),""))</f>
        <v/>
      </c>
    </row>
    <row r="479" customFormat="false" ht="15" hidden="false" customHeight="true" outlineLevel="0" collapsed="false">
      <c r="A479" s="20"/>
      <c r="B479" s="21"/>
      <c r="C479" s="19"/>
      <c r="D479" s="18"/>
      <c r="E479" s="17"/>
      <c r="F479" s="18"/>
      <c r="G479" s="18"/>
      <c r="H479" s="21"/>
      <c r="I479" s="19"/>
      <c r="J479" s="8" t="str">
        <f aca="false">IF(OR(E479="",F479=""),"",E479*F479)</f>
        <v/>
      </c>
      <c r="K479" s="22" t="str">
        <f aca="false">IF($M479="","",INDEX('Программа тренировок'!$G$6:$G$25,$M479))</f>
        <v/>
      </c>
      <c r="L479" s="23" t="str">
        <f aca="false">IF(OR($M479="",$F479="",$G479=""),"",IF($H479="Разминка","Разминка",IF($F479&lt;INDEX('Программа тренировок'!$E$6:$E$25,$M479),"Ниже диапазона",IF(AND($F479&gt;=INDEX('Программа тренировок'!$F$6:$F$25,$M479),$G479&gt;=INDEX('Программа тренировок'!$L$6:$L$25,$M479)),"Верх диапазона: пора добавлять вес",IF($G479&lt;INDEX('Программа тренировок'!$L$6:$L$25,$M479),"RIR ниже цели","В диапазоне")))))</f>
        <v/>
      </c>
      <c r="M479" s="23" t="str">
        <f aca="false">IF($C479="","",IFERROR(MATCH($C479,'Программа тренировок'!$C$6:$C$25,0),""))</f>
        <v/>
      </c>
    </row>
    <row r="480" customFormat="false" ht="15" hidden="false" customHeight="true" outlineLevel="0" collapsed="false">
      <c r="A480" s="20"/>
      <c r="B480" s="21"/>
      <c r="C480" s="19"/>
      <c r="D480" s="18"/>
      <c r="E480" s="17"/>
      <c r="F480" s="18"/>
      <c r="G480" s="18"/>
      <c r="H480" s="21"/>
      <c r="I480" s="19"/>
      <c r="J480" s="8" t="str">
        <f aca="false">IF(OR(E480="",F480=""),"",E480*F480)</f>
        <v/>
      </c>
      <c r="K480" s="22" t="str">
        <f aca="false">IF($M480="","",INDEX('Программа тренировок'!$G$6:$G$25,$M480))</f>
        <v/>
      </c>
      <c r="L480" s="23" t="str">
        <f aca="false">IF(OR($M480="",$F480="",$G480=""),"",IF($H480="Разминка","Разминка",IF($F480&lt;INDEX('Программа тренировок'!$E$6:$E$25,$M480),"Ниже диапазона",IF(AND($F480&gt;=INDEX('Программа тренировок'!$F$6:$F$25,$M480),$G480&gt;=INDEX('Программа тренировок'!$L$6:$L$25,$M480)),"Верх диапазона: пора добавлять вес",IF($G480&lt;INDEX('Программа тренировок'!$L$6:$L$25,$M480),"RIR ниже цели","В диапазоне")))))</f>
        <v/>
      </c>
      <c r="M480" s="23" t="str">
        <f aca="false">IF($C480="","",IFERROR(MATCH($C480,'Программа тренировок'!$C$6:$C$25,0),""))</f>
        <v/>
      </c>
    </row>
    <row r="481" customFormat="false" ht="15" hidden="false" customHeight="true" outlineLevel="0" collapsed="false">
      <c r="A481" s="20"/>
      <c r="B481" s="21"/>
      <c r="C481" s="19"/>
      <c r="D481" s="18"/>
      <c r="E481" s="17"/>
      <c r="F481" s="18"/>
      <c r="G481" s="18"/>
      <c r="H481" s="21"/>
      <c r="I481" s="19"/>
      <c r="J481" s="8" t="str">
        <f aca="false">IF(OR(E481="",F481=""),"",E481*F481)</f>
        <v/>
      </c>
      <c r="K481" s="22" t="str">
        <f aca="false">IF($M481="","",INDEX('Программа тренировок'!$G$6:$G$25,$M481))</f>
        <v/>
      </c>
      <c r="L481" s="23" t="str">
        <f aca="false">IF(OR($M481="",$F481="",$G481=""),"",IF($H481="Разминка","Разминка",IF($F481&lt;INDEX('Программа тренировок'!$E$6:$E$25,$M481),"Ниже диапазона",IF(AND($F481&gt;=INDEX('Программа тренировок'!$F$6:$F$25,$M481),$G481&gt;=INDEX('Программа тренировок'!$L$6:$L$25,$M481)),"Верх диапазона: пора добавлять вес",IF($G481&lt;INDEX('Программа тренировок'!$L$6:$L$25,$M481),"RIR ниже цели","В диапазоне")))))</f>
        <v/>
      </c>
      <c r="M481" s="23" t="str">
        <f aca="false">IF($C481="","",IFERROR(MATCH($C481,'Программа тренировок'!$C$6:$C$25,0),""))</f>
        <v/>
      </c>
    </row>
    <row r="482" customFormat="false" ht="15" hidden="false" customHeight="true" outlineLevel="0" collapsed="false">
      <c r="A482" s="20"/>
      <c r="B482" s="21"/>
      <c r="C482" s="19"/>
      <c r="D482" s="18"/>
      <c r="E482" s="17"/>
      <c r="F482" s="18"/>
      <c r="G482" s="18"/>
      <c r="H482" s="21"/>
      <c r="I482" s="19"/>
      <c r="J482" s="8" t="str">
        <f aca="false">IF(OR(E482="",F482=""),"",E482*F482)</f>
        <v/>
      </c>
      <c r="K482" s="22" t="str">
        <f aca="false">IF($M482="","",INDEX('Программа тренировок'!$G$6:$G$25,$M482))</f>
        <v/>
      </c>
      <c r="L482" s="23" t="str">
        <f aca="false">IF(OR($M482="",$F482="",$G482=""),"",IF($H482="Разминка","Разминка",IF($F482&lt;INDEX('Программа тренировок'!$E$6:$E$25,$M482),"Ниже диапазона",IF(AND($F482&gt;=INDEX('Программа тренировок'!$F$6:$F$25,$M482),$G482&gt;=INDEX('Программа тренировок'!$L$6:$L$25,$M482)),"Верх диапазона: пора добавлять вес",IF($G482&lt;INDEX('Программа тренировок'!$L$6:$L$25,$M482),"RIR ниже цели","В диапазоне")))))</f>
        <v/>
      </c>
      <c r="M482" s="23" t="str">
        <f aca="false">IF($C482="","",IFERROR(MATCH($C482,'Программа тренировок'!$C$6:$C$25,0),""))</f>
        <v/>
      </c>
    </row>
    <row r="483" customFormat="false" ht="15" hidden="false" customHeight="true" outlineLevel="0" collapsed="false">
      <c r="A483" s="20"/>
      <c r="B483" s="21"/>
      <c r="C483" s="19"/>
      <c r="D483" s="18"/>
      <c r="E483" s="17"/>
      <c r="F483" s="18"/>
      <c r="G483" s="18"/>
      <c r="H483" s="21"/>
      <c r="I483" s="19"/>
      <c r="J483" s="8" t="str">
        <f aca="false">IF(OR(E483="",F483=""),"",E483*F483)</f>
        <v/>
      </c>
      <c r="K483" s="22" t="str">
        <f aca="false">IF($M483="","",INDEX('Программа тренировок'!$G$6:$G$25,$M483))</f>
        <v/>
      </c>
      <c r="L483" s="23" t="str">
        <f aca="false">IF(OR($M483="",$F483="",$G483=""),"",IF($H483="Разминка","Разминка",IF($F483&lt;INDEX('Программа тренировок'!$E$6:$E$25,$M483),"Ниже диапазона",IF(AND($F483&gt;=INDEX('Программа тренировок'!$F$6:$F$25,$M483),$G483&gt;=INDEX('Программа тренировок'!$L$6:$L$25,$M483)),"Верх диапазона: пора добавлять вес",IF($G483&lt;INDEX('Программа тренировок'!$L$6:$L$25,$M483),"RIR ниже цели","В диапазоне")))))</f>
        <v/>
      </c>
      <c r="M483" s="23" t="str">
        <f aca="false">IF($C483="","",IFERROR(MATCH($C483,'Программа тренировок'!$C$6:$C$25,0),""))</f>
        <v/>
      </c>
    </row>
    <row r="484" customFormat="false" ht="15" hidden="false" customHeight="true" outlineLevel="0" collapsed="false">
      <c r="A484" s="20"/>
      <c r="B484" s="21"/>
      <c r="C484" s="19"/>
      <c r="D484" s="18"/>
      <c r="E484" s="17"/>
      <c r="F484" s="18"/>
      <c r="G484" s="18"/>
      <c r="H484" s="21"/>
      <c r="I484" s="19"/>
      <c r="J484" s="8" t="str">
        <f aca="false">IF(OR(E484="",F484=""),"",E484*F484)</f>
        <v/>
      </c>
      <c r="K484" s="22" t="str">
        <f aca="false">IF($M484="","",INDEX('Программа тренировок'!$G$6:$G$25,$M484))</f>
        <v/>
      </c>
      <c r="L484" s="23" t="str">
        <f aca="false">IF(OR($M484="",$F484="",$G484=""),"",IF($H484="Разминка","Разминка",IF($F484&lt;INDEX('Программа тренировок'!$E$6:$E$25,$M484),"Ниже диапазона",IF(AND($F484&gt;=INDEX('Программа тренировок'!$F$6:$F$25,$M484),$G484&gt;=INDEX('Программа тренировок'!$L$6:$L$25,$M484)),"Верх диапазона: пора добавлять вес",IF($G484&lt;INDEX('Программа тренировок'!$L$6:$L$25,$M484),"RIR ниже цели","В диапазоне")))))</f>
        <v/>
      </c>
      <c r="M484" s="23" t="str">
        <f aca="false">IF($C484="","",IFERROR(MATCH($C484,'Программа тренировок'!$C$6:$C$25,0),""))</f>
        <v/>
      </c>
    </row>
    <row r="485" customFormat="false" ht="15" hidden="false" customHeight="true" outlineLevel="0" collapsed="false">
      <c r="A485" s="20"/>
      <c r="B485" s="21"/>
      <c r="C485" s="19"/>
      <c r="D485" s="18"/>
      <c r="E485" s="17"/>
      <c r="F485" s="18"/>
      <c r="G485" s="18"/>
      <c r="H485" s="21"/>
      <c r="I485" s="19"/>
      <c r="J485" s="8" t="str">
        <f aca="false">IF(OR(E485="",F485=""),"",E485*F485)</f>
        <v/>
      </c>
      <c r="K485" s="22" t="str">
        <f aca="false">IF($M485="","",INDEX('Программа тренировок'!$G$6:$G$25,$M485))</f>
        <v/>
      </c>
      <c r="L485" s="23" t="str">
        <f aca="false">IF(OR($M485="",$F485="",$G485=""),"",IF($H485="Разминка","Разминка",IF($F485&lt;INDEX('Программа тренировок'!$E$6:$E$25,$M485),"Ниже диапазона",IF(AND($F485&gt;=INDEX('Программа тренировок'!$F$6:$F$25,$M485),$G485&gt;=INDEX('Программа тренировок'!$L$6:$L$25,$M485)),"Верх диапазона: пора добавлять вес",IF($G485&lt;INDEX('Программа тренировок'!$L$6:$L$25,$M485),"RIR ниже цели","В диапазоне")))))</f>
        <v/>
      </c>
      <c r="M485" s="23" t="str">
        <f aca="false">IF($C485="","",IFERROR(MATCH($C485,'Программа тренировок'!$C$6:$C$25,0),""))</f>
        <v/>
      </c>
    </row>
    <row r="486" customFormat="false" ht="15" hidden="false" customHeight="true" outlineLevel="0" collapsed="false">
      <c r="A486" s="20"/>
      <c r="B486" s="21"/>
      <c r="C486" s="19"/>
      <c r="D486" s="18"/>
      <c r="E486" s="17"/>
      <c r="F486" s="18"/>
      <c r="G486" s="18"/>
      <c r="H486" s="21"/>
      <c r="I486" s="19"/>
      <c r="J486" s="8" t="str">
        <f aca="false">IF(OR(E486="",F486=""),"",E486*F486)</f>
        <v/>
      </c>
      <c r="K486" s="22" t="str">
        <f aca="false">IF($M486="","",INDEX('Программа тренировок'!$G$6:$G$25,$M486))</f>
        <v/>
      </c>
      <c r="L486" s="23" t="str">
        <f aca="false">IF(OR($M486="",$F486="",$G486=""),"",IF($H486="Разминка","Разминка",IF($F486&lt;INDEX('Программа тренировок'!$E$6:$E$25,$M486),"Ниже диапазона",IF(AND($F486&gt;=INDEX('Программа тренировок'!$F$6:$F$25,$M486),$G486&gt;=INDEX('Программа тренировок'!$L$6:$L$25,$M486)),"Верх диапазона: пора добавлять вес",IF($G486&lt;INDEX('Программа тренировок'!$L$6:$L$25,$M486),"RIR ниже цели","В диапазоне")))))</f>
        <v/>
      </c>
      <c r="M486" s="23" t="str">
        <f aca="false">IF($C486="","",IFERROR(MATCH($C486,'Программа тренировок'!$C$6:$C$25,0),""))</f>
        <v/>
      </c>
    </row>
    <row r="487" customFormat="false" ht="15" hidden="false" customHeight="true" outlineLevel="0" collapsed="false">
      <c r="A487" s="20"/>
      <c r="B487" s="21"/>
      <c r="C487" s="19"/>
      <c r="D487" s="18"/>
      <c r="E487" s="17"/>
      <c r="F487" s="18"/>
      <c r="G487" s="18"/>
      <c r="H487" s="21"/>
      <c r="I487" s="19"/>
      <c r="J487" s="8" t="str">
        <f aca="false">IF(OR(E487="",F487=""),"",E487*F487)</f>
        <v/>
      </c>
      <c r="K487" s="22" t="str">
        <f aca="false">IF($M487="","",INDEX('Программа тренировок'!$G$6:$G$25,$M487))</f>
        <v/>
      </c>
      <c r="L487" s="23" t="str">
        <f aca="false">IF(OR($M487="",$F487="",$G487=""),"",IF($H487="Разминка","Разминка",IF($F487&lt;INDEX('Программа тренировок'!$E$6:$E$25,$M487),"Ниже диапазона",IF(AND($F487&gt;=INDEX('Программа тренировок'!$F$6:$F$25,$M487),$G487&gt;=INDEX('Программа тренировок'!$L$6:$L$25,$M487)),"Верх диапазона: пора добавлять вес",IF($G487&lt;INDEX('Программа тренировок'!$L$6:$L$25,$M487),"RIR ниже цели","В диапазоне")))))</f>
        <v/>
      </c>
      <c r="M487" s="23" t="str">
        <f aca="false">IF($C487="","",IFERROR(MATCH($C487,'Программа тренировок'!$C$6:$C$25,0),""))</f>
        <v/>
      </c>
    </row>
    <row r="488" customFormat="false" ht="15" hidden="false" customHeight="true" outlineLevel="0" collapsed="false">
      <c r="A488" s="20"/>
      <c r="B488" s="21"/>
      <c r="C488" s="19"/>
      <c r="D488" s="18"/>
      <c r="E488" s="17"/>
      <c r="F488" s="18"/>
      <c r="G488" s="18"/>
      <c r="H488" s="21"/>
      <c r="I488" s="19"/>
      <c r="J488" s="8" t="str">
        <f aca="false">IF(OR(E488="",F488=""),"",E488*F488)</f>
        <v/>
      </c>
      <c r="K488" s="22" t="str">
        <f aca="false">IF($M488="","",INDEX('Программа тренировок'!$G$6:$G$25,$M488))</f>
        <v/>
      </c>
      <c r="L488" s="23" t="str">
        <f aca="false">IF(OR($M488="",$F488="",$G488=""),"",IF($H488="Разминка","Разминка",IF($F488&lt;INDEX('Программа тренировок'!$E$6:$E$25,$M488),"Ниже диапазона",IF(AND($F488&gt;=INDEX('Программа тренировок'!$F$6:$F$25,$M488),$G488&gt;=INDEX('Программа тренировок'!$L$6:$L$25,$M488)),"Верх диапазона: пора добавлять вес",IF($G488&lt;INDEX('Программа тренировок'!$L$6:$L$25,$M488),"RIR ниже цели","В диапазоне")))))</f>
        <v/>
      </c>
      <c r="M488" s="23" t="str">
        <f aca="false">IF($C488="","",IFERROR(MATCH($C488,'Программа тренировок'!$C$6:$C$25,0),""))</f>
        <v/>
      </c>
    </row>
    <row r="489" customFormat="false" ht="15" hidden="false" customHeight="true" outlineLevel="0" collapsed="false">
      <c r="A489" s="20"/>
      <c r="B489" s="21"/>
      <c r="C489" s="19"/>
      <c r="D489" s="18"/>
      <c r="E489" s="17"/>
      <c r="F489" s="18"/>
      <c r="G489" s="18"/>
      <c r="H489" s="21"/>
      <c r="I489" s="19"/>
      <c r="J489" s="8" t="str">
        <f aca="false">IF(OR(E489="",F489=""),"",E489*F489)</f>
        <v/>
      </c>
      <c r="K489" s="22" t="str">
        <f aca="false">IF($M489="","",INDEX('Программа тренировок'!$G$6:$G$25,$M489))</f>
        <v/>
      </c>
      <c r="L489" s="23" t="str">
        <f aca="false">IF(OR($M489="",$F489="",$G489=""),"",IF($H489="Разминка","Разминка",IF($F489&lt;INDEX('Программа тренировок'!$E$6:$E$25,$M489),"Ниже диапазона",IF(AND($F489&gt;=INDEX('Программа тренировок'!$F$6:$F$25,$M489),$G489&gt;=INDEX('Программа тренировок'!$L$6:$L$25,$M489)),"Верх диапазона: пора добавлять вес",IF($G489&lt;INDEX('Программа тренировок'!$L$6:$L$25,$M489),"RIR ниже цели","В диапазоне")))))</f>
        <v/>
      </c>
      <c r="M489" s="23" t="str">
        <f aca="false">IF($C489="","",IFERROR(MATCH($C489,'Программа тренировок'!$C$6:$C$25,0),""))</f>
        <v/>
      </c>
    </row>
    <row r="490" customFormat="false" ht="15" hidden="false" customHeight="true" outlineLevel="0" collapsed="false">
      <c r="A490" s="20"/>
      <c r="B490" s="21"/>
      <c r="C490" s="19"/>
      <c r="D490" s="18"/>
      <c r="E490" s="17"/>
      <c r="F490" s="18"/>
      <c r="G490" s="18"/>
      <c r="H490" s="21"/>
      <c r="I490" s="19"/>
      <c r="J490" s="8" t="str">
        <f aca="false">IF(OR(E490="",F490=""),"",E490*F490)</f>
        <v/>
      </c>
      <c r="K490" s="22" t="str">
        <f aca="false">IF($M490="","",INDEX('Программа тренировок'!$G$6:$G$25,$M490))</f>
        <v/>
      </c>
      <c r="L490" s="23" t="str">
        <f aca="false">IF(OR($M490="",$F490="",$G490=""),"",IF($H490="Разминка","Разминка",IF($F490&lt;INDEX('Программа тренировок'!$E$6:$E$25,$M490),"Ниже диапазона",IF(AND($F490&gt;=INDEX('Программа тренировок'!$F$6:$F$25,$M490),$G490&gt;=INDEX('Программа тренировок'!$L$6:$L$25,$M490)),"Верх диапазона: пора добавлять вес",IF($G490&lt;INDEX('Программа тренировок'!$L$6:$L$25,$M490),"RIR ниже цели","В диапазоне")))))</f>
        <v/>
      </c>
      <c r="M490" s="23" t="str">
        <f aca="false">IF($C490="","",IFERROR(MATCH($C490,'Программа тренировок'!$C$6:$C$25,0),""))</f>
        <v/>
      </c>
    </row>
    <row r="491" customFormat="false" ht="15" hidden="false" customHeight="true" outlineLevel="0" collapsed="false">
      <c r="A491" s="20"/>
      <c r="B491" s="21"/>
      <c r="C491" s="19"/>
      <c r="D491" s="18"/>
      <c r="E491" s="17"/>
      <c r="F491" s="18"/>
      <c r="G491" s="18"/>
      <c r="H491" s="21"/>
      <c r="I491" s="19"/>
      <c r="J491" s="8" t="str">
        <f aca="false">IF(OR(E491="",F491=""),"",E491*F491)</f>
        <v/>
      </c>
      <c r="K491" s="22" t="str">
        <f aca="false">IF($M491="","",INDEX('Программа тренировок'!$G$6:$G$25,$M491))</f>
        <v/>
      </c>
      <c r="L491" s="23" t="str">
        <f aca="false">IF(OR($M491="",$F491="",$G491=""),"",IF($H491="Разминка","Разминка",IF($F491&lt;INDEX('Программа тренировок'!$E$6:$E$25,$M491),"Ниже диапазона",IF(AND($F491&gt;=INDEX('Программа тренировок'!$F$6:$F$25,$M491),$G491&gt;=INDEX('Программа тренировок'!$L$6:$L$25,$M491)),"Верх диапазона: пора добавлять вес",IF($G491&lt;INDEX('Программа тренировок'!$L$6:$L$25,$M491),"RIR ниже цели","В диапазоне")))))</f>
        <v/>
      </c>
      <c r="M491" s="23" t="str">
        <f aca="false">IF($C491="","",IFERROR(MATCH($C491,'Программа тренировок'!$C$6:$C$25,0),""))</f>
        <v/>
      </c>
    </row>
    <row r="492" customFormat="false" ht="15" hidden="false" customHeight="true" outlineLevel="0" collapsed="false">
      <c r="A492" s="20"/>
      <c r="B492" s="21"/>
      <c r="C492" s="19"/>
      <c r="D492" s="18"/>
      <c r="E492" s="17"/>
      <c r="F492" s="18"/>
      <c r="G492" s="18"/>
      <c r="H492" s="21"/>
      <c r="I492" s="19"/>
      <c r="J492" s="8" t="str">
        <f aca="false">IF(OR(E492="",F492=""),"",E492*F492)</f>
        <v/>
      </c>
      <c r="K492" s="22" t="str">
        <f aca="false">IF($M492="","",INDEX('Программа тренировок'!$G$6:$G$25,$M492))</f>
        <v/>
      </c>
      <c r="L492" s="23" t="str">
        <f aca="false">IF(OR($M492="",$F492="",$G492=""),"",IF($H492="Разминка","Разминка",IF($F492&lt;INDEX('Программа тренировок'!$E$6:$E$25,$M492),"Ниже диапазона",IF(AND($F492&gt;=INDEX('Программа тренировок'!$F$6:$F$25,$M492),$G492&gt;=INDEX('Программа тренировок'!$L$6:$L$25,$M492)),"Верх диапазона: пора добавлять вес",IF($G492&lt;INDEX('Программа тренировок'!$L$6:$L$25,$M492),"RIR ниже цели","В диапазоне")))))</f>
        <v/>
      </c>
      <c r="M492" s="23" t="str">
        <f aca="false">IF($C492="","",IFERROR(MATCH($C492,'Программа тренировок'!$C$6:$C$25,0),""))</f>
        <v/>
      </c>
    </row>
    <row r="493" customFormat="false" ht="15" hidden="false" customHeight="true" outlineLevel="0" collapsed="false">
      <c r="A493" s="20"/>
      <c r="B493" s="21"/>
      <c r="C493" s="19"/>
      <c r="D493" s="18"/>
      <c r="E493" s="17"/>
      <c r="F493" s="18"/>
      <c r="G493" s="18"/>
      <c r="H493" s="21"/>
      <c r="I493" s="19"/>
      <c r="J493" s="8" t="str">
        <f aca="false">IF(OR(E493="",F493=""),"",E493*F493)</f>
        <v/>
      </c>
      <c r="K493" s="22" t="str">
        <f aca="false">IF($M493="","",INDEX('Программа тренировок'!$G$6:$G$25,$M493))</f>
        <v/>
      </c>
      <c r="L493" s="23" t="str">
        <f aca="false">IF(OR($M493="",$F493="",$G493=""),"",IF($H493="Разминка","Разминка",IF($F493&lt;INDEX('Программа тренировок'!$E$6:$E$25,$M493),"Ниже диапазона",IF(AND($F493&gt;=INDEX('Программа тренировок'!$F$6:$F$25,$M493),$G493&gt;=INDEX('Программа тренировок'!$L$6:$L$25,$M493)),"Верх диапазона: пора добавлять вес",IF($G493&lt;INDEX('Программа тренировок'!$L$6:$L$25,$M493),"RIR ниже цели","В диапазоне")))))</f>
        <v/>
      </c>
      <c r="M493" s="23" t="str">
        <f aca="false">IF($C493="","",IFERROR(MATCH($C493,'Программа тренировок'!$C$6:$C$25,0),""))</f>
        <v/>
      </c>
    </row>
    <row r="494" customFormat="false" ht="15" hidden="false" customHeight="true" outlineLevel="0" collapsed="false">
      <c r="A494" s="20"/>
      <c r="B494" s="21"/>
      <c r="C494" s="19"/>
      <c r="D494" s="18"/>
      <c r="E494" s="17"/>
      <c r="F494" s="18"/>
      <c r="G494" s="18"/>
      <c r="H494" s="21"/>
      <c r="I494" s="19"/>
      <c r="J494" s="8" t="str">
        <f aca="false">IF(OR(E494="",F494=""),"",E494*F494)</f>
        <v/>
      </c>
      <c r="K494" s="22" t="str">
        <f aca="false">IF($M494="","",INDEX('Программа тренировок'!$G$6:$G$25,$M494))</f>
        <v/>
      </c>
      <c r="L494" s="23" t="str">
        <f aca="false">IF(OR($M494="",$F494="",$G494=""),"",IF($H494="Разминка","Разминка",IF($F494&lt;INDEX('Программа тренировок'!$E$6:$E$25,$M494),"Ниже диапазона",IF(AND($F494&gt;=INDEX('Программа тренировок'!$F$6:$F$25,$M494),$G494&gt;=INDEX('Программа тренировок'!$L$6:$L$25,$M494)),"Верх диапазона: пора добавлять вес",IF($G494&lt;INDEX('Программа тренировок'!$L$6:$L$25,$M494),"RIR ниже цели","В диапазоне")))))</f>
        <v/>
      </c>
      <c r="M494" s="23" t="str">
        <f aca="false">IF($C494="","",IFERROR(MATCH($C494,'Программа тренировок'!$C$6:$C$25,0),""))</f>
        <v/>
      </c>
    </row>
    <row r="495" customFormat="false" ht="15" hidden="false" customHeight="true" outlineLevel="0" collapsed="false">
      <c r="A495" s="20"/>
      <c r="B495" s="21"/>
      <c r="C495" s="19"/>
      <c r="D495" s="18"/>
      <c r="E495" s="17"/>
      <c r="F495" s="18"/>
      <c r="G495" s="18"/>
      <c r="H495" s="21"/>
      <c r="I495" s="19"/>
      <c r="J495" s="8" t="str">
        <f aca="false">IF(OR(E495="",F495=""),"",E495*F495)</f>
        <v/>
      </c>
      <c r="K495" s="22" t="str">
        <f aca="false">IF($M495="","",INDEX('Программа тренировок'!$G$6:$G$25,$M495))</f>
        <v/>
      </c>
      <c r="L495" s="23" t="str">
        <f aca="false">IF(OR($M495="",$F495="",$G495=""),"",IF($H495="Разминка","Разминка",IF($F495&lt;INDEX('Программа тренировок'!$E$6:$E$25,$M495),"Ниже диапазона",IF(AND($F495&gt;=INDEX('Программа тренировок'!$F$6:$F$25,$M495),$G495&gt;=INDEX('Программа тренировок'!$L$6:$L$25,$M495)),"Верх диапазона: пора добавлять вес",IF($G495&lt;INDEX('Программа тренировок'!$L$6:$L$25,$M495),"RIR ниже цели","В диапазоне")))))</f>
        <v/>
      </c>
      <c r="M495" s="23" t="str">
        <f aca="false">IF($C495="","",IFERROR(MATCH($C495,'Программа тренировок'!$C$6:$C$25,0),""))</f>
        <v/>
      </c>
    </row>
    <row r="496" customFormat="false" ht="15" hidden="false" customHeight="true" outlineLevel="0" collapsed="false">
      <c r="A496" s="20"/>
      <c r="B496" s="21"/>
      <c r="C496" s="19"/>
      <c r="D496" s="18"/>
      <c r="E496" s="17"/>
      <c r="F496" s="18"/>
      <c r="G496" s="18"/>
      <c r="H496" s="21"/>
      <c r="I496" s="19"/>
      <c r="J496" s="8" t="str">
        <f aca="false">IF(OR(E496="",F496=""),"",E496*F496)</f>
        <v/>
      </c>
      <c r="K496" s="22" t="str">
        <f aca="false">IF($M496="","",INDEX('Программа тренировок'!$G$6:$G$25,$M496))</f>
        <v/>
      </c>
      <c r="L496" s="23" t="str">
        <f aca="false">IF(OR($M496="",$F496="",$G496=""),"",IF($H496="Разминка","Разминка",IF($F496&lt;INDEX('Программа тренировок'!$E$6:$E$25,$M496),"Ниже диапазона",IF(AND($F496&gt;=INDEX('Программа тренировок'!$F$6:$F$25,$M496),$G496&gt;=INDEX('Программа тренировок'!$L$6:$L$25,$M496)),"Верх диапазона: пора добавлять вес",IF($G496&lt;INDEX('Программа тренировок'!$L$6:$L$25,$M496),"RIR ниже цели","В диапазоне")))))</f>
        <v/>
      </c>
      <c r="M496" s="23" t="str">
        <f aca="false">IF($C496="","",IFERROR(MATCH($C496,'Программа тренировок'!$C$6:$C$25,0),""))</f>
        <v/>
      </c>
    </row>
    <row r="497" customFormat="false" ht="15" hidden="false" customHeight="true" outlineLevel="0" collapsed="false">
      <c r="A497" s="20"/>
      <c r="B497" s="21"/>
      <c r="C497" s="19"/>
      <c r="D497" s="18"/>
      <c r="E497" s="17"/>
      <c r="F497" s="18"/>
      <c r="G497" s="18"/>
      <c r="H497" s="21"/>
      <c r="I497" s="19"/>
      <c r="J497" s="8" t="str">
        <f aca="false">IF(OR(E497="",F497=""),"",E497*F497)</f>
        <v/>
      </c>
      <c r="K497" s="22" t="str">
        <f aca="false">IF($M497="","",INDEX('Программа тренировок'!$G$6:$G$25,$M497))</f>
        <v/>
      </c>
      <c r="L497" s="23" t="str">
        <f aca="false">IF(OR($M497="",$F497="",$G497=""),"",IF($H497="Разминка","Разминка",IF($F497&lt;INDEX('Программа тренировок'!$E$6:$E$25,$M497),"Ниже диапазона",IF(AND($F497&gt;=INDEX('Программа тренировок'!$F$6:$F$25,$M497),$G497&gt;=INDEX('Программа тренировок'!$L$6:$L$25,$M497)),"Верх диапазона: пора добавлять вес",IF($G497&lt;INDEX('Программа тренировок'!$L$6:$L$25,$M497),"RIR ниже цели","В диапазоне")))))</f>
        <v/>
      </c>
      <c r="M497" s="23" t="str">
        <f aca="false">IF($C497="","",IFERROR(MATCH($C497,'Программа тренировок'!$C$6:$C$25,0),""))</f>
        <v/>
      </c>
    </row>
    <row r="498" customFormat="false" ht="15" hidden="false" customHeight="true" outlineLevel="0" collapsed="false">
      <c r="A498" s="20"/>
      <c r="B498" s="21"/>
      <c r="C498" s="19"/>
      <c r="D498" s="18"/>
      <c r="E498" s="17"/>
      <c r="F498" s="18"/>
      <c r="G498" s="18"/>
      <c r="H498" s="21"/>
      <c r="I498" s="19"/>
      <c r="J498" s="8" t="str">
        <f aca="false">IF(OR(E498="",F498=""),"",E498*F498)</f>
        <v/>
      </c>
      <c r="K498" s="22" t="str">
        <f aca="false">IF($M498="","",INDEX('Программа тренировок'!$G$6:$G$25,$M498))</f>
        <v/>
      </c>
      <c r="L498" s="23" t="str">
        <f aca="false">IF(OR($M498="",$F498="",$G498=""),"",IF($H498="Разминка","Разминка",IF($F498&lt;INDEX('Программа тренировок'!$E$6:$E$25,$M498),"Ниже диапазона",IF(AND($F498&gt;=INDEX('Программа тренировок'!$F$6:$F$25,$M498),$G498&gt;=INDEX('Программа тренировок'!$L$6:$L$25,$M498)),"Верх диапазона: пора добавлять вес",IF($G498&lt;INDEX('Программа тренировок'!$L$6:$L$25,$M498),"RIR ниже цели","В диапазоне")))))</f>
        <v/>
      </c>
      <c r="M498" s="23" t="str">
        <f aca="false">IF($C498="","",IFERROR(MATCH($C498,'Программа тренировок'!$C$6:$C$25,0),""))</f>
        <v/>
      </c>
    </row>
    <row r="499" customFormat="false" ht="15" hidden="false" customHeight="true" outlineLevel="0" collapsed="false">
      <c r="A499" s="20"/>
      <c r="B499" s="21"/>
      <c r="C499" s="19"/>
      <c r="D499" s="18"/>
      <c r="E499" s="17"/>
      <c r="F499" s="18"/>
      <c r="G499" s="18"/>
      <c r="H499" s="21"/>
      <c r="I499" s="19"/>
      <c r="J499" s="8" t="str">
        <f aca="false">IF(OR(E499="",F499=""),"",E499*F499)</f>
        <v/>
      </c>
      <c r="K499" s="22" t="str">
        <f aca="false">IF($M499="","",INDEX('Программа тренировок'!$G$6:$G$25,$M499))</f>
        <v/>
      </c>
      <c r="L499" s="23" t="str">
        <f aca="false">IF(OR($M499="",$F499="",$G499=""),"",IF($H499="Разминка","Разминка",IF($F499&lt;INDEX('Программа тренировок'!$E$6:$E$25,$M499),"Ниже диапазона",IF(AND($F499&gt;=INDEX('Программа тренировок'!$F$6:$F$25,$M499),$G499&gt;=INDEX('Программа тренировок'!$L$6:$L$25,$M499)),"Верх диапазона: пора добавлять вес",IF($G499&lt;INDEX('Программа тренировок'!$L$6:$L$25,$M499),"RIR ниже цели","В диапазоне")))))</f>
        <v/>
      </c>
      <c r="M499" s="23" t="str">
        <f aca="false">IF($C499="","",IFERROR(MATCH($C499,'Программа тренировок'!$C$6:$C$25,0),""))</f>
        <v/>
      </c>
    </row>
    <row r="500" customFormat="false" ht="15" hidden="false" customHeight="true" outlineLevel="0" collapsed="false">
      <c r="A500" s="20"/>
      <c r="B500" s="21"/>
      <c r="C500" s="19"/>
      <c r="D500" s="18"/>
      <c r="E500" s="17"/>
      <c r="F500" s="18"/>
      <c r="G500" s="18"/>
      <c r="H500" s="21"/>
      <c r="I500" s="19"/>
      <c r="J500" s="8" t="str">
        <f aca="false">IF(OR(E500="",F500=""),"",E500*F500)</f>
        <v/>
      </c>
      <c r="K500" s="22" t="str">
        <f aca="false">IF($M500="","",INDEX('Программа тренировок'!$G$6:$G$25,$M500))</f>
        <v/>
      </c>
      <c r="L500" s="23" t="str">
        <f aca="false">IF(OR($M500="",$F500="",$G500=""),"",IF($H500="Разминка","Разминка",IF($F500&lt;INDEX('Программа тренировок'!$E$6:$E$25,$M500),"Ниже диапазона",IF(AND($F500&gt;=INDEX('Программа тренировок'!$F$6:$F$25,$M500),$G500&gt;=INDEX('Программа тренировок'!$L$6:$L$25,$M500)),"Верх диапазона: пора добавлять вес",IF($G500&lt;INDEX('Программа тренировок'!$L$6:$L$25,$M500),"RIR ниже цели","В диапазоне")))))</f>
        <v/>
      </c>
      <c r="M500" s="23" t="str">
        <f aca="false">IF($C500="","",IFERROR(MATCH($C500,'Программа тренировок'!$C$6:$C$25,0),""))</f>
        <v/>
      </c>
    </row>
    <row r="501" customFormat="false" ht="15" hidden="false" customHeight="true" outlineLevel="0" collapsed="false">
      <c r="A501" s="20"/>
      <c r="B501" s="21"/>
      <c r="C501" s="19"/>
      <c r="D501" s="18"/>
      <c r="E501" s="17"/>
      <c r="F501" s="18"/>
      <c r="G501" s="18"/>
      <c r="H501" s="21"/>
      <c r="I501" s="19"/>
      <c r="J501" s="8" t="str">
        <f aca="false">IF(OR(E501="",F501=""),"",E501*F501)</f>
        <v/>
      </c>
      <c r="K501" s="22" t="str">
        <f aca="false">IF($M501="","",INDEX('Программа тренировок'!$G$6:$G$25,$M501))</f>
        <v/>
      </c>
      <c r="L501" s="23" t="str">
        <f aca="false">IF(OR($M501="",$F501="",$G501=""),"",IF($H501="Разминка","Разминка",IF($F501&lt;INDEX('Программа тренировок'!$E$6:$E$25,$M501),"Ниже диапазона",IF(AND($F501&gt;=INDEX('Программа тренировок'!$F$6:$F$25,$M501),$G501&gt;=INDEX('Программа тренировок'!$L$6:$L$25,$M501)),"Верх диапазона: пора добавлять вес",IF($G501&lt;INDEX('Программа тренировок'!$L$6:$L$25,$M501),"RIR ниже цели","В диапазоне")))))</f>
        <v/>
      </c>
      <c r="M501" s="23" t="str">
        <f aca="false">IF($C501="","",IFERROR(MATCH($C501,'Программа тренировок'!$C$6:$C$25,0),""))</f>
        <v/>
      </c>
    </row>
    <row r="502" customFormat="false" ht="15" hidden="false" customHeight="true" outlineLevel="0" collapsed="false">
      <c r="A502" s="20"/>
      <c r="B502" s="21"/>
      <c r="C502" s="19"/>
      <c r="D502" s="18"/>
      <c r="E502" s="17"/>
      <c r="F502" s="18"/>
      <c r="G502" s="18"/>
      <c r="H502" s="21"/>
      <c r="I502" s="19"/>
      <c r="J502" s="8" t="str">
        <f aca="false">IF(OR(E502="",F502=""),"",E502*F502)</f>
        <v/>
      </c>
      <c r="K502" s="22" t="str">
        <f aca="false">IF($M502="","",INDEX('Программа тренировок'!$G$6:$G$25,$M502))</f>
        <v/>
      </c>
      <c r="L502" s="23" t="str">
        <f aca="false">IF(OR($M502="",$F502="",$G502=""),"",IF($H502="Разминка","Разминка",IF($F502&lt;INDEX('Программа тренировок'!$E$6:$E$25,$M502),"Ниже диапазона",IF(AND($F502&gt;=INDEX('Программа тренировок'!$F$6:$F$25,$M502),$G502&gt;=INDEX('Программа тренировок'!$L$6:$L$25,$M502)),"Верх диапазона: пора добавлять вес",IF($G502&lt;INDEX('Программа тренировок'!$L$6:$L$25,$M502),"RIR ниже цели","В диапазоне")))))</f>
        <v/>
      </c>
      <c r="M502" s="23" t="str">
        <f aca="false">IF($C502="","",IFERROR(MATCH($C502,'Программа тренировок'!$C$6:$C$25,0),""))</f>
        <v/>
      </c>
    </row>
    <row r="503" customFormat="false" ht="15" hidden="false" customHeight="true" outlineLevel="0" collapsed="false">
      <c r="A503" s="20"/>
      <c r="B503" s="21"/>
      <c r="C503" s="19"/>
      <c r="D503" s="18"/>
      <c r="E503" s="17"/>
      <c r="F503" s="18"/>
      <c r="G503" s="18"/>
      <c r="H503" s="21"/>
      <c r="I503" s="19"/>
      <c r="J503" s="8" t="str">
        <f aca="false">IF(OR(E503="",F503=""),"",E503*F503)</f>
        <v/>
      </c>
      <c r="K503" s="22" t="str">
        <f aca="false">IF($M503="","",INDEX('Программа тренировок'!$G$6:$G$25,$M503))</f>
        <v/>
      </c>
      <c r="L503" s="23" t="str">
        <f aca="false">IF(OR($M503="",$F503="",$G503=""),"",IF($H503="Разминка","Разминка",IF($F503&lt;INDEX('Программа тренировок'!$E$6:$E$25,$M503),"Ниже диапазона",IF(AND($F503&gt;=INDEX('Программа тренировок'!$F$6:$F$25,$M503),$G503&gt;=INDEX('Программа тренировок'!$L$6:$L$25,$M503)),"Верх диапазона: пора добавлять вес",IF($G503&lt;INDEX('Программа тренировок'!$L$6:$L$25,$M503),"RIR ниже цели","В диапазоне")))))</f>
        <v/>
      </c>
      <c r="M503" s="23" t="str">
        <f aca="false">IF($C503="","",IFERROR(MATCH($C503,'Программа тренировок'!$C$6:$C$25,0),""))</f>
        <v/>
      </c>
    </row>
    <row r="504" customFormat="false" ht="15" hidden="false" customHeight="true" outlineLevel="0" collapsed="false">
      <c r="A504" s="20"/>
      <c r="B504" s="21"/>
      <c r="C504" s="19"/>
      <c r="D504" s="18"/>
      <c r="E504" s="17"/>
      <c r="F504" s="18"/>
      <c r="G504" s="18"/>
      <c r="H504" s="21"/>
      <c r="I504" s="19"/>
      <c r="J504" s="8" t="str">
        <f aca="false">IF(OR(E504="",F504=""),"",E504*F504)</f>
        <v/>
      </c>
      <c r="K504" s="22" t="str">
        <f aca="false">IF($M504="","",INDEX('Программа тренировок'!$G$6:$G$25,$M504))</f>
        <v/>
      </c>
      <c r="L504" s="23" t="str">
        <f aca="false">IF(OR($M504="",$F504="",$G504=""),"",IF($H504="Разминка","Разминка",IF($F504&lt;INDEX('Программа тренировок'!$E$6:$E$25,$M504),"Ниже диапазона",IF(AND($F504&gt;=INDEX('Программа тренировок'!$F$6:$F$25,$M504),$G504&gt;=INDEX('Программа тренировок'!$L$6:$L$25,$M504)),"Верх диапазона: пора добавлять вес",IF($G504&lt;INDEX('Программа тренировок'!$L$6:$L$25,$M504),"RIR ниже цели","В диапазоне")))))</f>
        <v/>
      </c>
      <c r="M504" s="23" t="str">
        <f aca="false">IF($C504="","",IFERROR(MATCH($C504,'Программа тренировок'!$C$6:$C$25,0),""))</f>
        <v/>
      </c>
    </row>
    <row r="505" customFormat="false" ht="15" hidden="false" customHeight="true" outlineLevel="0" collapsed="false">
      <c r="A505" s="20"/>
      <c r="B505" s="21"/>
      <c r="C505" s="19"/>
      <c r="D505" s="18"/>
      <c r="E505" s="17"/>
      <c r="F505" s="18"/>
      <c r="G505" s="18"/>
      <c r="H505" s="21"/>
      <c r="I505" s="19"/>
      <c r="J505" s="8" t="str">
        <f aca="false">IF(OR(E505="",F505=""),"",E505*F505)</f>
        <v/>
      </c>
      <c r="K505" s="22" t="str">
        <f aca="false">IF($M505="","",INDEX('Программа тренировок'!$G$6:$G$25,$M505))</f>
        <v/>
      </c>
      <c r="L505" s="23" t="str">
        <f aca="false">IF(OR($M505="",$F505="",$G505=""),"",IF($H505="Разминка","Разминка",IF($F505&lt;INDEX('Программа тренировок'!$E$6:$E$25,$M505),"Ниже диапазона",IF(AND($F505&gt;=INDEX('Программа тренировок'!$F$6:$F$25,$M505),$G505&gt;=INDEX('Программа тренировок'!$L$6:$L$25,$M505)),"Верх диапазона: пора добавлять вес",IF($G505&lt;INDEX('Программа тренировок'!$L$6:$L$25,$M505),"RIR ниже цели","В диапазоне")))))</f>
        <v/>
      </c>
      <c r="M505" s="23" t="str">
        <f aca="false">IF($C505="","",IFERROR(MATCH($C505,'Программа тренировок'!$C$6:$C$25,0),""))</f>
        <v/>
      </c>
    </row>
    <row r="506" customFormat="false" ht="15" hidden="false" customHeight="true" outlineLevel="0" collapsed="false">
      <c r="A506" s="20"/>
      <c r="B506" s="21"/>
      <c r="C506" s="19"/>
      <c r="D506" s="18"/>
      <c r="E506" s="17"/>
      <c r="F506" s="18"/>
      <c r="G506" s="18"/>
      <c r="H506" s="21"/>
      <c r="I506" s="19"/>
      <c r="J506" s="8" t="str">
        <f aca="false">IF(OR(E506="",F506=""),"",E506*F506)</f>
        <v/>
      </c>
      <c r="K506" s="22" t="str">
        <f aca="false">IF($M506="","",INDEX('Программа тренировок'!$G$6:$G$25,$M506))</f>
        <v/>
      </c>
      <c r="L506" s="23" t="str">
        <f aca="false">IF(OR($M506="",$F506="",$G506=""),"",IF($H506="Разминка","Разминка",IF($F506&lt;INDEX('Программа тренировок'!$E$6:$E$25,$M506),"Ниже диапазона",IF(AND($F506&gt;=INDEX('Программа тренировок'!$F$6:$F$25,$M506),$G506&gt;=INDEX('Программа тренировок'!$L$6:$L$25,$M506)),"Верх диапазона: пора добавлять вес",IF($G506&lt;INDEX('Программа тренировок'!$L$6:$L$25,$M506),"RIR ниже цели","В диапазоне")))))</f>
        <v/>
      </c>
      <c r="M506" s="23" t="str">
        <f aca="false">IF($C506="","",IFERROR(MATCH($C506,'Программа тренировок'!$C$6:$C$25,0),""))</f>
        <v/>
      </c>
    </row>
    <row r="507" customFormat="false" ht="15" hidden="false" customHeight="true" outlineLevel="0" collapsed="false">
      <c r="A507" s="20"/>
      <c r="B507" s="21"/>
      <c r="C507" s="19"/>
      <c r="D507" s="18"/>
      <c r="E507" s="17"/>
      <c r="F507" s="18"/>
      <c r="G507" s="18"/>
      <c r="H507" s="21"/>
      <c r="I507" s="19"/>
      <c r="J507" s="8" t="str">
        <f aca="false">IF(OR(E507="",F507=""),"",E507*F507)</f>
        <v/>
      </c>
      <c r="K507" s="22" t="str">
        <f aca="false">IF($M507="","",INDEX('Программа тренировок'!$G$6:$G$25,$M507))</f>
        <v/>
      </c>
      <c r="L507" s="23" t="str">
        <f aca="false">IF(OR($M507="",$F507="",$G507=""),"",IF($H507="Разминка","Разминка",IF($F507&lt;INDEX('Программа тренировок'!$E$6:$E$25,$M507),"Ниже диапазона",IF(AND($F507&gt;=INDEX('Программа тренировок'!$F$6:$F$25,$M507),$G507&gt;=INDEX('Программа тренировок'!$L$6:$L$25,$M507)),"Верх диапазона: пора добавлять вес",IF($G507&lt;INDEX('Программа тренировок'!$L$6:$L$25,$M507),"RIR ниже цели","В диапазоне")))))</f>
        <v/>
      </c>
      <c r="M507" s="23" t="str">
        <f aca="false">IF($C507="","",IFERROR(MATCH($C507,'Программа тренировок'!$C$6:$C$25,0),""))</f>
        <v/>
      </c>
    </row>
    <row r="508" customFormat="false" ht="15" hidden="false" customHeight="true" outlineLevel="0" collapsed="false">
      <c r="A508" s="20"/>
      <c r="B508" s="21"/>
      <c r="C508" s="19"/>
      <c r="D508" s="18"/>
      <c r="E508" s="17"/>
      <c r="F508" s="18"/>
      <c r="G508" s="18"/>
      <c r="H508" s="21"/>
      <c r="I508" s="19"/>
      <c r="J508" s="8" t="str">
        <f aca="false">IF(OR(E508="",F508=""),"",E508*F508)</f>
        <v/>
      </c>
      <c r="K508" s="22" t="str">
        <f aca="false">IF($M508="","",INDEX('Программа тренировок'!$G$6:$G$25,$M508))</f>
        <v/>
      </c>
      <c r="L508" s="23" t="str">
        <f aca="false">IF(OR($M508="",$F508="",$G508=""),"",IF($H508="Разминка","Разминка",IF($F508&lt;INDEX('Программа тренировок'!$E$6:$E$25,$M508),"Ниже диапазона",IF(AND($F508&gt;=INDEX('Программа тренировок'!$F$6:$F$25,$M508),$G508&gt;=INDEX('Программа тренировок'!$L$6:$L$25,$M508)),"Верх диапазона: пора добавлять вес",IF($G508&lt;INDEX('Программа тренировок'!$L$6:$L$25,$M508),"RIR ниже цели","В диапазоне")))))</f>
        <v/>
      </c>
      <c r="M508" s="23" t="str">
        <f aca="false">IF($C508="","",IFERROR(MATCH($C508,'Программа тренировок'!$C$6:$C$25,0),""))</f>
        <v/>
      </c>
    </row>
    <row r="509" customFormat="false" ht="15" hidden="false" customHeight="true" outlineLevel="0" collapsed="false">
      <c r="A509" s="20"/>
      <c r="B509" s="21"/>
      <c r="C509" s="19"/>
      <c r="D509" s="18"/>
      <c r="E509" s="17"/>
      <c r="F509" s="18"/>
      <c r="G509" s="18"/>
      <c r="H509" s="21"/>
      <c r="I509" s="19"/>
      <c r="J509" s="8" t="str">
        <f aca="false">IF(OR(E509="",F509=""),"",E509*F509)</f>
        <v/>
      </c>
      <c r="K509" s="22" t="str">
        <f aca="false">IF($M509="","",INDEX('Программа тренировок'!$G$6:$G$25,$M509))</f>
        <v/>
      </c>
      <c r="L509" s="23" t="str">
        <f aca="false">IF(OR($M509="",$F509="",$G509=""),"",IF($H509="Разминка","Разминка",IF($F509&lt;INDEX('Программа тренировок'!$E$6:$E$25,$M509),"Ниже диапазона",IF(AND($F509&gt;=INDEX('Программа тренировок'!$F$6:$F$25,$M509),$G509&gt;=INDEX('Программа тренировок'!$L$6:$L$25,$M509)),"Верх диапазона: пора добавлять вес",IF($G509&lt;INDEX('Программа тренировок'!$L$6:$L$25,$M509),"RIR ниже цели","В диапазоне")))))</f>
        <v/>
      </c>
      <c r="M509" s="23" t="str">
        <f aca="false">IF($C509="","",IFERROR(MATCH($C509,'Программа тренировок'!$C$6:$C$25,0),""))</f>
        <v/>
      </c>
    </row>
    <row r="510" customFormat="false" ht="15" hidden="false" customHeight="true" outlineLevel="0" collapsed="false">
      <c r="A510" s="20"/>
      <c r="B510" s="21"/>
      <c r="C510" s="19"/>
      <c r="D510" s="18"/>
      <c r="E510" s="17"/>
      <c r="F510" s="18"/>
      <c r="G510" s="18"/>
      <c r="H510" s="21"/>
      <c r="I510" s="19"/>
      <c r="J510" s="8" t="str">
        <f aca="false">IF(OR(E510="",F510=""),"",E510*F510)</f>
        <v/>
      </c>
      <c r="K510" s="22" t="str">
        <f aca="false">IF($M510="","",INDEX('Программа тренировок'!$G$6:$G$25,$M510))</f>
        <v/>
      </c>
      <c r="L510" s="23" t="str">
        <f aca="false">IF(OR($M510="",$F510="",$G510=""),"",IF($H510="Разминка","Разминка",IF($F510&lt;INDEX('Программа тренировок'!$E$6:$E$25,$M510),"Ниже диапазона",IF(AND($F510&gt;=INDEX('Программа тренировок'!$F$6:$F$25,$M510),$G510&gt;=INDEX('Программа тренировок'!$L$6:$L$25,$M510)),"Верх диапазона: пора добавлять вес",IF($G510&lt;INDEX('Программа тренировок'!$L$6:$L$25,$M510),"RIR ниже цели","В диапазоне")))))</f>
        <v/>
      </c>
      <c r="M510" s="23" t="str">
        <f aca="false">IF($C510="","",IFERROR(MATCH($C510,'Программа тренировок'!$C$6:$C$25,0),""))</f>
        <v/>
      </c>
    </row>
    <row r="511" customFormat="false" ht="15" hidden="false" customHeight="true" outlineLevel="0" collapsed="false">
      <c r="A511" s="20"/>
      <c r="B511" s="21"/>
      <c r="C511" s="19"/>
      <c r="D511" s="18"/>
      <c r="E511" s="17"/>
      <c r="F511" s="18"/>
      <c r="G511" s="18"/>
      <c r="H511" s="21"/>
      <c r="I511" s="19"/>
      <c r="J511" s="8" t="str">
        <f aca="false">IF(OR(E511="",F511=""),"",E511*F511)</f>
        <v/>
      </c>
      <c r="K511" s="22" t="str">
        <f aca="false">IF($M511="","",INDEX('Программа тренировок'!$G$6:$G$25,$M511))</f>
        <v/>
      </c>
      <c r="L511" s="23" t="str">
        <f aca="false">IF(OR($M511="",$F511="",$G511=""),"",IF($H511="Разминка","Разминка",IF($F511&lt;INDEX('Программа тренировок'!$E$6:$E$25,$M511),"Ниже диапазона",IF(AND($F511&gt;=INDEX('Программа тренировок'!$F$6:$F$25,$M511),$G511&gt;=INDEX('Программа тренировок'!$L$6:$L$25,$M511)),"Верх диапазона: пора добавлять вес",IF($G511&lt;INDEX('Программа тренировок'!$L$6:$L$25,$M511),"RIR ниже цели","В диапазоне")))))</f>
        <v/>
      </c>
      <c r="M511" s="23" t="str">
        <f aca="false">IF($C511="","",IFERROR(MATCH($C511,'Программа тренировок'!$C$6:$C$25,0),""))</f>
        <v/>
      </c>
    </row>
    <row r="512" customFormat="false" ht="15" hidden="false" customHeight="true" outlineLevel="0" collapsed="false">
      <c r="A512" s="20"/>
      <c r="B512" s="21"/>
      <c r="C512" s="19"/>
      <c r="D512" s="18"/>
      <c r="E512" s="17"/>
      <c r="F512" s="18"/>
      <c r="G512" s="18"/>
      <c r="H512" s="21"/>
      <c r="I512" s="19"/>
      <c r="J512" s="8" t="str">
        <f aca="false">IF(OR(E512="",F512=""),"",E512*F512)</f>
        <v/>
      </c>
      <c r="K512" s="22" t="str">
        <f aca="false">IF($M512="","",INDEX('Программа тренировок'!$G$6:$G$25,$M512))</f>
        <v/>
      </c>
      <c r="L512" s="23" t="str">
        <f aca="false">IF(OR($M512="",$F512="",$G512=""),"",IF($H512="Разминка","Разминка",IF($F512&lt;INDEX('Программа тренировок'!$E$6:$E$25,$M512),"Ниже диапазона",IF(AND($F512&gt;=INDEX('Программа тренировок'!$F$6:$F$25,$M512),$G512&gt;=INDEX('Программа тренировок'!$L$6:$L$25,$M512)),"Верх диапазона: пора добавлять вес",IF($G512&lt;INDEX('Программа тренировок'!$L$6:$L$25,$M512),"RIR ниже цели","В диапазоне")))))</f>
        <v/>
      </c>
      <c r="M512" s="23" t="str">
        <f aca="false">IF($C512="","",IFERROR(MATCH($C512,'Программа тренировок'!$C$6:$C$25,0),""))</f>
        <v/>
      </c>
    </row>
    <row r="513" customFormat="false" ht="15" hidden="false" customHeight="true" outlineLevel="0" collapsed="false">
      <c r="A513" s="20"/>
      <c r="B513" s="21"/>
      <c r="C513" s="19"/>
      <c r="D513" s="18"/>
      <c r="E513" s="17"/>
      <c r="F513" s="18"/>
      <c r="G513" s="18"/>
      <c r="H513" s="21"/>
      <c r="I513" s="19"/>
      <c r="J513" s="8" t="str">
        <f aca="false">IF(OR(E513="",F513=""),"",E513*F513)</f>
        <v/>
      </c>
      <c r="K513" s="22" t="str">
        <f aca="false">IF($M513="","",INDEX('Программа тренировок'!$G$6:$G$25,$M513))</f>
        <v/>
      </c>
      <c r="L513" s="23" t="str">
        <f aca="false">IF(OR($M513="",$F513="",$G513=""),"",IF($H513="Разминка","Разминка",IF($F513&lt;INDEX('Программа тренировок'!$E$6:$E$25,$M513),"Ниже диапазона",IF(AND($F513&gt;=INDEX('Программа тренировок'!$F$6:$F$25,$M513),$G513&gt;=INDEX('Программа тренировок'!$L$6:$L$25,$M513)),"Верх диапазона: пора добавлять вес",IF($G513&lt;INDEX('Программа тренировок'!$L$6:$L$25,$M513),"RIR ниже цели","В диапазоне")))))</f>
        <v/>
      </c>
      <c r="M513" s="23" t="str">
        <f aca="false">IF($C513="","",IFERROR(MATCH($C513,'Программа тренировок'!$C$6:$C$25,0),""))</f>
        <v/>
      </c>
    </row>
    <row r="514" customFormat="false" ht="15" hidden="false" customHeight="true" outlineLevel="0" collapsed="false">
      <c r="A514" s="20"/>
      <c r="B514" s="21"/>
      <c r="C514" s="19"/>
      <c r="D514" s="18"/>
      <c r="E514" s="17"/>
      <c r="F514" s="18"/>
      <c r="G514" s="18"/>
      <c r="H514" s="21"/>
      <c r="I514" s="19"/>
      <c r="J514" s="8" t="str">
        <f aca="false">IF(OR(E514="",F514=""),"",E514*F514)</f>
        <v/>
      </c>
      <c r="K514" s="22" t="str">
        <f aca="false">IF($M514="","",INDEX('Программа тренировок'!$G$6:$G$25,$M514))</f>
        <v/>
      </c>
      <c r="L514" s="23" t="str">
        <f aca="false">IF(OR($M514="",$F514="",$G514=""),"",IF($H514="Разминка","Разминка",IF($F514&lt;INDEX('Программа тренировок'!$E$6:$E$25,$M514),"Ниже диапазона",IF(AND($F514&gt;=INDEX('Программа тренировок'!$F$6:$F$25,$M514),$G514&gt;=INDEX('Программа тренировок'!$L$6:$L$25,$M514)),"Верх диапазона: пора добавлять вес",IF($G514&lt;INDEX('Программа тренировок'!$L$6:$L$25,$M514),"RIR ниже цели","В диапазоне")))))</f>
        <v/>
      </c>
      <c r="M514" s="23" t="str">
        <f aca="false">IF($C514="","",IFERROR(MATCH($C514,'Программа тренировок'!$C$6:$C$25,0),""))</f>
        <v/>
      </c>
    </row>
    <row r="515" customFormat="false" ht="15" hidden="false" customHeight="true" outlineLevel="0" collapsed="false">
      <c r="A515" s="20"/>
      <c r="B515" s="21"/>
      <c r="C515" s="19"/>
      <c r="D515" s="18"/>
      <c r="E515" s="17"/>
      <c r="F515" s="18"/>
      <c r="G515" s="18"/>
      <c r="H515" s="21"/>
      <c r="I515" s="19"/>
      <c r="J515" s="8" t="str">
        <f aca="false">IF(OR(E515="",F515=""),"",E515*F515)</f>
        <v/>
      </c>
      <c r="K515" s="22" t="str">
        <f aca="false">IF($M515="","",INDEX('Программа тренировок'!$G$6:$G$25,$M515))</f>
        <v/>
      </c>
      <c r="L515" s="23" t="str">
        <f aca="false">IF(OR($M515="",$F515="",$G515=""),"",IF($H515="Разминка","Разминка",IF($F515&lt;INDEX('Программа тренировок'!$E$6:$E$25,$M515),"Ниже диапазона",IF(AND($F515&gt;=INDEX('Программа тренировок'!$F$6:$F$25,$M515),$G515&gt;=INDEX('Программа тренировок'!$L$6:$L$25,$M515)),"Верх диапазона: пора добавлять вес",IF($G515&lt;INDEX('Программа тренировок'!$L$6:$L$25,$M515),"RIR ниже цели","В диапазоне")))))</f>
        <v/>
      </c>
      <c r="M515" s="23" t="str">
        <f aca="false">IF($C515="","",IFERROR(MATCH($C515,'Программа тренировок'!$C$6:$C$25,0),""))</f>
        <v/>
      </c>
    </row>
    <row r="516" customFormat="false" ht="15" hidden="false" customHeight="true" outlineLevel="0" collapsed="false">
      <c r="A516" s="20"/>
      <c r="B516" s="21"/>
      <c r="C516" s="19"/>
      <c r="D516" s="18"/>
      <c r="E516" s="17"/>
      <c r="F516" s="18"/>
      <c r="G516" s="18"/>
      <c r="H516" s="21"/>
      <c r="I516" s="19"/>
      <c r="J516" s="8" t="str">
        <f aca="false">IF(OR(E516="",F516=""),"",E516*F516)</f>
        <v/>
      </c>
      <c r="K516" s="22" t="str">
        <f aca="false">IF($M516="","",INDEX('Программа тренировок'!$G$6:$G$25,$M516))</f>
        <v/>
      </c>
      <c r="L516" s="23" t="str">
        <f aca="false">IF(OR($M516="",$F516="",$G516=""),"",IF($H516="Разминка","Разминка",IF($F516&lt;INDEX('Программа тренировок'!$E$6:$E$25,$M516),"Ниже диапазона",IF(AND($F516&gt;=INDEX('Программа тренировок'!$F$6:$F$25,$M516),$G516&gt;=INDEX('Программа тренировок'!$L$6:$L$25,$M516)),"Верх диапазона: пора добавлять вес",IF($G516&lt;INDEX('Программа тренировок'!$L$6:$L$25,$M516),"RIR ниже цели","В диапазоне")))))</f>
        <v/>
      </c>
      <c r="M516" s="23" t="str">
        <f aca="false">IF($C516="","",IFERROR(MATCH($C516,'Программа тренировок'!$C$6:$C$25,0),""))</f>
        <v/>
      </c>
    </row>
    <row r="517" customFormat="false" ht="15" hidden="false" customHeight="true" outlineLevel="0" collapsed="false">
      <c r="A517" s="20"/>
      <c r="B517" s="21"/>
      <c r="C517" s="19"/>
      <c r="D517" s="18"/>
      <c r="E517" s="17"/>
      <c r="F517" s="18"/>
      <c r="G517" s="18"/>
      <c r="H517" s="21"/>
      <c r="I517" s="19"/>
      <c r="J517" s="8" t="str">
        <f aca="false">IF(OR(E517="",F517=""),"",E517*F517)</f>
        <v/>
      </c>
      <c r="K517" s="22" t="str">
        <f aca="false">IF($M517="","",INDEX('Программа тренировок'!$G$6:$G$25,$M517))</f>
        <v/>
      </c>
      <c r="L517" s="23" t="str">
        <f aca="false">IF(OR($M517="",$F517="",$G517=""),"",IF($H517="Разминка","Разминка",IF($F517&lt;INDEX('Программа тренировок'!$E$6:$E$25,$M517),"Ниже диапазона",IF(AND($F517&gt;=INDEX('Программа тренировок'!$F$6:$F$25,$M517),$G517&gt;=INDEX('Программа тренировок'!$L$6:$L$25,$M517)),"Верх диапазона: пора добавлять вес",IF($G517&lt;INDEX('Программа тренировок'!$L$6:$L$25,$M517),"RIR ниже цели","В диапазоне")))))</f>
        <v/>
      </c>
      <c r="M517" s="23" t="str">
        <f aca="false">IF($C517="","",IFERROR(MATCH($C517,'Программа тренировок'!$C$6:$C$25,0),""))</f>
        <v/>
      </c>
    </row>
    <row r="518" customFormat="false" ht="15" hidden="false" customHeight="true" outlineLevel="0" collapsed="false">
      <c r="A518" s="20"/>
      <c r="B518" s="21"/>
      <c r="C518" s="19"/>
      <c r="D518" s="18"/>
      <c r="E518" s="17"/>
      <c r="F518" s="18"/>
      <c r="G518" s="18"/>
      <c r="H518" s="21"/>
      <c r="I518" s="19"/>
      <c r="J518" s="8" t="str">
        <f aca="false">IF(OR(E518="",F518=""),"",E518*F518)</f>
        <v/>
      </c>
      <c r="K518" s="22" t="str">
        <f aca="false">IF($M518="","",INDEX('Программа тренировок'!$G$6:$G$25,$M518))</f>
        <v/>
      </c>
      <c r="L518" s="23" t="str">
        <f aca="false">IF(OR($M518="",$F518="",$G518=""),"",IF($H518="Разминка","Разминка",IF($F518&lt;INDEX('Программа тренировок'!$E$6:$E$25,$M518),"Ниже диапазона",IF(AND($F518&gt;=INDEX('Программа тренировок'!$F$6:$F$25,$M518),$G518&gt;=INDEX('Программа тренировок'!$L$6:$L$25,$M518)),"Верх диапазона: пора добавлять вес",IF($G518&lt;INDEX('Программа тренировок'!$L$6:$L$25,$M518),"RIR ниже цели","В диапазоне")))))</f>
        <v/>
      </c>
      <c r="M518" s="23" t="str">
        <f aca="false">IF($C518="","",IFERROR(MATCH($C518,'Программа тренировок'!$C$6:$C$25,0),""))</f>
        <v/>
      </c>
    </row>
    <row r="519" customFormat="false" ht="15" hidden="false" customHeight="true" outlineLevel="0" collapsed="false">
      <c r="A519" s="20"/>
      <c r="B519" s="21"/>
      <c r="C519" s="19"/>
      <c r="D519" s="18"/>
      <c r="E519" s="17"/>
      <c r="F519" s="18"/>
      <c r="G519" s="18"/>
      <c r="H519" s="21"/>
      <c r="I519" s="19"/>
      <c r="J519" s="8" t="str">
        <f aca="false">IF(OR(E519="",F519=""),"",E519*F519)</f>
        <v/>
      </c>
      <c r="K519" s="22" t="str">
        <f aca="false">IF($M519="","",INDEX('Программа тренировок'!$G$6:$G$25,$M519))</f>
        <v/>
      </c>
      <c r="L519" s="23" t="str">
        <f aca="false">IF(OR($M519="",$F519="",$G519=""),"",IF($H519="Разминка","Разминка",IF($F519&lt;INDEX('Программа тренировок'!$E$6:$E$25,$M519),"Ниже диапазона",IF(AND($F519&gt;=INDEX('Программа тренировок'!$F$6:$F$25,$M519),$G519&gt;=INDEX('Программа тренировок'!$L$6:$L$25,$M519)),"Верх диапазона: пора добавлять вес",IF($G519&lt;INDEX('Программа тренировок'!$L$6:$L$25,$M519),"RIR ниже цели","В диапазоне")))))</f>
        <v/>
      </c>
      <c r="M519" s="23" t="str">
        <f aca="false">IF($C519="","",IFERROR(MATCH($C519,'Программа тренировок'!$C$6:$C$25,0),""))</f>
        <v/>
      </c>
    </row>
    <row r="520" customFormat="false" ht="15" hidden="false" customHeight="true" outlineLevel="0" collapsed="false">
      <c r="A520" s="20"/>
      <c r="B520" s="21"/>
      <c r="C520" s="19"/>
      <c r="D520" s="18"/>
      <c r="E520" s="17"/>
      <c r="F520" s="18"/>
      <c r="G520" s="18"/>
      <c r="H520" s="21"/>
      <c r="I520" s="19"/>
      <c r="J520" s="8" t="str">
        <f aca="false">IF(OR(E520="",F520=""),"",E520*F520)</f>
        <v/>
      </c>
      <c r="K520" s="22" t="str">
        <f aca="false">IF($M520="","",INDEX('Программа тренировок'!$G$6:$G$25,$M520))</f>
        <v/>
      </c>
      <c r="L520" s="23" t="str">
        <f aca="false">IF(OR($M520="",$F520="",$G520=""),"",IF($H520="Разминка","Разминка",IF($F520&lt;INDEX('Программа тренировок'!$E$6:$E$25,$M520),"Ниже диапазона",IF(AND($F520&gt;=INDEX('Программа тренировок'!$F$6:$F$25,$M520),$G520&gt;=INDEX('Программа тренировок'!$L$6:$L$25,$M520)),"Верх диапазона: пора добавлять вес",IF($G520&lt;INDEX('Программа тренировок'!$L$6:$L$25,$M520),"RIR ниже цели","В диапазоне")))))</f>
        <v/>
      </c>
      <c r="M520" s="23" t="str">
        <f aca="false">IF($C520="","",IFERROR(MATCH($C520,'Программа тренировок'!$C$6:$C$25,0),""))</f>
        <v/>
      </c>
    </row>
    <row r="521" customFormat="false" ht="15" hidden="false" customHeight="true" outlineLevel="0" collapsed="false">
      <c r="A521" s="20"/>
      <c r="B521" s="21"/>
      <c r="C521" s="19"/>
      <c r="D521" s="18"/>
      <c r="E521" s="17"/>
      <c r="F521" s="18"/>
      <c r="G521" s="18"/>
      <c r="H521" s="21"/>
      <c r="I521" s="19"/>
      <c r="J521" s="8" t="str">
        <f aca="false">IF(OR(E521="",F521=""),"",E521*F521)</f>
        <v/>
      </c>
      <c r="K521" s="22" t="str">
        <f aca="false">IF($M521="","",INDEX('Программа тренировок'!$G$6:$G$25,$M521))</f>
        <v/>
      </c>
      <c r="L521" s="23" t="str">
        <f aca="false">IF(OR($M521="",$F521="",$G521=""),"",IF($H521="Разминка","Разминка",IF($F521&lt;INDEX('Программа тренировок'!$E$6:$E$25,$M521),"Ниже диапазона",IF(AND($F521&gt;=INDEX('Программа тренировок'!$F$6:$F$25,$M521),$G521&gt;=INDEX('Программа тренировок'!$L$6:$L$25,$M521)),"Верх диапазона: пора добавлять вес",IF($G521&lt;INDEX('Программа тренировок'!$L$6:$L$25,$M521),"RIR ниже цели","В диапазоне")))))</f>
        <v/>
      </c>
      <c r="M521" s="23" t="str">
        <f aca="false">IF($C521="","",IFERROR(MATCH($C521,'Программа тренировок'!$C$6:$C$25,0),""))</f>
        <v/>
      </c>
    </row>
    <row r="522" customFormat="false" ht="15" hidden="false" customHeight="true" outlineLevel="0" collapsed="false">
      <c r="A522" s="20"/>
      <c r="B522" s="21"/>
      <c r="C522" s="19"/>
      <c r="D522" s="18"/>
      <c r="E522" s="17"/>
      <c r="F522" s="18"/>
      <c r="G522" s="18"/>
      <c r="H522" s="21"/>
      <c r="I522" s="19"/>
      <c r="J522" s="8" t="str">
        <f aca="false">IF(OR(E522="",F522=""),"",E522*F522)</f>
        <v/>
      </c>
      <c r="K522" s="22" t="str">
        <f aca="false">IF($M522="","",INDEX('Программа тренировок'!$G$6:$G$25,$M522))</f>
        <v/>
      </c>
      <c r="L522" s="23" t="str">
        <f aca="false">IF(OR($M522="",$F522="",$G522=""),"",IF($H522="Разминка","Разминка",IF($F522&lt;INDEX('Программа тренировок'!$E$6:$E$25,$M522),"Ниже диапазона",IF(AND($F522&gt;=INDEX('Программа тренировок'!$F$6:$F$25,$M522),$G522&gt;=INDEX('Программа тренировок'!$L$6:$L$25,$M522)),"Верх диапазона: пора добавлять вес",IF($G522&lt;INDEX('Программа тренировок'!$L$6:$L$25,$M522),"RIR ниже цели","В диапазоне")))))</f>
        <v/>
      </c>
      <c r="M522" s="23" t="str">
        <f aca="false">IF($C522="","",IFERROR(MATCH($C522,'Программа тренировок'!$C$6:$C$25,0),""))</f>
        <v/>
      </c>
    </row>
    <row r="523" customFormat="false" ht="15" hidden="false" customHeight="true" outlineLevel="0" collapsed="false">
      <c r="A523" s="20"/>
      <c r="B523" s="21"/>
      <c r="C523" s="19"/>
      <c r="D523" s="18"/>
      <c r="E523" s="17"/>
      <c r="F523" s="18"/>
      <c r="G523" s="18"/>
      <c r="H523" s="21"/>
      <c r="I523" s="19"/>
      <c r="J523" s="8" t="str">
        <f aca="false">IF(OR(E523="",F523=""),"",E523*F523)</f>
        <v/>
      </c>
      <c r="K523" s="22" t="str">
        <f aca="false">IF($M523="","",INDEX('Программа тренировок'!$G$6:$G$25,$M523))</f>
        <v/>
      </c>
      <c r="L523" s="23" t="str">
        <f aca="false">IF(OR($M523="",$F523="",$G523=""),"",IF($H523="Разминка","Разминка",IF($F523&lt;INDEX('Программа тренировок'!$E$6:$E$25,$M523),"Ниже диапазона",IF(AND($F523&gt;=INDEX('Программа тренировок'!$F$6:$F$25,$M523),$G523&gt;=INDEX('Программа тренировок'!$L$6:$L$25,$M523)),"Верх диапазона: пора добавлять вес",IF($G523&lt;INDEX('Программа тренировок'!$L$6:$L$25,$M523),"RIR ниже цели","В диапазоне")))))</f>
        <v/>
      </c>
      <c r="M523" s="23" t="str">
        <f aca="false">IF($C523="","",IFERROR(MATCH($C523,'Программа тренировок'!$C$6:$C$25,0),""))</f>
        <v/>
      </c>
    </row>
    <row r="524" customFormat="false" ht="15" hidden="false" customHeight="true" outlineLevel="0" collapsed="false">
      <c r="A524" s="20"/>
      <c r="B524" s="21"/>
      <c r="C524" s="19"/>
      <c r="D524" s="18"/>
      <c r="E524" s="17"/>
      <c r="F524" s="18"/>
      <c r="G524" s="18"/>
      <c r="H524" s="21"/>
      <c r="I524" s="19"/>
      <c r="J524" s="8" t="str">
        <f aca="false">IF(OR(E524="",F524=""),"",E524*F524)</f>
        <v/>
      </c>
      <c r="K524" s="22" t="str">
        <f aca="false">IF($M524="","",INDEX('Программа тренировок'!$G$6:$G$25,$M524))</f>
        <v/>
      </c>
      <c r="L524" s="23" t="str">
        <f aca="false">IF(OR($M524="",$F524="",$G524=""),"",IF($H524="Разминка","Разминка",IF($F524&lt;INDEX('Программа тренировок'!$E$6:$E$25,$M524),"Ниже диапазона",IF(AND($F524&gt;=INDEX('Программа тренировок'!$F$6:$F$25,$M524),$G524&gt;=INDEX('Программа тренировок'!$L$6:$L$25,$M524)),"Верх диапазона: пора добавлять вес",IF($G524&lt;INDEX('Программа тренировок'!$L$6:$L$25,$M524),"RIR ниже цели","В диапазоне")))))</f>
        <v/>
      </c>
      <c r="M524" s="23" t="str">
        <f aca="false">IF($C524="","",IFERROR(MATCH($C524,'Программа тренировок'!$C$6:$C$25,0),""))</f>
        <v/>
      </c>
    </row>
    <row r="525" customFormat="false" ht="15" hidden="false" customHeight="true" outlineLevel="0" collapsed="false">
      <c r="A525" s="20"/>
      <c r="B525" s="21"/>
      <c r="C525" s="19"/>
      <c r="D525" s="18"/>
      <c r="E525" s="17"/>
      <c r="F525" s="18"/>
      <c r="G525" s="18"/>
      <c r="H525" s="21"/>
      <c r="I525" s="19"/>
      <c r="J525" s="8" t="str">
        <f aca="false">IF(OR(E525="",F525=""),"",E525*F525)</f>
        <v/>
      </c>
      <c r="K525" s="22" t="str">
        <f aca="false">IF($M525="","",INDEX('Программа тренировок'!$G$6:$G$25,$M525))</f>
        <v/>
      </c>
      <c r="L525" s="23" t="str">
        <f aca="false">IF(OR($M525="",$F525="",$G525=""),"",IF($H525="Разминка","Разминка",IF($F525&lt;INDEX('Программа тренировок'!$E$6:$E$25,$M525),"Ниже диапазона",IF(AND($F525&gt;=INDEX('Программа тренировок'!$F$6:$F$25,$M525),$G525&gt;=INDEX('Программа тренировок'!$L$6:$L$25,$M525)),"Верх диапазона: пора добавлять вес",IF($G525&lt;INDEX('Программа тренировок'!$L$6:$L$25,$M525),"RIR ниже цели","В диапазоне")))))</f>
        <v/>
      </c>
      <c r="M525" s="23" t="str">
        <f aca="false">IF($C525="","",IFERROR(MATCH($C525,'Программа тренировок'!$C$6:$C$25,0),""))</f>
        <v/>
      </c>
    </row>
    <row r="526" customFormat="false" ht="15" hidden="false" customHeight="true" outlineLevel="0" collapsed="false">
      <c r="A526" s="20"/>
      <c r="B526" s="21"/>
      <c r="C526" s="19"/>
      <c r="D526" s="18"/>
      <c r="E526" s="17"/>
      <c r="F526" s="18"/>
      <c r="G526" s="18"/>
      <c r="H526" s="21"/>
      <c r="I526" s="19"/>
      <c r="J526" s="8" t="str">
        <f aca="false">IF(OR(E526="",F526=""),"",E526*F526)</f>
        <v/>
      </c>
      <c r="K526" s="22" t="str">
        <f aca="false">IF($M526="","",INDEX('Программа тренировок'!$G$6:$G$25,$M526))</f>
        <v/>
      </c>
      <c r="L526" s="23" t="str">
        <f aca="false">IF(OR($M526="",$F526="",$G526=""),"",IF($H526="Разминка","Разминка",IF($F526&lt;INDEX('Программа тренировок'!$E$6:$E$25,$M526),"Ниже диапазона",IF(AND($F526&gt;=INDEX('Программа тренировок'!$F$6:$F$25,$M526),$G526&gt;=INDEX('Программа тренировок'!$L$6:$L$25,$M526)),"Верх диапазона: пора добавлять вес",IF($G526&lt;INDEX('Программа тренировок'!$L$6:$L$25,$M526),"RIR ниже цели","В диапазоне")))))</f>
        <v/>
      </c>
      <c r="M526" s="23" t="str">
        <f aca="false">IF($C526="","",IFERROR(MATCH($C526,'Программа тренировок'!$C$6:$C$25,0),""))</f>
        <v/>
      </c>
    </row>
    <row r="527" customFormat="false" ht="15" hidden="false" customHeight="true" outlineLevel="0" collapsed="false">
      <c r="A527" s="20"/>
      <c r="B527" s="21"/>
      <c r="C527" s="19"/>
      <c r="D527" s="18"/>
      <c r="E527" s="17"/>
      <c r="F527" s="18"/>
      <c r="G527" s="18"/>
      <c r="H527" s="21"/>
      <c r="I527" s="19"/>
      <c r="J527" s="8" t="str">
        <f aca="false">IF(OR(E527="",F527=""),"",E527*F527)</f>
        <v/>
      </c>
      <c r="K527" s="22" t="str">
        <f aca="false">IF($M527="","",INDEX('Программа тренировок'!$G$6:$G$25,$M527))</f>
        <v/>
      </c>
      <c r="L527" s="23" t="str">
        <f aca="false">IF(OR($M527="",$F527="",$G527=""),"",IF($H527="Разминка","Разминка",IF($F527&lt;INDEX('Программа тренировок'!$E$6:$E$25,$M527),"Ниже диапазона",IF(AND($F527&gt;=INDEX('Программа тренировок'!$F$6:$F$25,$M527),$G527&gt;=INDEX('Программа тренировок'!$L$6:$L$25,$M527)),"Верх диапазона: пора добавлять вес",IF($G527&lt;INDEX('Программа тренировок'!$L$6:$L$25,$M527),"RIR ниже цели","В диапазоне")))))</f>
        <v/>
      </c>
      <c r="M527" s="23" t="str">
        <f aca="false">IF($C527="","",IFERROR(MATCH($C527,'Программа тренировок'!$C$6:$C$25,0),""))</f>
        <v/>
      </c>
    </row>
    <row r="528" customFormat="false" ht="15" hidden="false" customHeight="true" outlineLevel="0" collapsed="false">
      <c r="A528" s="20"/>
      <c r="B528" s="21"/>
      <c r="C528" s="19"/>
      <c r="D528" s="18"/>
      <c r="E528" s="17"/>
      <c r="F528" s="18"/>
      <c r="G528" s="18"/>
      <c r="H528" s="21"/>
      <c r="I528" s="19"/>
      <c r="J528" s="8" t="str">
        <f aca="false">IF(OR(E528="",F528=""),"",E528*F528)</f>
        <v/>
      </c>
      <c r="K528" s="22" t="str">
        <f aca="false">IF($M528="","",INDEX('Программа тренировок'!$G$6:$G$25,$M528))</f>
        <v/>
      </c>
      <c r="L528" s="23" t="str">
        <f aca="false">IF(OR($M528="",$F528="",$G528=""),"",IF($H528="Разминка","Разминка",IF($F528&lt;INDEX('Программа тренировок'!$E$6:$E$25,$M528),"Ниже диапазона",IF(AND($F528&gt;=INDEX('Программа тренировок'!$F$6:$F$25,$M528),$G528&gt;=INDEX('Программа тренировок'!$L$6:$L$25,$M528)),"Верх диапазона: пора добавлять вес",IF($G528&lt;INDEX('Программа тренировок'!$L$6:$L$25,$M528),"RIR ниже цели","В диапазоне")))))</f>
        <v/>
      </c>
      <c r="M528" s="23" t="str">
        <f aca="false">IF($C528="","",IFERROR(MATCH($C528,'Программа тренировок'!$C$6:$C$25,0),""))</f>
        <v/>
      </c>
    </row>
    <row r="529" customFormat="false" ht="15" hidden="false" customHeight="true" outlineLevel="0" collapsed="false">
      <c r="A529" s="20"/>
      <c r="B529" s="21"/>
      <c r="C529" s="19"/>
      <c r="D529" s="18"/>
      <c r="E529" s="17"/>
      <c r="F529" s="18"/>
      <c r="G529" s="18"/>
      <c r="H529" s="21"/>
      <c r="I529" s="19"/>
      <c r="J529" s="8" t="str">
        <f aca="false">IF(OR(E529="",F529=""),"",E529*F529)</f>
        <v/>
      </c>
      <c r="K529" s="22" t="str">
        <f aca="false">IF($M529="","",INDEX('Программа тренировок'!$G$6:$G$25,$M529))</f>
        <v/>
      </c>
      <c r="L529" s="23" t="str">
        <f aca="false">IF(OR($M529="",$F529="",$G529=""),"",IF($H529="Разминка","Разминка",IF($F529&lt;INDEX('Программа тренировок'!$E$6:$E$25,$M529),"Ниже диапазона",IF(AND($F529&gt;=INDEX('Программа тренировок'!$F$6:$F$25,$M529),$G529&gt;=INDEX('Программа тренировок'!$L$6:$L$25,$M529)),"Верх диапазона: пора добавлять вес",IF($G529&lt;INDEX('Программа тренировок'!$L$6:$L$25,$M529),"RIR ниже цели","В диапазоне")))))</f>
        <v/>
      </c>
      <c r="M529" s="23" t="str">
        <f aca="false">IF($C529="","",IFERROR(MATCH($C529,'Программа тренировок'!$C$6:$C$25,0),""))</f>
        <v/>
      </c>
    </row>
    <row r="530" customFormat="false" ht="15" hidden="false" customHeight="true" outlineLevel="0" collapsed="false">
      <c r="A530" s="20"/>
      <c r="B530" s="21"/>
      <c r="C530" s="19"/>
      <c r="D530" s="18"/>
      <c r="E530" s="17"/>
      <c r="F530" s="18"/>
      <c r="G530" s="18"/>
      <c r="H530" s="21"/>
      <c r="I530" s="19"/>
      <c r="J530" s="8" t="str">
        <f aca="false">IF(OR(E530="",F530=""),"",E530*F530)</f>
        <v/>
      </c>
      <c r="K530" s="22" t="str">
        <f aca="false">IF($M530="","",INDEX('Программа тренировок'!$G$6:$G$25,$M530))</f>
        <v/>
      </c>
      <c r="L530" s="23" t="str">
        <f aca="false">IF(OR($M530="",$F530="",$G530=""),"",IF($H530="Разминка","Разминка",IF($F530&lt;INDEX('Программа тренировок'!$E$6:$E$25,$M530),"Ниже диапазона",IF(AND($F530&gt;=INDEX('Программа тренировок'!$F$6:$F$25,$M530),$G530&gt;=INDEX('Программа тренировок'!$L$6:$L$25,$M530)),"Верх диапазона: пора добавлять вес",IF($G530&lt;INDEX('Программа тренировок'!$L$6:$L$25,$M530),"RIR ниже цели","В диапазоне")))))</f>
        <v/>
      </c>
      <c r="M530" s="23" t="str">
        <f aca="false">IF($C530="","",IFERROR(MATCH($C530,'Программа тренировок'!$C$6:$C$25,0),""))</f>
        <v/>
      </c>
    </row>
    <row r="531" customFormat="false" ht="15" hidden="false" customHeight="true" outlineLevel="0" collapsed="false">
      <c r="A531" s="20"/>
      <c r="B531" s="21"/>
      <c r="C531" s="19"/>
      <c r="D531" s="18"/>
      <c r="E531" s="17"/>
      <c r="F531" s="18"/>
      <c r="G531" s="18"/>
      <c r="H531" s="21"/>
      <c r="I531" s="19"/>
      <c r="J531" s="8" t="str">
        <f aca="false">IF(OR(E531="",F531=""),"",E531*F531)</f>
        <v/>
      </c>
      <c r="K531" s="22" t="str">
        <f aca="false">IF($M531="","",INDEX('Программа тренировок'!$G$6:$G$25,$M531))</f>
        <v/>
      </c>
      <c r="L531" s="23" t="str">
        <f aca="false">IF(OR($M531="",$F531="",$G531=""),"",IF($H531="Разминка","Разминка",IF($F531&lt;INDEX('Программа тренировок'!$E$6:$E$25,$M531),"Ниже диапазона",IF(AND($F531&gt;=INDEX('Программа тренировок'!$F$6:$F$25,$M531),$G531&gt;=INDEX('Программа тренировок'!$L$6:$L$25,$M531)),"Верх диапазона: пора добавлять вес",IF($G531&lt;INDEX('Программа тренировок'!$L$6:$L$25,$M531),"RIR ниже цели","В диапазоне")))))</f>
        <v/>
      </c>
      <c r="M531" s="23" t="str">
        <f aca="false">IF($C531="","",IFERROR(MATCH($C531,'Программа тренировок'!$C$6:$C$25,0),""))</f>
        <v/>
      </c>
    </row>
    <row r="532" customFormat="false" ht="15" hidden="false" customHeight="true" outlineLevel="0" collapsed="false">
      <c r="A532" s="20"/>
      <c r="B532" s="21"/>
      <c r="C532" s="19"/>
      <c r="D532" s="18"/>
      <c r="E532" s="17"/>
      <c r="F532" s="18"/>
      <c r="G532" s="18"/>
      <c r="H532" s="21"/>
      <c r="I532" s="19"/>
      <c r="J532" s="8" t="str">
        <f aca="false">IF(OR(E532="",F532=""),"",E532*F532)</f>
        <v/>
      </c>
      <c r="K532" s="22" t="str">
        <f aca="false">IF($M532="","",INDEX('Программа тренировок'!$G$6:$G$25,$M532))</f>
        <v/>
      </c>
      <c r="L532" s="23" t="str">
        <f aca="false">IF(OR($M532="",$F532="",$G532=""),"",IF($H532="Разминка","Разминка",IF($F532&lt;INDEX('Программа тренировок'!$E$6:$E$25,$M532),"Ниже диапазона",IF(AND($F532&gt;=INDEX('Программа тренировок'!$F$6:$F$25,$M532),$G532&gt;=INDEX('Программа тренировок'!$L$6:$L$25,$M532)),"Верх диапазона: пора добавлять вес",IF($G532&lt;INDEX('Программа тренировок'!$L$6:$L$25,$M532),"RIR ниже цели","В диапазоне")))))</f>
        <v/>
      </c>
      <c r="M532" s="23" t="str">
        <f aca="false">IF($C532="","",IFERROR(MATCH($C532,'Программа тренировок'!$C$6:$C$25,0),""))</f>
        <v/>
      </c>
    </row>
    <row r="533" customFormat="false" ht="15" hidden="false" customHeight="true" outlineLevel="0" collapsed="false">
      <c r="A533" s="20"/>
      <c r="B533" s="21"/>
      <c r="C533" s="19"/>
      <c r="D533" s="18"/>
      <c r="E533" s="17"/>
      <c r="F533" s="18"/>
      <c r="G533" s="18"/>
      <c r="H533" s="21"/>
      <c r="I533" s="19"/>
      <c r="J533" s="8" t="str">
        <f aca="false">IF(OR(E533="",F533=""),"",E533*F533)</f>
        <v/>
      </c>
      <c r="K533" s="22" t="str">
        <f aca="false">IF($M533="","",INDEX('Программа тренировок'!$G$6:$G$25,$M533))</f>
        <v/>
      </c>
      <c r="L533" s="23" t="str">
        <f aca="false">IF(OR($M533="",$F533="",$G533=""),"",IF($H533="Разминка","Разминка",IF($F533&lt;INDEX('Программа тренировок'!$E$6:$E$25,$M533),"Ниже диапазона",IF(AND($F533&gt;=INDEX('Программа тренировок'!$F$6:$F$25,$M533),$G533&gt;=INDEX('Программа тренировок'!$L$6:$L$25,$M533)),"Верх диапазона: пора добавлять вес",IF($G533&lt;INDEX('Программа тренировок'!$L$6:$L$25,$M533),"RIR ниже цели","В диапазоне")))))</f>
        <v/>
      </c>
      <c r="M533" s="23" t="str">
        <f aca="false">IF($C533="","",IFERROR(MATCH($C533,'Программа тренировок'!$C$6:$C$25,0),""))</f>
        <v/>
      </c>
    </row>
    <row r="534" customFormat="false" ht="15" hidden="false" customHeight="true" outlineLevel="0" collapsed="false">
      <c r="A534" s="20"/>
      <c r="B534" s="21"/>
      <c r="C534" s="19"/>
      <c r="D534" s="18"/>
      <c r="E534" s="17"/>
      <c r="F534" s="18"/>
      <c r="G534" s="18"/>
      <c r="H534" s="21"/>
      <c r="I534" s="19"/>
      <c r="J534" s="8" t="str">
        <f aca="false">IF(OR(E534="",F534=""),"",E534*F534)</f>
        <v/>
      </c>
      <c r="K534" s="22" t="str">
        <f aca="false">IF($M534="","",INDEX('Программа тренировок'!$G$6:$G$25,$M534))</f>
        <v/>
      </c>
      <c r="L534" s="23" t="str">
        <f aca="false">IF(OR($M534="",$F534="",$G534=""),"",IF($H534="Разминка","Разминка",IF($F534&lt;INDEX('Программа тренировок'!$E$6:$E$25,$M534),"Ниже диапазона",IF(AND($F534&gt;=INDEX('Программа тренировок'!$F$6:$F$25,$M534),$G534&gt;=INDEX('Программа тренировок'!$L$6:$L$25,$M534)),"Верх диапазона: пора добавлять вес",IF($G534&lt;INDEX('Программа тренировок'!$L$6:$L$25,$M534),"RIR ниже цели","В диапазоне")))))</f>
        <v/>
      </c>
      <c r="M534" s="23" t="str">
        <f aca="false">IF($C534="","",IFERROR(MATCH($C534,'Программа тренировок'!$C$6:$C$25,0),""))</f>
        <v/>
      </c>
    </row>
    <row r="535" customFormat="false" ht="15" hidden="false" customHeight="true" outlineLevel="0" collapsed="false">
      <c r="A535" s="20"/>
      <c r="B535" s="21"/>
      <c r="C535" s="19"/>
      <c r="D535" s="18"/>
      <c r="E535" s="17"/>
      <c r="F535" s="18"/>
      <c r="G535" s="18"/>
      <c r="H535" s="21"/>
      <c r="I535" s="19"/>
      <c r="J535" s="8" t="str">
        <f aca="false">IF(OR(E535="",F535=""),"",E535*F535)</f>
        <v/>
      </c>
      <c r="K535" s="22" t="str">
        <f aca="false">IF($M535="","",INDEX('Программа тренировок'!$G$6:$G$25,$M535))</f>
        <v/>
      </c>
      <c r="L535" s="23" t="str">
        <f aca="false">IF(OR($M535="",$F535="",$G535=""),"",IF($H535="Разминка","Разминка",IF($F535&lt;INDEX('Программа тренировок'!$E$6:$E$25,$M535),"Ниже диапазона",IF(AND($F535&gt;=INDEX('Программа тренировок'!$F$6:$F$25,$M535),$G535&gt;=INDEX('Программа тренировок'!$L$6:$L$25,$M535)),"Верх диапазона: пора добавлять вес",IF($G535&lt;INDEX('Программа тренировок'!$L$6:$L$25,$M535),"RIR ниже цели","В диапазоне")))))</f>
        <v/>
      </c>
      <c r="M535" s="23" t="str">
        <f aca="false">IF($C535="","",IFERROR(MATCH($C535,'Программа тренировок'!$C$6:$C$25,0),""))</f>
        <v/>
      </c>
    </row>
    <row r="536" customFormat="false" ht="15" hidden="false" customHeight="true" outlineLevel="0" collapsed="false">
      <c r="A536" s="20"/>
      <c r="B536" s="21"/>
      <c r="C536" s="19"/>
      <c r="D536" s="18"/>
      <c r="E536" s="17"/>
      <c r="F536" s="18"/>
      <c r="G536" s="18"/>
      <c r="H536" s="21"/>
      <c r="I536" s="19"/>
      <c r="J536" s="8" t="str">
        <f aca="false">IF(OR(E536="",F536=""),"",E536*F536)</f>
        <v/>
      </c>
      <c r="K536" s="22" t="str">
        <f aca="false">IF($M536="","",INDEX('Программа тренировок'!$G$6:$G$25,$M536))</f>
        <v/>
      </c>
      <c r="L536" s="23" t="str">
        <f aca="false">IF(OR($M536="",$F536="",$G536=""),"",IF($H536="Разминка","Разминка",IF($F536&lt;INDEX('Программа тренировок'!$E$6:$E$25,$M536),"Ниже диапазона",IF(AND($F536&gt;=INDEX('Программа тренировок'!$F$6:$F$25,$M536),$G536&gt;=INDEX('Программа тренировок'!$L$6:$L$25,$M536)),"Верх диапазона: пора добавлять вес",IF($G536&lt;INDEX('Программа тренировок'!$L$6:$L$25,$M536),"RIR ниже цели","В диапазоне")))))</f>
        <v/>
      </c>
      <c r="M536" s="23" t="str">
        <f aca="false">IF($C536="","",IFERROR(MATCH($C536,'Программа тренировок'!$C$6:$C$25,0),""))</f>
        <v/>
      </c>
    </row>
    <row r="537" customFormat="false" ht="15" hidden="false" customHeight="true" outlineLevel="0" collapsed="false">
      <c r="A537" s="20"/>
      <c r="B537" s="21"/>
      <c r="C537" s="19"/>
      <c r="D537" s="18"/>
      <c r="E537" s="17"/>
      <c r="F537" s="18"/>
      <c r="G537" s="18"/>
      <c r="H537" s="21"/>
      <c r="I537" s="19"/>
      <c r="J537" s="8" t="str">
        <f aca="false">IF(OR(E537="",F537=""),"",E537*F537)</f>
        <v/>
      </c>
      <c r="K537" s="22" t="str">
        <f aca="false">IF($M537="","",INDEX('Программа тренировок'!$G$6:$G$25,$M537))</f>
        <v/>
      </c>
      <c r="L537" s="23" t="str">
        <f aca="false">IF(OR($M537="",$F537="",$G537=""),"",IF($H537="Разминка","Разминка",IF($F537&lt;INDEX('Программа тренировок'!$E$6:$E$25,$M537),"Ниже диапазона",IF(AND($F537&gt;=INDEX('Программа тренировок'!$F$6:$F$25,$M537),$G537&gt;=INDEX('Программа тренировок'!$L$6:$L$25,$M537)),"Верх диапазона: пора добавлять вес",IF($G537&lt;INDEX('Программа тренировок'!$L$6:$L$25,$M537),"RIR ниже цели","В диапазоне")))))</f>
        <v/>
      </c>
      <c r="M537" s="23" t="str">
        <f aca="false">IF($C537="","",IFERROR(MATCH($C537,'Программа тренировок'!$C$6:$C$25,0),""))</f>
        <v/>
      </c>
    </row>
    <row r="538" customFormat="false" ht="15" hidden="false" customHeight="true" outlineLevel="0" collapsed="false">
      <c r="A538" s="20"/>
      <c r="B538" s="21"/>
      <c r="C538" s="19"/>
      <c r="D538" s="18"/>
      <c r="E538" s="17"/>
      <c r="F538" s="18"/>
      <c r="G538" s="18"/>
      <c r="H538" s="21"/>
      <c r="I538" s="19"/>
      <c r="J538" s="8" t="str">
        <f aca="false">IF(OR(E538="",F538=""),"",E538*F538)</f>
        <v/>
      </c>
      <c r="K538" s="22" t="str">
        <f aca="false">IF($M538="","",INDEX('Программа тренировок'!$G$6:$G$25,$M538))</f>
        <v/>
      </c>
      <c r="L538" s="23" t="str">
        <f aca="false">IF(OR($M538="",$F538="",$G538=""),"",IF($H538="Разминка","Разминка",IF($F538&lt;INDEX('Программа тренировок'!$E$6:$E$25,$M538),"Ниже диапазона",IF(AND($F538&gt;=INDEX('Программа тренировок'!$F$6:$F$25,$M538),$G538&gt;=INDEX('Программа тренировок'!$L$6:$L$25,$M538)),"Верх диапазона: пора добавлять вес",IF($G538&lt;INDEX('Программа тренировок'!$L$6:$L$25,$M538),"RIR ниже цели","В диапазоне")))))</f>
        <v/>
      </c>
      <c r="M538" s="23" t="str">
        <f aca="false">IF($C538="","",IFERROR(MATCH($C538,'Программа тренировок'!$C$6:$C$25,0),""))</f>
        <v/>
      </c>
    </row>
    <row r="539" customFormat="false" ht="15" hidden="false" customHeight="true" outlineLevel="0" collapsed="false">
      <c r="A539" s="20"/>
      <c r="B539" s="21"/>
      <c r="C539" s="19"/>
      <c r="D539" s="18"/>
      <c r="E539" s="17"/>
      <c r="F539" s="18"/>
      <c r="G539" s="18"/>
      <c r="H539" s="21"/>
      <c r="I539" s="19"/>
      <c r="J539" s="8" t="str">
        <f aca="false">IF(OR(E539="",F539=""),"",E539*F539)</f>
        <v/>
      </c>
      <c r="K539" s="22" t="str">
        <f aca="false">IF($M539="","",INDEX('Программа тренировок'!$G$6:$G$25,$M539))</f>
        <v/>
      </c>
      <c r="L539" s="23" t="str">
        <f aca="false">IF(OR($M539="",$F539="",$G539=""),"",IF($H539="Разминка","Разминка",IF($F539&lt;INDEX('Программа тренировок'!$E$6:$E$25,$M539),"Ниже диапазона",IF(AND($F539&gt;=INDEX('Программа тренировок'!$F$6:$F$25,$M539),$G539&gt;=INDEX('Программа тренировок'!$L$6:$L$25,$M539)),"Верх диапазона: пора добавлять вес",IF($G539&lt;INDEX('Программа тренировок'!$L$6:$L$25,$M539),"RIR ниже цели","В диапазоне")))))</f>
        <v/>
      </c>
      <c r="M539" s="23" t="str">
        <f aca="false">IF($C539="","",IFERROR(MATCH($C539,'Программа тренировок'!$C$6:$C$25,0),""))</f>
        <v/>
      </c>
    </row>
    <row r="540" customFormat="false" ht="15" hidden="false" customHeight="true" outlineLevel="0" collapsed="false">
      <c r="A540" s="20"/>
      <c r="B540" s="21"/>
      <c r="C540" s="19"/>
      <c r="D540" s="18"/>
      <c r="E540" s="17"/>
      <c r="F540" s="18"/>
      <c r="G540" s="18"/>
      <c r="H540" s="21"/>
      <c r="I540" s="19"/>
      <c r="J540" s="8" t="str">
        <f aca="false">IF(OR(E540="",F540=""),"",E540*F540)</f>
        <v/>
      </c>
      <c r="K540" s="22" t="str">
        <f aca="false">IF($M540="","",INDEX('Программа тренировок'!$G$6:$G$25,$M540))</f>
        <v/>
      </c>
      <c r="L540" s="23" t="str">
        <f aca="false">IF(OR($M540="",$F540="",$G540=""),"",IF($H540="Разминка","Разминка",IF($F540&lt;INDEX('Программа тренировок'!$E$6:$E$25,$M540),"Ниже диапазона",IF(AND($F540&gt;=INDEX('Программа тренировок'!$F$6:$F$25,$M540),$G540&gt;=INDEX('Программа тренировок'!$L$6:$L$25,$M540)),"Верх диапазона: пора добавлять вес",IF($G540&lt;INDEX('Программа тренировок'!$L$6:$L$25,$M540),"RIR ниже цели","В диапазоне")))))</f>
        <v/>
      </c>
      <c r="M540" s="23" t="str">
        <f aca="false">IF($C540="","",IFERROR(MATCH($C540,'Программа тренировок'!$C$6:$C$25,0),""))</f>
        <v/>
      </c>
    </row>
    <row r="541" customFormat="false" ht="15" hidden="false" customHeight="true" outlineLevel="0" collapsed="false">
      <c r="A541" s="20"/>
      <c r="B541" s="21"/>
      <c r="C541" s="19"/>
      <c r="D541" s="18"/>
      <c r="E541" s="17"/>
      <c r="F541" s="18"/>
      <c r="G541" s="18"/>
      <c r="H541" s="21"/>
      <c r="I541" s="19"/>
      <c r="J541" s="8" t="str">
        <f aca="false">IF(OR(E541="",F541=""),"",E541*F541)</f>
        <v/>
      </c>
      <c r="K541" s="22" t="str">
        <f aca="false">IF($M541="","",INDEX('Программа тренировок'!$G$6:$G$25,$M541))</f>
        <v/>
      </c>
      <c r="L541" s="23" t="str">
        <f aca="false">IF(OR($M541="",$F541="",$G541=""),"",IF($H541="Разминка","Разминка",IF($F541&lt;INDEX('Программа тренировок'!$E$6:$E$25,$M541),"Ниже диапазона",IF(AND($F541&gt;=INDEX('Программа тренировок'!$F$6:$F$25,$M541),$G541&gt;=INDEX('Программа тренировок'!$L$6:$L$25,$M541)),"Верх диапазона: пора добавлять вес",IF($G541&lt;INDEX('Программа тренировок'!$L$6:$L$25,$M541),"RIR ниже цели","В диапазоне")))))</f>
        <v/>
      </c>
      <c r="M541" s="23" t="str">
        <f aca="false">IF($C541="","",IFERROR(MATCH($C541,'Программа тренировок'!$C$6:$C$25,0),""))</f>
        <v/>
      </c>
    </row>
    <row r="542" customFormat="false" ht="15" hidden="false" customHeight="true" outlineLevel="0" collapsed="false">
      <c r="A542" s="20"/>
      <c r="B542" s="21"/>
      <c r="C542" s="19"/>
      <c r="D542" s="18"/>
      <c r="E542" s="17"/>
      <c r="F542" s="18"/>
      <c r="G542" s="18"/>
      <c r="H542" s="21"/>
      <c r="I542" s="19"/>
      <c r="J542" s="8" t="str">
        <f aca="false">IF(OR(E542="",F542=""),"",E542*F542)</f>
        <v/>
      </c>
      <c r="K542" s="22" t="str">
        <f aca="false">IF($M542="","",INDEX('Программа тренировок'!$G$6:$G$25,$M542))</f>
        <v/>
      </c>
      <c r="L542" s="23" t="str">
        <f aca="false">IF(OR($M542="",$F542="",$G542=""),"",IF($H542="Разминка","Разминка",IF($F542&lt;INDEX('Программа тренировок'!$E$6:$E$25,$M542),"Ниже диапазона",IF(AND($F542&gt;=INDEX('Программа тренировок'!$F$6:$F$25,$M542),$G542&gt;=INDEX('Программа тренировок'!$L$6:$L$25,$M542)),"Верх диапазона: пора добавлять вес",IF($G542&lt;INDEX('Программа тренировок'!$L$6:$L$25,$M542),"RIR ниже цели","В диапазоне")))))</f>
        <v/>
      </c>
      <c r="M542" s="23" t="str">
        <f aca="false">IF($C542="","",IFERROR(MATCH($C542,'Программа тренировок'!$C$6:$C$25,0),""))</f>
        <v/>
      </c>
    </row>
    <row r="543" customFormat="false" ht="15" hidden="false" customHeight="true" outlineLevel="0" collapsed="false">
      <c r="A543" s="20"/>
      <c r="B543" s="21"/>
      <c r="C543" s="19"/>
      <c r="D543" s="18"/>
      <c r="E543" s="17"/>
      <c r="F543" s="18"/>
      <c r="G543" s="18"/>
      <c r="H543" s="21"/>
      <c r="I543" s="19"/>
      <c r="J543" s="8" t="str">
        <f aca="false">IF(OR(E543="",F543=""),"",E543*F543)</f>
        <v/>
      </c>
      <c r="K543" s="22" t="str">
        <f aca="false">IF($M543="","",INDEX('Программа тренировок'!$G$6:$G$25,$M543))</f>
        <v/>
      </c>
      <c r="L543" s="23" t="str">
        <f aca="false">IF(OR($M543="",$F543="",$G543=""),"",IF($H543="Разминка","Разминка",IF($F543&lt;INDEX('Программа тренировок'!$E$6:$E$25,$M543),"Ниже диапазона",IF(AND($F543&gt;=INDEX('Программа тренировок'!$F$6:$F$25,$M543),$G543&gt;=INDEX('Программа тренировок'!$L$6:$L$25,$M543)),"Верх диапазона: пора добавлять вес",IF($G543&lt;INDEX('Программа тренировок'!$L$6:$L$25,$M543),"RIR ниже цели","В диапазоне")))))</f>
        <v/>
      </c>
      <c r="M543" s="23" t="str">
        <f aca="false">IF($C543="","",IFERROR(MATCH($C543,'Программа тренировок'!$C$6:$C$25,0),""))</f>
        <v/>
      </c>
    </row>
    <row r="544" customFormat="false" ht="15" hidden="false" customHeight="true" outlineLevel="0" collapsed="false">
      <c r="A544" s="20"/>
      <c r="B544" s="21"/>
      <c r="C544" s="19"/>
      <c r="D544" s="18"/>
      <c r="E544" s="17"/>
      <c r="F544" s="18"/>
      <c r="G544" s="18"/>
      <c r="H544" s="21"/>
      <c r="I544" s="19"/>
      <c r="J544" s="8" t="str">
        <f aca="false">IF(OR(E544="",F544=""),"",E544*F544)</f>
        <v/>
      </c>
      <c r="K544" s="22" t="str">
        <f aca="false">IF($M544="","",INDEX('Программа тренировок'!$G$6:$G$25,$M544))</f>
        <v/>
      </c>
      <c r="L544" s="23" t="str">
        <f aca="false">IF(OR($M544="",$F544="",$G544=""),"",IF($H544="Разминка","Разминка",IF($F544&lt;INDEX('Программа тренировок'!$E$6:$E$25,$M544),"Ниже диапазона",IF(AND($F544&gt;=INDEX('Программа тренировок'!$F$6:$F$25,$M544),$G544&gt;=INDEX('Программа тренировок'!$L$6:$L$25,$M544)),"Верх диапазона: пора добавлять вес",IF($G544&lt;INDEX('Программа тренировок'!$L$6:$L$25,$M544),"RIR ниже цели","В диапазоне")))))</f>
        <v/>
      </c>
      <c r="M544" s="23" t="str">
        <f aca="false">IF($C544="","",IFERROR(MATCH($C544,'Программа тренировок'!$C$6:$C$25,0),""))</f>
        <v/>
      </c>
    </row>
    <row r="545" customFormat="false" ht="15" hidden="false" customHeight="true" outlineLevel="0" collapsed="false">
      <c r="A545" s="20"/>
      <c r="B545" s="21"/>
      <c r="C545" s="19"/>
      <c r="D545" s="18"/>
      <c r="E545" s="17"/>
      <c r="F545" s="18"/>
      <c r="G545" s="18"/>
      <c r="H545" s="21"/>
      <c r="I545" s="19"/>
      <c r="J545" s="8" t="str">
        <f aca="false">IF(OR(E545="",F545=""),"",E545*F545)</f>
        <v/>
      </c>
      <c r="K545" s="22" t="str">
        <f aca="false">IF($M545="","",INDEX('Программа тренировок'!$G$6:$G$25,$M545))</f>
        <v/>
      </c>
      <c r="L545" s="23" t="str">
        <f aca="false">IF(OR($M545="",$F545="",$G545=""),"",IF($H545="Разминка","Разминка",IF($F545&lt;INDEX('Программа тренировок'!$E$6:$E$25,$M545),"Ниже диапазона",IF(AND($F545&gt;=INDEX('Программа тренировок'!$F$6:$F$25,$M545),$G545&gt;=INDEX('Программа тренировок'!$L$6:$L$25,$M545)),"Верх диапазона: пора добавлять вес",IF($G545&lt;INDEX('Программа тренировок'!$L$6:$L$25,$M545),"RIR ниже цели","В диапазоне")))))</f>
        <v/>
      </c>
      <c r="M545" s="23" t="str">
        <f aca="false">IF($C545="","",IFERROR(MATCH($C545,'Программа тренировок'!$C$6:$C$25,0),""))</f>
        <v/>
      </c>
    </row>
    <row r="546" customFormat="false" ht="15" hidden="false" customHeight="true" outlineLevel="0" collapsed="false">
      <c r="A546" s="20"/>
      <c r="B546" s="21"/>
      <c r="C546" s="19"/>
      <c r="D546" s="18"/>
      <c r="E546" s="17"/>
      <c r="F546" s="18"/>
      <c r="G546" s="18"/>
      <c r="H546" s="21"/>
      <c r="I546" s="19"/>
      <c r="J546" s="8" t="str">
        <f aca="false">IF(OR(E546="",F546=""),"",E546*F546)</f>
        <v/>
      </c>
      <c r="K546" s="22" t="str">
        <f aca="false">IF($M546="","",INDEX('Программа тренировок'!$G$6:$G$25,$M546))</f>
        <v/>
      </c>
      <c r="L546" s="23" t="str">
        <f aca="false">IF(OR($M546="",$F546="",$G546=""),"",IF($H546="Разминка","Разминка",IF($F546&lt;INDEX('Программа тренировок'!$E$6:$E$25,$M546),"Ниже диапазона",IF(AND($F546&gt;=INDEX('Программа тренировок'!$F$6:$F$25,$M546),$G546&gt;=INDEX('Программа тренировок'!$L$6:$L$25,$M546)),"Верх диапазона: пора добавлять вес",IF($G546&lt;INDEX('Программа тренировок'!$L$6:$L$25,$M546),"RIR ниже цели","В диапазоне")))))</f>
        <v/>
      </c>
      <c r="M546" s="23" t="str">
        <f aca="false">IF($C546="","",IFERROR(MATCH($C546,'Программа тренировок'!$C$6:$C$25,0),""))</f>
        <v/>
      </c>
    </row>
    <row r="547" customFormat="false" ht="15" hidden="false" customHeight="true" outlineLevel="0" collapsed="false">
      <c r="A547" s="20"/>
      <c r="B547" s="21"/>
      <c r="C547" s="19"/>
      <c r="D547" s="18"/>
      <c r="E547" s="17"/>
      <c r="F547" s="18"/>
      <c r="G547" s="18"/>
      <c r="H547" s="21"/>
      <c r="I547" s="19"/>
      <c r="J547" s="8" t="str">
        <f aca="false">IF(OR(E547="",F547=""),"",E547*F547)</f>
        <v/>
      </c>
      <c r="K547" s="22" t="str">
        <f aca="false">IF($M547="","",INDEX('Программа тренировок'!$G$6:$G$25,$M547))</f>
        <v/>
      </c>
      <c r="L547" s="23" t="str">
        <f aca="false">IF(OR($M547="",$F547="",$G547=""),"",IF($H547="Разминка","Разминка",IF($F547&lt;INDEX('Программа тренировок'!$E$6:$E$25,$M547),"Ниже диапазона",IF(AND($F547&gt;=INDEX('Программа тренировок'!$F$6:$F$25,$M547),$G547&gt;=INDEX('Программа тренировок'!$L$6:$L$25,$M547)),"Верх диапазона: пора добавлять вес",IF($G547&lt;INDEX('Программа тренировок'!$L$6:$L$25,$M547),"RIR ниже цели","В диапазоне")))))</f>
        <v/>
      </c>
      <c r="M547" s="23" t="str">
        <f aca="false">IF($C547="","",IFERROR(MATCH($C547,'Программа тренировок'!$C$6:$C$25,0),""))</f>
        <v/>
      </c>
    </row>
    <row r="548" customFormat="false" ht="15" hidden="false" customHeight="true" outlineLevel="0" collapsed="false">
      <c r="A548" s="20"/>
      <c r="B548" s="21"/>
      <c r="C548" s="19"/>
      <c r="D548" s="18"/>
      <c r="E548" s="17"/>
      <c r="F548" s="18"/>
      <c r="G548" s="18"/>
      <c r="H548" s="21"/>
      <c r="I548" s="19"/>
      <c r="J548" s="8" t="str">
        <f aca="false">IF(OR(E548="",F548=""),"",E548*F548)</f>
        <v/>
      </c>
      <c r="K548" s="22" t="str">
        <f aca="false">IF($M548="","",INDEX('Программа тренировок'!$G$6:$G$25,$M548))</f>
        <v/>
      </c>
      <c r="L548" s="23" t="str">
        <f aca="false">IF(OR($M548="",$F548="",$G548=""),"",IF($H548="Разминка","Разминка",IF($F548&lt;INDEX('Программа тренировок'!$E$6:$E$25,$M548),"Ниже диапазона",IF(AND($F548&gt;=INDEX('Программа тренировок'!$F$6:$F$25,$M548),$G548&gt;=INDEX('Программа тренировок'!$L$6:$L$25,$M548)),"Верх диапазона: пора добавлять вес",IF($G548&lt;INDEX('Программа тренировок'!$L$6:$L$25,$M548),"RIR ниже цели","В диапазоне")))))</f>
        <v/>
      </c>
      <c r="M548" s="23" t="str">
        <f aca="false">IF($C548="","",IFERROR(MATCH($C548,'Программа тренировок'!$C$6:$C$25,0),""))</f>
        <v/>
      </c>
    </row>
    <row r="549" customFormat="false" ht="15" hidden="false" customHeight="true" outlineLevel="0" collapsed="false">
      <c r="A549" s="20"/>
      <c r="B549" s="21"/>
      <c r="C549" s="19"/>
      <c r="D549" s="18"/>
      <c r="E549" s="17"/>
      <c r="F549" s="18"/>
      <c r="G549" s="18"/>
      <c r="H549" s="21"/>
      <c r="I549" s="19"/>
      <c r="J549" s="8" t="str">
        <f aca="false">IF(OR(E549="",F549=""),"",E549*F549)</f>
        <v/>
      </c>
      <c r="K549" s="22" t="str">
        <f aca="false">IF($M549="","",INDEX('Программа тренировок'!$G$6:$G$25,$M549))</f>
        <v/>
      </c>
      <c r="L549" s="23" t="str">
        <f aca="false">IF(OR($M549="",$F549="",$G549=""),"",IF($H549="Разминка","Разминка",IF($F549&lt;INDEX('Программа тренировок'!$E$6:$E$25,$M549),"Ниже диапазона",IF(AND($F549&gt;=INDEX('Программа тренировок'!$F$6:$F$25,$M549),$G549&gt;=INDEX('Программа тренировок'!$L$6:$L$25,$M549)),"Верх диапазона: пора добавлять вес",IF($G549&lt;INDEX('Программа тренировок'!$L$6:$L$25,$M549),"RIR ниже цели","В диапазоне")))))</f>
        <v/>
      </c>
      <c r="M549" s="23" t="str">
        <f aca="false">IF($C549="","",IFERROR(MATCH($C549,'Программа тренировок'!$C$6:$C$25,0),""))</f>
        <v/>
      </c>
    </row>
    <row r="550" customFormat="false" ht="15" hidden="false" customHeight="true" outlineLevel="0" collapsed="false">
      <c r="A550" s="20"/>
      <c r="B550" s="21"/>
      <c r="C550" s="19"/>
      <c r="D550" s="18"/>
      <c r="E550" s="17"/>
      <c r="F550" s="18"/>
      <c r="G550" s="18"/>
      <c r="H550" s="21"/>
      <c r="I550" s="19"/>
      <c r="J550" s="8" t="str">
        <f aca="false">IF(OR(E550="",F550=""),"",E550*F550)</f>
        <v/>
      </c>
      <c r="K550" s="22" t="str">
        <f aca="false">IF($M550="","",INDEX('Программа тренировок'!$G$6:$G$25,$M550))</f>
        <v/>
      </c>
      <c r="L550" s="23" t="str">
        <f aca="false">IF(OR($M550="",$F550="",$G550=""),"",IF($H550="Разминка","Разминка",IF($F550&lt;INDEX('Программа тренировок'!$E$6:$E$25,$M550),"Ниже диапазона",IF(AND($F550&gt;=INDEX('Программа тренировок'!$F$6:$F$25,$M550),$G550&gt;=INDEX('Программа тренировок'!$L$6:$L$25,$M550)),"Верх диапазона: пора добавлять вес",IF($G550&lt;INDEX('Программа тренировок'!$L$6:$L$25,$M550),"RIR ниже цели","В диапазоне")))))</f>
        <v/>
      </c>
      <c r="M550" s="23" t="str">
        <f aca="false">IF($C550="","",IFERROR(MATCH($C550,'Программа тренировок'!$C$6:$C$25,0),""))</f>
        <v/>
      </c>
    </row>
    <row r="551" customFormat="false" ht="15" hidden="false" customHeight="true" outlineLevel="0" collapsed="false">
      <c r="A551" s="20"/>
      <c r="B551" s="21"/>
      <c r="C551" s="19"/>
      <c r="D551" s="18"/>
      <c r="E551" s="17"/>
      <c r="F551" s="18"/>
      <c r="G551" s="18"/>
      <c r="H551" s="21"/>
      <c r="I551" s="19"/>
      <c r="J551" s="8" t="str">
        <f aca="false">IF(OR(E551="",F551=""),"",E551*F551)</f>
        <v/>
      </c>
      <c r="K551" s="22" t="str">
        <f aca="false">IF($M551="","",INDEX('Программа тренировок'!$G$6:$G$25,$M551))</f>
        <v/>
      </c>
      <c r="L551" s="23" t="str">
        <f aca="false">IF(OR($M551="",$F551="",$G551=""),"",IF($H551="Разминка","Разминка",IF($F551&lt;INDEX('Программа тренировок'!$E$6:$E$25,$M551),"Ниже диапазона",IF(AND($F551&gt;=INDEX('Программа тренировок'!$F$6:$F$25,$M551),$G551&gt;=INDEX('Программа тренировок'!$L$6:$L$25,$M551)),"Верх диапазона: пора добавлять вес",IF($G551&lt;INDEX('Программа тренировок'!$L$6:$L$25,$M551),"RIR ниже цели","В диапазоне")))))</f>
        <v/>
      </c>
      <c r="M551" s="23" t="str">
        <f aca="false">IF($C551="","",IFERROR(MATCH($C551,'Программа тренировок'!$C$6:$C$25,0),""))</f>
        <v/>
      </c>
    </row>
    <row r="552" customFormat="false" ht="15" hidden="false" customHeight="true" outlineLevel="0" collapsed="false">
      <c r="A552" s="20"/>
      <c r="B552" s="21"/>
      <c r="C552" s="19"/>
      <c r="D552" s="18"/>
      <c r="E552" s="17"/>
      <c r="F552" s="18"/>
      <c r="G552" s="18"/>
      <c r="H552" s="21"/>
      <c r="I552" s="19"/>
      <c r="J552" s="8" t="str">
        <f aca="false">IF(OR(E552="",F552=""),"",E552*F552)</f>
        <v/>
      </c>
      <c r="K552" s="22" t="str">
        <f aca="false">IF($M552="","",INDEX('Программа тренировок'!$G$6:$G$25,$M552))</f>
        <v/>
      </c>
      <c r="L552" s="23" t="str">
        <f aca="false">IF(OR($M552="",$F552="",$G552=""),"",IF($H552="Разминка","Разминка",IF($F552&lt;INDEX('Программа тренировок'!$E$6:$E$25,$M552),"Ниже диапазона",IF(AND($F552&gt;=INDEX('Программа тренировок'!$F$6:$F$25,$M552),$G552&gt;=INDEX('Программа тренировок'!$L$6:$L$25,$M552)),"Верх диапазона: пора добавлять вес",IF($G552&lt;INDEX('Программа тренировок'!$L$6:$L$25,$M552),"RIR ниже цели","В диапазоне")))))</f>
        <v/>
      </c>
      <c r="M552" s="23" t="str">
        <f aca="false">IF($C552="","",IFERROR(MATCH($C552,'Программа тренировок'!$C$6:$C$25,0),""))</f>
        <v/>
      </c>
    </row>
    <row r="553" customFormat="false" ht="15" hidden="false" customHeight="true" outlineLevel="0" collapsed="false">
      <c r="A553" s="20"/>
      <c r="B553" s="21"/>
      <c r="C553" s="19"/>
      <c r="D553" s="18"/>
      <c r="E553" s="17"/>
      <c r="F553" s="18"/>
      <c r="G553" s="18"/>
      <c r="H553" s="21"/>
      <c r="I553" s="19"/>
      <c r="J553" s="8" t="str">
        <f aca="false">IF(OR(E553="",F553=""),"",E553*F553)</f>
        <v/>
      </c>
      <c r="K553" s="22" t="str">
        <f aca="false">IF($M553="","",INDEX('Программа тренировок'!$G$6:$G$25,$M553))</f>
        <v/>
      </c>
      <c r="L553" s="23" t="str">
        <f aca="false">IF(OR($M553="",$F553="",$G553=""),"",IF($H553="Разминка","Разминка",IF($F553&lt;INDEX('Программа тренировок'!$E$6:$E$25,$M553),"Ниже диапазона",IF(AND($F553&gt;=INDEX('Программа тренировок'!$F$6:$F$25,$M553),$G553&gt;=INDEX('Программа тренировок'!$L$6:$L$25,$M553)),"Верх диапазона: пора добавлять вес",IF($G553&lt;INDEX('Программа тренировок'!$L$6:$L$25,$M553),"RIR ниже цели","В диапазоне")))))</f>
        <v/>
      </c>
      <c r="M553" s="23" t="str">
        <f aca="false">IF($C553="","",IFERROR(MATCH($C553,'Программа тренировок'!$C$6:$C$25,0),""))</f>
        <v/>
      </c>
    </row>
    <row r="554" customFormat="false" ht="15" hidden="false" customHeight="true" outlineLevel="0" collapsed="false">
      <c r="A554" s="20"/>
      <c r="B554" s="21"/>
      <c r="C554" s="19"/>
      <c r="D554" s="18"/>
      <c r="E554" s="17"/>
      <c r="F554" s="18"/>
      <c r="G554" s="18"/>
      <c r="H554" s="21"/>
      <c r="I554" s="19"/>
      <c r="J554" s="8" t="str">
        <f aca="false">IF(OR(E554="",F554=""),"",E554*F554)</f>
        <v/>
      </c>
      <c r="K554" s="22" t="str">
        <f aca="false">IF($M554="","",INDEX('Программа тренировок'!$G$6:$G$25,$M554))</f>
        <v/>
      </c>
      <c r="L554" s="23" t="str">
        <f aca="false">IF(OR($M554="",$F554="",$G554=""),"",IF($H554="Разминка","Разминка",IF($F554&lt;INDEX('Программа тренировок'!$E$6:$E$25,$M554),"Ниже диапазона",IF(AND($F554&gt;=INDEX('Программа тренировок'!$F$6:$F$25,$M554),$G554&gt;=INDEX('Программа тренировок'!$L$6:$L$25,$M554)),"Верх диапазона: пора добавлять вес",IF($G554&lt;INDEX('Программа тренировок'!$L$6:$L$25,$M554),"RIR ниже цели","В диапазоне")))))</f>
        <v/>
      </c>
      <c r="M554" s="23" t="str">
        <f aca="false">IF($C554="","",IFERROR(MATCH($C554,'Программа тренировок'!$C$6:$C$25,0),""))</f>
        <v/>
      </c>
    </row>
    <row r="555" customFormat="false" ht="15" hidden="false" customHeight="true" outlineLevel="0" collapsed="false">
      <c r="A555" s="20"/>
      <c r="B555" s="21"/>
      <c r="C555" s="19"/>
      <c r="D555" s="18"/>
      <c r="E555" s="17"/>
      <c r="F555" s="18"/>
      <c r="G555" s="18"/>
      <c r="H555" s="21"/>
      <c r="I555" s="19"/>
      <c r="J555" s="8" t="str">
        <f aca="false">IF(OR(E555="",F555=""),"",E555*F555)</f>
        <v/>
      </c>
      <c r="K555" s="22" t="str">
        <f aca="false">IF($M555="","",INDEX('Программа тренировок'!$G$6:$G$25,$M555))</f>
        <v/>
      </c>
      <c r="L555" s="23" t="str">
        <f aca="false">IF(OR($M555="",$F555="",$G555=""),"",IF($H555="Разминка","Разминка",IF($F555&lt;INDEX('Программа тренировок'!$E$6:$E$25,$M555),"Ниже диапазона",IF(AND($F555&gt;=INDEX('Программа тренировок'!$F$6:$F$25,$M555),$G555&gt;=INDEX('Программа тренировок'!$L$6:$L$25,$M555)),"Верх диапазона: пора добавлять вес",IF($G555&lt;INDEX('Программа тренировок'!$L$6:$L$25,$M555),"RIR ниже цели","В диапазоне")))))</f>
        <v/>
      </c>
      <c r="M555" s="23" t="str">
        <f aca="false">IF($C555="","",IFERROR(MATCH($C555,'Программа тренировок'!$C$6:$C$25,0),""))</f>
        <v/>
      </c>
    </row>
    <row r="556" customFormat="false" ht="15" hidden="false" customHeight="true" outlineLevel="0" collapsed="false">
      <c r="A556" s="20"/>
      <c r="B556" s="21"/>
      <c r="C556" s="19"/>
      <c r="D556" s="18"/>
      <c r="E556" s="17"/>
      <c r="F556" s="18"/>
      <c r="G556" s="18"/>
      <c r="H556" s="21"/>
      <c r="I556" s="19"/>
      <c r="J556" s="8" t="str">
        <f aca="false">IF(OR(E556="",F556=""),"",E556*F556)</f>
        <v/>
      </c>
      <c r="K556" s="22" t="str">
        <f aca="false">IF($M556="","",INDEX('Программа тренировок'!$G$6:$G$25,$M556))</f>
        <v/>
      </c>
      <c r="L556" s="23" t="str">
        <f aca="false">IF(OR($M556="",$F556="",$G556=""),"",IF($H556="Разминка","Разминка",IF($F556&lt;INDEX('Программа тренировок'!$E$6:$E$25,$M556),"Ниже диапазона",IF(AND($F556&gt;=INDEX('Программа тренировок'!$F$6:$F$25,$M556),$G556&gt;=INDEX('Программа тренировок'!$L$6:$L$25,$M556)),"Верх диапазона: пора добавлять вес",IF($G556&lt;INDEX('Программа тренировок'!$L$6:$L$25,$M556),"RIR ниже цели","В диапазоне")))))</f>
        <v/>
      </c>
      <c r="M556" s="23" t="str">
        <f aca="false">IF($C556="","",IFERROR(MATCH($C556,'Программа тренировок'!$C$6:$C$25,0),""))</f>
        <v/>
      </c>
    </row>
    <row r="557" customFormat="false" ht="15" hidden="false" customHeight="true" outlineLevel="0" collapsed="false">
      <c r="A557" s="20"/>
      <c r="B557" s="21"/>
      <c r="C557" s="19"/>
      <c r="D557" s="18"/>
      <c r="E557" s="17"/>
      <c r="F557" s="18"/>
      <c r="G557" s="18"/>
      <c r="H557" s="21"/>
      <c r="I557" s="19"/>
      <c r="J557" s="8" t="str">
        <f aca="false">IF(OR(E557="",F557=""),"",E557*F557)</f>
        <v/>
      </c>
      <c r="K557" s="22" t="str">
        <f aca="false">IF($M557="","",INDEX('Программа тренировок'!$G$6:$G$25,$M557))</f>
        <v/>
      </c>
      <c r="L557" s="23" t="str">
        <f aca="false">IF(OR($M557="",$F557="",$G557=""),"",IF($H557="Разминка","Разминка",IF($F557&lt;INDEX('Программа тренировок'!$E$6:$E$25,$M557),"Ниже диапазона",IF(AND($F557&gt;=INDEX('Программа тренировок'!$F$6:$F$25,$M557),$G557&gt;=INDEX('Программа тренировок'!$L$6:$L$25,$M557)),"Верх диапазона: пора добавлять вес",IF($G557&lt;INDEX('Программа тренировок'!$L$6:$L$25,$M557),"RIR ниже цели","В диапазоне")))))</f>
        <v/>
      </c>
      <c r="M557" s="23" t="str">
        <f aca="false">IF($C557="","",IFERROR(MATCH($C557,'Программа тренировок'!$C$6:$C$25,0),""))</f>
        <v/>
      </c>
    </row>
    <row r="558" customFormat="false" ht="15" hidden="false" customHeight="true" outlineLevel="0" collapsed="false">
      <c r="A558" s="20"/>
      <c r="B558" s="21"/>
      <c r="C558" s="19"/>
      <c r="D558" s="18"/>
      <c r="E558" s="17"/>
      <c r="F558" s="18"/>
      <c r="G558" s="18"/>
      <c r="H558" s="21"/>
      <c r="I558" s="19"/>
      <c r="J558" s="8" t="str">
        <f aca="false">IF(OR(E558="",F558=""),"",E558*F558)</f>
        <v/>
      </c>
      <c r="K558" s="22" t="str">
        <f aca="false">IF($M558="","",INDEX('Программа тренировок'!$G$6:$G$25,$M558))</f>
        <v/>
      </c>
      <c r="L558" s="23" t="str">
        <f aca="false">IF(OR($M558="",$F558="",$G558=""),"",IF($H558="Разминка","Разминка",IF($F558&lt;INDEX('Программа тренировок'!$E$6:$E$25,$M558),"Ниже диапазона",IF(AND($F558&gt;=INDEX('Программа тренировок'!$F$6:$F$25,$M558),$G558&gt;=INDEX('Программа тренировок'!$L$6:$L$25,$M558)),"Верх диапазона: пора добавлять вес",IF($G558&lt;INDEX('Программа тренировок'!$L$6:$L$25,$M558),"RIR ниже цели","В диапазоне")))))</f>
        <v/>
      </c>
      <c r="M558" s="23" t="str">
        <f aca="false">IF($C558="","",IFERROR(MATCH($C558,'Программа тренировок'!$C$6:$C$25,0),""))</f>
        <v/>
      </c>
    </row>
    <row r="559" customFormat="false" ht="15" hidden="false" customHeight="true" outlineLevel="0" collapsed="false">
      <c r="A559" s="20"/>
      <c r="B559" s="21"/>
      <c r="C559" s="19"/>
      <c r="D559" s="18"/>
      <c r="E559" s="17"/>
      <c r="F559" s="18"/>
      <c r="G559" s="18"/>
      <c r="H559" s="21"/>
      <c r="I559" s="19"/>
      <c r="J559" s="8" t="str">
        <f aca="false">IF(OR(E559="",F559=""),"",E559*F559)</f>
        <v/>
      </c>
      <c r="K559" s="22" t="str">
        <f aca="false">IF($M559="","",INDEX('Программа тренировок'!$G$6:$G$25,$M559))</f>
        <v/>
      </c>
      <c r="L559" s="23" t="str">
        <f aca="false">IF(OR($M559="",$F559="",$G559=""),"",IF($H559="Разминка","Разминка",IF($F559&lt;INDEX('Программа тренировок'!$E$6:$E$25,$M559),"Ниже диапазона",IF(AND($F559&gt;=INDEX('Программа тренировок'!$F$6:$F$25,$M559),$G559&gt;=INDEX('Программа тренировок'!$L$6:$L$25,$M559)),"Верх диапазона: пора добавлять вес",IF($G559&lt;INDEX('Программа тренировок'!$L$6:$L$25,$M559),"RIR ниже цели","В диапазоне")))))</f>
        <v/>
      </c>
      <c r="M559" s="23" t="str">
        <f aca="false">IF($C559="","",IFERROR(MATCH($C559,'Программа тренировок'!$C$6:$C$25,0),""))</f>
        <v/>
      </c>
    </row>
    <row r="560" customFormat="false" ht="15" hidden="false" customHeight="true" outlineLevel="0" collapsed="false">
      <c r="A560" s="20"/>
      <c r="B560" s="21"/>
      <c r="C560" s="19"/>
      <c r="D560" s="18"/>
      <c r="E560" s="17"/>
      <c r="F560" s="18"/>
      <c r="G560" s="18"/>
      <c r="H560" s="21"/>
      <c r="I560" s="19"/>
      <c r="J560" s="8" t="str">
        <f aca="false">IF(OR(E560="",F560=""),"",E560*F560)</f>
        <v/>
      </c>
      <c r="K560" s="22" t="str">
        <f aca="false">IF($M560="","",INDEX('Программа тренировок'!$G$6:$G$25,$M560))</f>
        <v/>
      </c>
      <c r="L560" s="23" t="str">
        <f aca="false">IF(OR($M560="",$F560="",$G560=""),"",IF($H560="Разминка","Разминка",IF($F560&lt;INDEX('Программа тренировок'!$E$6:$E$25,$M560),"Ниже диапазона",IF(AND($F560&gt;=INDEX('Программа тренировок'!$F$6:$F$25,$M560),$G560&gt;=INDEX('Программа тренировок'!$L$6:$L$25,$M560)),"Верх диапазона: пора добавлять вес",IF($G560&lt;INDEX('Программа тренировок'!$L$6:$L$25,$M560),"RIR ниже цели","В диапазоне")))))</f>
        <v/>
      </c>
      <c r="M560" s="23" t="str">
        <f aca="false">IF($C560="","",IFERROR(MATCH($C560,'Программа тренировок'!$C$6:$C$25,0),""))</f>
        <v/>
      </c>
    </row>
    <row r="561" customFormat="false" ht="15" hidden="false" customHeight="true" outlineLevel="0" collapsed="false">
      <c r="A561" s="20"/>
      <c r="B561" s="21"/>
      <c r="C561" s="19"/>
      <c r="D561" s="18"/>
      <c r="E561" s="17"/>
      <c r="F561" s="18"/>
      <c r="G561" s="18"/>
      <c r="H561" s="21"/>
      <c r="I561" s="19"/>
      <c r="J561" s="8" t="str">
        <f aca="false">IF(OR(E561="",F561=""),"",E561*F561)</f>
        <v/>
      </c>
      <c r="K561" s="22" t="str">
        <f aca="false">IF($M561="","",INDEX('Программа тренировок'!$G$6:$G$25,$M561))</f>
        <v/>
      </c>
      <c r="L561" s="23" t="str">
        <f aca="false">IF(OR($M561="",$F561="",$G561=""),"",IF($H561="Разминка","Разминка",IF($F561&lt;INDEX('Программа тренировок'!$E$6:$E$25,$M561),"Ниже диапазона",IF(AND($F561&gt;=INDEX('Программа тренировок'!$F$6:$F$25,$M561),$G561&gt;=INDEX('Программа тренировок'!$L$6:$L$25,$M561)),"Верх диапазона: пора добавлять вес",IF($G561&lt;INDEX('Программа тренировок'!$L$6:$L$25,$M561),"RIR ниже цели","В диапазоне")))))</f>
        <v/>
      </c>
      <c r="M561" s="23" t="str">
        <f aca="false">IF($C561="","",IFERROR(MATCH($C561,'Программа тренировок'!$C$6:$C$25,0),""))</f>
        <v/>
      </c>
    </row>
    <row r="562" customFormat="false" ht="15" hidden="false" customHeight="true" outlineLevel="0" collapsed="false">
      <c r="A562" s="20"/>
      <c r="B562" s="21"/>
      <c r="C562" s="19"/>
      <c r="D562" s="18"/>
      <c r="E562" s="17"/>
      <c r="F562" s="18"/>
      <c r="G562" s="18"/>
      <c r="H562" s="21"/>
      <c r="I562" s="19"/>
      <c r="J562" s="8" t="str">
        <f aca="false">IF(OR(E562="",F562=""),"",E562*F562)</f>
        <v/>
      </c>
      <c r="K562" s="22" t="str">
        <f aca="false">IF($M562="","",INDEX('Программа тренировок'!$G$6:$G$25,$M562))</f>
        <v/>
      </c>
      <c r="L562" s="23" t="str">
        <f aca="false">IF(OR($M562="",$F562="",$G562=""),"",IF($H562="Разминка","Разминка",IF($F562&lt;INDEX('Программа тренировок'!$E$6:$E$25,$M562),"Ниже диапазона",IF(AND($F562&gt;=INDEX('Программа тренировок'!$F$6:$F$25,$M562),$G562&gt;=INDEX('Программа тренировок'!$L$6:$L$25,$M562)),"Верх диапазона: пора добавлять вес",IF($G562&lt;INDEX('Программа тренировок'!$L$6:$L$25,$M562),"RIR ниже цели","В диапазоне")))))</f>
        <v/>
      </c>
      <c r="M562" s="23" t="str">
        <f aca="false">IF($C562="","",IFERROR(MATCH($C562,'Программа тренировок'!$C$6:$C$25,0),""))</f>
        <v/>
      </c>
    </row>
    <row r="563" customFormat="false" ht="15" hidden="false" customHeight="true" outlineLevel="0" collapsed="false">
      <c r="A563" s="20"/>
      <c r="B563" s="21"/>
      <c r="C563" s="19"/>
      <c r="D563" s="18"/>
      <c r="E563" s="17"/>
      <c r="F563" s="18"/>
      <c r="G563" s="18"/>
      <c r="H563" s="21"/>
      <c r="I563" s="19"/>
      <c r="J563" s="8" t="str">
        <f aca="false">IF(OR(E563="",F563=""),"",E563*F563)</f>
        <v/>
      </c>
      <c r="K563" s="22" t="str">
        <f aca="false">IF($M563="","",INDEX('Программа тренировок'!$G$6:$G$25,$M563))</f>
        <v/>
      </c>
      <c r="L563" s="23" t="str">
        <f aca="false">IF(OR($M563="",$F563="",$G563=""),"",IF($H563="Разминка","Разминка",IF($F563&lt;INDEX('Программа тренировок'!$E$6:$E$25,$M563),"Ниже диапазона",IF(AND($F563&gt;=INDEX('Программа тренировок'!$F$6:$F$25,$M563),$G563&gt;=INDEX('Программа тренировок'!$L$6:$L$25,$M563)),"Верх диапазона: пора добавлять вес",IF($G563&lt;INDEX('Программа тренировок'!$L$6:$L$25,$M563),"RIR ниже цели","В диапазоне")))))</f>
        <v/>
      </c>
      <c r="M563" s="23" t="str">
        <f aca="false">IF($C563="","",IFERROR(MATCH($C563,'Программа тренировок'!$C$6:$C$25,0),""))</f>
        <v/>
      </c>
    </row>
    <row r="564" customFormat="false" ht="15" hidden="false" customHeight="true" outlineLevel="0" collapsed="false">
      <c r="A564" s="20"/>
      <c r="B564" s="21"/>
      <c r="C564" s="19"/>
      <c r="D564" s="18"/>
      <c r="E564" s="17"/>
      <c r="F564" s="18"/>
      <c r="G564" s="18"/>
      <c r="H564" s="21"/>
      <c r="I564" s="19"/>
      <c r="J564" s="8" t="str">
        <f aca="false">IF(OR(E564="",F564=""),"",E564*F564)</f>
        <v/>
      </c>
      <c r="K564" s="22" t="str">
        <f aca="false">IF($M564="","",INDEX('Программа тренировок'!$G$6:$G$25,$M564))</f>
        <v/>
      </c>
      <c r="L564" s="23" t="str">
        <f aca="false">IF(OR($M564="",$F564="",$G564=""),"",IF($H564="Разминка","Разминка",IF($F564&lt;INDEX('Программа тренировок'!$E$6:$E$25,$M564),"Ниже диапазона",IF(AND($F564&gt;=INDEX('Программа тренировок'!$F$6:$F$25,$M564),$G564&gt;=INDEX('Программа тренировок'!$L$6:$L$25,$M564)),"Верх диапазона: пора добавлять вес",IF($G564&lt;INDEX('Программа тренировок'!$L$6:$L$25,$M564),"RIR ниже цели","В диапазоне")))))</f>
        <v/>
      </c>
      <c r="M564" s="23" t="str">
        <f aca="false">IF($C564="","",IFERROR(MATCH($C564,'Программа тренировок'!$C$6:$C$25,0),""))</f>
        <v/>
      </c>
    </row>
    <row r="565" customFormat="false" ht="15" hidden="false" customHeight="true" outlineLevel="0" collapsed="false">
      <c r="A565" s="20"/>
      <c r="B565" s="21"/>
      <c r="C565" s="19"/>
      <c r="D565" s="18"/>
      <c r="E565" s="17"/>
      <c r="F565" s="18"/>
      <c r="G565" s="18"/>
      <c r="H565" s="21"/>
      <c r="I565" s="19"/>
      <c r="J565" s="8" t="str">
        <f aca="false">IF(OR(E565="",F565=""),"",E565*F565)</f>
        <v/>
      </c>
      <c r="K565" s="22" t="str">
        <f aca="false">IF($M565="","",INDEX('Программа тренировок'!$G$6:$G$25,$M565))</f>
        <v/>
      </c>
      <c r="L565" s="23" t="str">
        <f aca="false">IF(OR($M565="",$F565="",$G565=""),"",IF($H565="Разминка","Разминка",IF($F565&lt;INDEX('Программа тренировок'!$E$6:$E$25,$M565),"Ниже диапазона",IF(AND($F565&gt;=INDEX('Программа тренировок'!$F$6:$F$25,$M565),$G565&gt;=INDEX('Программа тренировок'!$L$6:$L$25,$M565)),"Верх диапазона: пора добавлять вес",IF($G565&lt;INDEX('Программа тренировок'!$L$6:$L$25,$M565),"RIR ниже цели","В диапазоне")))))</f>
        <v/>
      </c>
      <c r="M565" s="23" t="str">
        <f aca="false">IF($C565="","",IFERROR(MATCH($C565,'Программа тренировок'!$C$6:$C$25,0),""))</f>
        <v/>
      </c>
    </row>
    <row r="566" customFormat="false" ht="15" hidden="false" customHeight="true" outlineLevel="0" collapsed="false">
      <c r="A566" s="20"/>
      <c r="B566" s="21"/>
      <c r="C566" s="19"/>
      <c r="D566" s="18"/>
      <c r="E566" s="17"/>
      <c r="F566" s="18"/>
      <c r="G566" s="18"/>
      <c r="H566" s="21"/>
      <c r="I566" s="19"/>
      <c r="J566" s="8" t="str">
        <f aca="false">IF(OR(E566="",F566=""),"",E566*F566)</f>
        <v/>
      </c>
      <c r="K566" s="22" t="str">
        <f aca="false">IF($M566="","",INDEX('Программа тренировок'!$G$6:$G$25,$M566))</f>
        <v/>
      </c>
      <c r="L566" s="23" t="str">
        <f aca="false">IF(OR($M566="",$F566="",$G566=""),"",IF($H566="Разминка","Разминка",IF($F566&lt;INDEX('Программа тренировок'!$E$6:$E$25,$M566),"Ниже диапазона",IF(AND($F566&gt;=INDEX('Программа тренировок'!$F$6:$F$25,$M566),$G566&gt;=INDEX('Программа тренировок'!$L$6:$L$25,$M566)),"Верх диапазона: пора добавлять вес",IF($G566&lt;INDEX('Программа тренировок'!$L$6:$L$25,$M566),"RIR ниже цели","В диапазоне")))))</f>
        <v/>
      </c>
      <c r="M566" s="23" t="str">
        <f aca="false">IF($C566="","",IFERROR(MATCH($C566,'Программа тренировок'!$C$6:$C$25,0),""))</f>
        <v/>
      </c>
    </row>
    <row r="567" customFormat="false" ht="15" hidden="false" customHeight="true" outlineLevel="0" collapsed="false">
      <c r="A567" s="20"/>
      <c r="B567" s="21"/>
      <c r="C567" s="19"/>
      <c r="D567" s="18"/>
      <c r="E567" s="17"/>
      <c r="F567" s="18"/>
      <c r="G567" s="18"/>
      <c r="H567" s="21"/>
      <c r="I567" s="19"/>
      <c r="J567" s="8" t="str">
        <f aca="false">IF(OR(E567="",F567=""),"",E567*F567)</f>
        <v/>
      </c>
      <c r="K567" s="22" t="str">
        <f aca="false">IF($M567="","",INDEX('Программа тренировок'!$G$6:$G$25,$M567))</f>
        <v/>
      </c>
      <c r="L567" s="23" t="str">
        <f aca="false">IF(OR($M567="",$F567="",$G567=""),"",IF($H567="Разминка","Разминка",IF($F567&lt;INDEX('Программа тренировок'!$E$6:$E$25,$M567),"Ниже диапазона",IF(AND($F567&gt;=INDEX('Программа тренировок'!$F$6:$F$25,$M567),$G567&gt;=INDEX('Программа тренировок'!$L$6:$L$25,$M567)),"Верх диапазона: пора добавлять вес",IF($G567&lt;INDEX('Программа тренировок'!$L$6:$L$25,$M567),"RIR ниже цели","В диапазоне")))))</f>
        <v/>
      </c>
      <c r="M567" s="23" t="str">
        <f aca="false">IF($C567="","",IFERROR(MATCH($C567,'Программа тренировок'!$C$6:$C$25,0),""))</f>
        <v/>
      </c>
    </row>
    <row r="568" customFormat="false" ht="15" hidden="false" customHeight="true" outlineLevel="0" collapsed="false">
      <c r="A568" s="20"/>
      <c r="B568" s="21"/>
      <c r="C568" s="19"/>
      <c r="D568" s="18"/>
      <c r="E568" s="17"/>
      <c r="F568" s="18"/>
      <c r="G568" s="18"/>
      <c r="H568" s="21"/>
      <c r="I568" s="19"/>
      <c r="J568" s="8" t="str">
        <f aca="false">IF(OR(E568="",F568=""),"",E568*F568)</f>
        <v/>
      </c>
      <c r="K568" s="22" t="str">
        <f aca="false">IF($M568="","",INDEX('Программа тренировок'!$G$6:$G$25,$M568))</f>
        <v/>
      </c>
      <c r="L568" s="23" t="str">
        <f aca="false">IF(OR($M568="",$F568="",$G568=""),"",IF($H568="Разминка","Разминка",IF($F568&lt;INDEX('Программа тренировок'!$E$6:$E$25,$M568),"Ниже диапазона",IF(AND($F568&gt;=INDEX('Программа тренировок'!$F$6:$F$25,$M568),$G568&gt;=INDEX('Программа тренировок'!$L$6:$L$25,$M568)),"Верх диапазона: пора добавлять вес",IF($G568&lt;INDEX('Программа тренировок'!$L$6:$L$25,$M568),"RIR ниже цели","В диапазоне")))))</f>
        <v/>
      </c>
      <c r="M568" s="23" t="str">
        <f aca="false">IF($C568="","",IFERROR(MATCH($C568,'Программа тренировок'!$C$6:$C$25,0),""))</f>
        <v/>
      </c>
    </row>
    <row r="569" customFormat="false" ht="15" hidden="false" customHeight="true" outlineLevel="0" collapsed="false">
      <c r="A569" s="20"/>
      <c r="B569" s="21"/>
      <c r="C569" s="19"/>
      <c r="D569" s="18"/>
      <c r="E569" s="17"/>
      <c r="F569" s="18"/>
      <c r="G569" s="18"/>
      <c r="H569" s="21"/>
      <c r="I569" s="19"/>
      <c r="J569" s="8" t="str">
        <f aca="false">IF(OR(E569="",F569=""),"",E569*F569)</f>
        <v/>
      </c>
      <c r="K569" s="22" t="str">
        <f aca="false">IF($M569="","",INDEX('Программа тренировок'!$G$6:$G$25,$M569))</f>
        <v/>
      </c>
      <c r="L569" s="23" t="str">
        <f aca="false">IF(OR($M569="",$F569="",$G569=""),"",IF($H569="Разминка","Разминка",IF($F569&lt;INDEX('Программа тренировок'!$E$6:$E$25,$M569),"Ниже диапазона",IF(AND($F569&gt;=INDEX('Программа тренировок'!$F$6:$F$25,$M569),$G569&gt;=INDEX('Программа тренировок'!$L$6:$L$25,$M569)),"Верх диапазона: пора добавлять вес",IF($G569&lt;INDEX('Программа тренировок'!$L$6:$L$25,$M569),"RIR ниже цели","В диапазоне")))))</f>
        <v/>
      </c>
      <c r="M569" s="23" t="str">
        <f aca="false">IF($C569="","",IFERROR(MATCH($C569,'Программа тренировок'!$C$6:$C$25,0),""))</f>
        <v/>
      </c>
    </row>
    <row r="570" customFormat="false" ht="15" hidden="false" customHeight="true" outlineLevel="0" collapsed="false">
      <c r="A570" s="20"/>
      <c r="B570" s="21"/>
      <c r="C570" s="19"/>
      <c r="D570" s="18"/>
      <c r="E570" s="17"/>
      <c r="F570" s="18"/>
      <c r="G570" s="18"/>
      <c r="H570" s="21"/>
      <c r="I570" s="19"/>
      <c r="J570" s="8" t="str">
        <f aca="false">IF(OR(E570="",F570=""),"",E570*F570)</f>
        <v/>
      </c>
      <c r="K570" s="22" t="str">
        <f aca="false">IF($M570="","",INDEX('Программа тренировок'!$G$6:$G$25,$M570))</f>
        <v/>
      </c>
      <c r="L570" s="23" t="str">
        <f aca="false">IF(OR($M570="",$F570="",$G570=""),"",IF($H570="Разминка","Разминка",IF($F570&lt;INDEX('Программа тренировок'!$E$6:$E$25,$M570),"Ниже диапазона",IF(AND($F570&gt;=INDEX('Программа тренировок'!$F$6:$F$25,$M570),$G570&gt;=INDEX('Программа тренировок'!$L$6:$L$25,$M570)),"Верх диапазона: пора добавлять вес",IF($G570&lt;INDEX('Программа тренировок'!$L$6:$L$25,$M570),"RIR ниже цели","В диапазоне")))))</f>
        <v/>
      </c>
      <c r="M570" s="23" t="str">
        <f aca="false">IF($C570="","",IFERROR(MATCH($C570,'Программа тренировок'!$C$6:$C$25,0),""))</f>
        <v/>
      </c>
    </row>
    <row r="571" customFormat="false" ht="15" hidden="false" customHeight="true" outlineLevel="0" collapsed="false">
      <c r="A571" s="20"/>
      <c r="B571" s="21"/>
      <c r="C571" s="19"/>
      <c r="D571" s="18"/>
      <c r="E571" s="17"/>
      <c r="F571" s="18"/>
      <c r="G571" s="18"/>
      <c r="H571" s="21"/>
      <c r="I571" s="19"/>
      <c r="J571" s="8" t="str">
        <f aca="false">IF(OR(E571="",F571=""),"",E571*F571)</f>
        <v/>
      </c>
      <c r="K571" s="22" t="str">
        <f aca="false">IF($M571="","",INDEX('Программа тренировок'!$G$6:$G$25,$M571))</f>
        <v/>
      </c>
      <c r="L571" s="23" t="str">
        <f aca="false">IF(OR($M571="",$F571="",$G571=""),"",IF($H571="Разминка","Разминка",IF($F571&lt;INDEX('Программа тренировок'!$E$6:$E$25,$M571),"Ниже диапазона",IF(AND($F571&gt;=INDEX('Программа тренировок'!$F$6:$F$25,$M571),$G571&gt;=INDEX('Программа тренировок'!$L$6:$L$25,$M571)),"Верх диапазона: пора добавлять вес",IF($G571&lt;INDEX('Программа тренировок'!$L$6:$L$25,$M571),"RIR ниже цели","В диапазоне")))))</f>
        <v/>
      </c>
      <c r="M571" s="23" t="str">
        <f aca="false">IF($C571="","",IFERROR(MATCH($C571,'Программа тренировок'!$C$6:$C$25,0),""))</f>
        <v/>
      </c>
    </row>
    <row r="572" customFormat="false" ht="15" hidden="false" customHeight="true" outlineLevel="0" collapsed="false">
      <c r="A572" s="20"/>
      <c r="B572" s="21"/>
      <c r="C572" s="19"/>
      <c r="D572" s="18"/>
      <c r="E572" s="17"/>
      <c r="F572" s="18"/>
      <c r="G572" s="18"/>
      <c r="H572" s="21"/>
      <c r="I572" s="19"/>
      <c r="J572" s="8" t="str">
        <f aca="false">IF(OR(E572="",F572=""),"",E572*F572)</f>
        <v/>
      </c>
      <c r="K572" s="22" t="str">
        <f aca="false">IF($M572="","",INDEX('Программа тренировок'!$G$6:$G$25,$M572))</f>
        <v/>
      </c>
      <c r="L572" s="23" t="str">
        <f aca="false">IF(OR($M572="",$F572="",$G572=""),"",IF($H572="Разминка","Разминка",IF($F572&lt;INDEX('Программа тренировок'!$E$6:$E$25,$M572),"Ниже диапазона",IF(AND($F572&gt;=INDEX('Программа тренировок'!$F$6:$F$25,$M572),$G572&gt;=INDEX('Программа тренировок'!$L$6:$L$25,$M572)),"Верх диапазона: пора добавлять вес",IF($G572&lt;INDEX('Программа тренировок'!$L$6:$L$25,$M572),"RIR ниже цели","В диапазоне")))))</f>
        <v/>
      </c>
      <c r="M572" s="23" t="str">
        <f aca="false">IF($C572="","",IFERROR(MATCH($C572,'Программа тренировок'!$C$6:$C$25,0),""))</f>
        <v/>
      </c>
    </row>
    <row r="573" customFormat="false" ht="15" hidden="false" customHeight="true" outlineLevel="0" collapsed="false">
      <c r="A573" s="20"/>
      <c r="B573" s="21"/>
      <c r="C573" s="19"/>
      <c r="D573" s="18"/>
      <c r="E573" s="17"/>
      <c r="F573" s="18"/>
      <c r="G573" s="18"/>
      <c r="H573" s="21"/>
      <c r="I573" s="19"/>
      <c r="J573" s="8" t="str">
        <f aca="false">IF(OR(E573="",F573=""),"",E573*F573)</f>
        <v/>
      </c>
      <c r="K573" s="22" t="str">
        <f aca="false">IF($M573="","",INDEX('Программа тренировок'!$G$6:$G$25,$M573))</f>
        <v/>
      </c>
      <c r="L573" s="23" t="str">
        <f aca="false">IF(OR($M573="",$F573="",$G573=""),"",IF($H573="Разминка","Разминка",IF($F573&lt;INDEX('Программа тренировок'!$E$6:$E$25,$M573),"Ниже диапазона",IF(AND($F573&gt;=INDEX('Программа тренировок'!$F$6:$F$25,$M573),$G573&gt;=INDEX('Программа тренировок'!$L$6:$L$25,$M573)),"Верх диапазона: пора добавлять вес",IF($G573&lt;INDEX('Программа тренировок'!$L$6:$L$25,$M573),"RIR ниже цели","В диапазоне")))))</f>
        <v/>
      </c>
      <c r="M573" s="23" t="str">
        <f aca="false">IF($C573="","",IFERROR(MATCH($C573,'Программа тренировок'!$C$6:$C$25,0),""))</f>
        <v/>
      </c>
    </row>
    <row r="574" customFormat="false" ht="15" hidden="false" customHeight="true" outlineLevel="0" collapsed="false">
      <c r="A574" s="20"/>
      <c r="B574" s="21"/>
      <c r="C574" s="19"/>
      <c r="D574" s="18"/>
      <c r="E574" s="17"/>
      <c r="F574" s="18"/>
      <c r="G574" s="18"/>
      <c r="H574" s="21"/>
      <c r="I574" s="19"/>
      <c r="J574" s="8" t="str">
        <f aca="false">IF(OR(E574="",F574=""),"",E574*F574)</f>
        <v/>
      </c>
      <c r="K574" s="22" t="str">
        <f aca="false">IF($M574="","",INDEX('Программа тренировок'!$G$6:$G$25,$M574))</f>
        <v/>
      </c>
      <c r="L574" s="23" t="str">
        <f aca="false">IF(OR($M574="",$F574="",$G574=""),"",IF($H574="Разминка","Разминка",IF($F574&lt;INDEX('Программа тренировок'!$E$6:$E$25,$M574),"Ниже диапазона",IF(AND($F574&gt;=INDEX('Программа тренировок'!$F$6:$F$25,$M574),$G574&gt;=INDEX('Программа тренировок'!$L$6:$L$25,$M574)),"Верх диапазона: пора добавлять вес",IF($G574&lt;INDEX('Программа тренировок'!$L$6:$L$25,$M574),"RIR ниже цели","В диапазоне")))))</f>
        <v/>
      </c>
      <c r="M574" s="23" t="str">
        <f aca="false">IF($C574="","",IFERROR(MATCH($C574,'Программа тренировок'!$C$6:$C$25,0),""))</f>
        <v/>
      </c>
    </row>
    <row r="575" customFormat="false" ht="15" hidden="false" customHeight="true" outlineLevel="0" collapsed="false">
      <c r="A575" s="20"/>
      <c r="B575" s="21"/>
      <c r="C575" s="19"/>
      <c r="D575" s="18"/>
      <c r="E575" s="17"/>
      <c r="F575" s="18"/>
      <c r="G575" s="18"/>
      <c r="H575" s="21"/>
      <c r="I575" s="19"/>
      <c r="J575" s="8" t="str">
        <f aca="false">IF(OR(E575="",F575=""),"",E575*F575)</f>
        <v/>
      </c>
      <c r="K575" s="22" t="str">
        <f aca="false">IF($M575="","",INDEX('Программа тренировок'!$G$6:$G$25,$M575))</f>
        <v/>
      </c>
      <c r="L575" s="23" t="str">
        <f aca="false">IF(OR($M575="",$F575="",$G575=""),"",IF($H575="Разминка","Разминка",IF($F575&lt;INDEX('Программа тренировок'!$E$6:$E$25,$M575),"Ниже диапазона",IF(AND($F575&gt;=INDEX('Программа тренировок'!$F$6:$F$25,$M575),$G575&gt;=INDEX('Программа тренировок'!$L$6:$L$25,$M575)),"Верх диапазона: пора добавлять вес",IF($G575&lt;INDEX('Программа тренировок'!$L$6:$L$25,$M575),"RIR ниже цели","В диапазоне")))))</f>
        <v/>
      </c>
      <c r="M575" s="23" t="str">
        <f aca="false">IF($C575="","",IFERROR(MATCH($C575,'Программа тренировок'!$C$6:$C$25,0),""))</f>
        <v/>
      </c>
    </row>
    <row r="576" customFormat="false" ht="15" hidden="false" customHeight="true" outlineLevel="0" collapsed="false">
      <c r="A576" s="20"/>
      <c r="B576" s="21"/>
      <c r="C576" s="19"/>
      <c r="D576" s="18"/>
      <c r="E576" s="17"/>
      <c r="F576" s="18"/>
      <c r="G576" s="18"/>
      <c r="H576" s="21"/>
      <c r="I576" s="19"/>
      <c r="J576" s="8" t="str">
        <f aca="false">IF(OR(E576="",F576=""),"",E576*F576)</f>
        <v/>
      </c>
      <c r="K576" s="22" t="str">
        <f aca="false">IF($M576="","",INDEX('Программа тренировок'!$G$6:$G$25,$M576))</f>
        <v/>
      </c>
      <c r="L576" s="23" t="str">
        <f aca="false">IF(OR($M576="",$F576="",$G576=""),"",IF($H576="Разминка","Разминка",IF($F576&lt;INDEX('Программа тренировок'!$E$6:$E$25,$M576),"Ниже диапазона",IF(AND($F576&gt;=INDEX('Программа тренировок'!$F$6:$F$25,$M576),$G576&gt;=INDEX('Программа тренировок'!$L$6:$L$25,$M576)),"Верх диапазона: пора добавлять вес",IF($G576&lt;INDEX('Программа тренировок'!$L$6:$L$25,$M576),"RIR ниже цели","В диапазоне")))))</f>
        <v/>
      </c>
      <c r="M576" s="23" t="str">
        <f aca="false">IF($C576="","",IFERROR(MATCH($C576,'Программа тренировок'!$C$6:$C$25,0),""))</f>
        <v/>
      </c>
    </row>
    <row r="577" customFormat="false" ht="15" hidden="false" customHeight="true" outlineLevel="0" collapsed="false">
      <c r="A577" s="20"/>
      <c r="B577" s="21"/>
      <c r="C577" s="19"/>
      <c r="D577" s="18"/>
      <c r="E577" s="17"/>
      <c r="F577" s="18"/>
      <c r="G577" s="18"/>
      <c r="H577" s="21"/>
      <c r="I577" s="19"/>
      <c r="J577" s="8" t="str">
        <f aca="false">IF(OR(E577="",F577=""),"",E577*F577)</f>
        <v/>
      </c>
      <c r="K577" s="22" t="str">
        <f aca="false">IF($M577="","",INDEX('Программа тренировок'!$G$6:$G$25,$M577))</f>
        <v/>
      </c>
      <c r="L577" s="23" t="str">
        <f aca="false">IF(OR($M577="",$F577="",$G577=""),"",IF($H577="Разминка","Разминка",IF($F577&lt;INDEX('Программа тренировок'!$E$6:$E$25,$M577),"Ниже диапазона",IF(AND($F577&gt;=INDEX('Программа тренировок'!$F$6:$F$25,$M577),$G577&gt;=INDEX('Программа тренировок'!$L$6:$L$25,$M577)),"Верх диапазона: пора добавлять вес",IF($G577&lt;INDEX('Программа тренировок'!$L$6:$L$25,$M577),"RIR ниже цели","В диапазоне")))))</f>
        <v/>
      </c>
      <c r="M577" s="23" t="str">
        <f aca="false">IF($C577="","",IFERROR(MATCH($C577,'Программа тренировок'!$C$6:$C$25,0),""))</f>
        <v/>
      </c>
    </row>
    <row r="578" customFormat="false" ht="15" hidden="false" customHeight="true" outlineLevel="0" collapsed="false">
      <c r="A578" s="20"/>
      <c r="B578" s="21"/>
      <c r="C578" s="19"/>
      <c r="D578" s="18"/>
      <c r="E578" s="17"/>
      <c r="F578" s="18"/>
      <c r="G578" s="18"/>
      <c r="H578" s="21"/>
      <c r="I578" s="19"/>
      <c r="J578" s="8" t="str">
        <f aca="false">IF(OR(E578="",F578=""),"",E578*F578)</f>
        <v/>
      </c>
      <c r="K578" s="22" t="str">
        <f aca="false">IF($M578="","",INDEX('Программа тренировок'!$G$6:$G$25,$M578))</f>
        <v/>
      </c>
      <c r="L578" s="23" t="str">
        <f aca="false">IF(OR($M578="",$F578="",$G578=""),"",IF($H578="Разминка","Разминка",IF($F578&lt;INDEX('Программа тренировок'!$E$6:$E$25,$M578),"Ниже диапазона",IF(AND($F578&gt;=INDEX('Программа тренировок'!$F$6:$F$25,$M578),$G578&gt;=INDEX('Программа тренировок'!$L$6:$L$25,$M578)),"Верх диапазона: пора добавлять вес",IF($G578&lt;INDEX('Программа тренировок'!$L$6:$L$25,$M578),"RIR ниже цели","В диапазоне")))))</f>
        <v/>
      </c>
      <c r="M578" s="23" t="str">
        <f aca="false">IF($C578="","",IFERROR(MATCH($C578,'Программа тренировок'!$C$6:$C$25,0),""))</f>
        <v/>
      </c>
    </row>
    <row r="579" customFormat="false" ht="15" hidden="false" customHeight="true" outlineLevel="0" collapsed="false">
      <c r="A579" s="20"/>
      <c r="B579" s="21"/>
      <c r="C579" s="19"/>
      <c r="D579" s="18"/>
      <c r="E579" s="17"/>
      <c r="F579" s="18"/>
      <c r="G579" s="18"/>
      <c r="H579" s="21"/>
      <c r="I579" s="19"/>
      <c r="J579" s="8" t="str">
        <f aca="false">IF(OR(E579="",F579=""),"",E579*F579)</f>
        <v/>
      </c>
      <c r="K579" s="22" t="str">
        <f aca="false">IF($M579="","",INDEX('Программа тренировок'!$G$6:$G$25,$M579))</f>
        <v/>
      </c>
      <c r="L579" s="23" t="str">
        <f aca="false">IF(OR($M579="",$F579="",$G579=""),"",IF($H579="Разминка","Разминка",IF($F579&lt;INDEX('Программа тренировок'!$E$6:$E$25,$M579),"Ниже диапазона",IF(AND($F579&gt;=INDEX('Программа тренировок'!$F$6:$F$25,$M579),$G579&gt;=INDEX('Программа тренировок'!$L$6:$L$25,$M579)),"Верх диапазона: пора добавлять вес",IF($G579&lt;INDEX('Программа тренировок'!$L$6:$L$25,$M579),"RIR ниже цели","В диапазоне")))))</f>
        <v/>
      </c>
      <c r="M579" s="23" t="str">
        <f aca="false">IF($C579="","",IFERROR(MATCH($C579,'Программа тренировок'!$C$6:$C$25,0),""))</f>
        <v/>
      </c>
    </row>
    <row r="580" customFormat="false" ht="15" hidden="false" customHeight="true" outlineLevel="0" collapsed="false">
      <c r="A580" s="20"/>
      <c r="B580" s="21"/>
      <c r="C580" s="19"/>
      <c r="D580" s="18"/>
      <c r="E580" s="17"/>
      <c r="F580" s="18"/>
      <c r="G580" s="18"/>
      <c r="H580" s="21"/>
      <c r="I580" s="19"/>
      <c r="J580" s="8" t="str">
        <f aca="false">IF(OR(E580="",F580=""),"",E580*F580)</f>
        <v/>
      </c>
      <c r="K580" s="22" t="str">
        <f aca="false">IF($M580="","",INDEX('Программа тренировок'!$G$6:$G$25,$M580))</f>
        <v/>
      </c>
      <c r="L580" s="23" t="str">
        <f aca="false">IF(OR($M580="",$F580="",$G580=""),"",IF($H580="Разминка","Разминка",IF($F580&lt;INDEX('Программа тренировок'!$E$6:$E$25,$M580),"Ниже диапазона",IF(AND($F580&gt;=INDEX('Программа тренировок'!$F$6:$F$25,$M580),$G580&gt;=INDEX('Программа тренировок'!$L$6:$L$25,$M580)),"Верх диапазона: пора добавлять вес",IF($G580&lt;INDEX('Программа тренировок'!$L$6:$L$25,$M580),"RIR ниже цели","В диапазоне")))))</f>
        <v/>
      </c>
      <c r="M580" s="23" t="str">
        <f aca="false">IF($C580="","",IFERROR(MATCH($C580,'Программа тренировок'!$C$6:$C$25,0),""))</f>
        <v/>
      </c>
    </row>
    <row r="581" customFormat="false" ht="15" hidden="false" customHeight="true" outlineLevel="0" collapsed="false">
      <c r="A581" s="20"/>
      <c r="B581" s="21"/>
      <c r="C581" s="19"/>
      <c r="D581" s="18"/>
      <c r="E581" s="17"/>
      <c r="F581" s="18"/>
      <c r="G581" s="18"/>
      <c r="H581" s="21"/>
      <c r="I581" s="19"/>
      <c r="J581" s="8" t="str">
        <f aca="false">IF(OR(E581="",F581=""),"",E581*F581)</f>
        <v/>
      </c>
      <c r="K581" s="22" t="str">
        <f aca="false">IF($M581="","",INDEX('Программа тренировок'!$G$6:$G$25,$M581))</f>
        <v/>
      </c>
      <c r="L581" s="23" t="str">
        <f aca="false">IF(OR($M581="",$F581="",$G581=""),"",IF($H581="Разминка","Разминка",IF($F581&lt;INDEX('Программа тренировок'!$E$6:$E$25,$M581),"Ниже диапазона",IF(AND($F581&gt;=INDEX('Программа тренировок'!$F$6:$F$25,$M581),$G581&gt;=INDEX('Программа тренировок'!$L$6:$L$25,$M581)),"Верх диапазона: пора добавлять вес",IF($G581&lt;INDEX('Программа тренировок'!$L$6:$L$25,$M581),"RIR ниже цели","В диапазоне")))))</f>
        <v/>
      </c>
      <c r="M581" s="23" t="str">
        <f aca="false">IF($C581="","",IFERROR(MATCH($C581,'Программа тренировок'!$C$6:$C$25,0),""))</f>
        <v/>
      </c>
    </row>
    <row r="582" customFormat="false" ht="15" hidden="false" customHeight="true" outlineLevel="0" collapsed="false">
      <c r="A582" s="20"/>
      <c r="B582" s="21"/>
      <c r="C582" s="19"/>
      <c r="D582" s="18"/>
      <c r="E582" s="17"/>
      <c r="F582" s="18"/>
      <c r="G582" s="18"/>
      <c r="H582" s="21"/>
      <c r="I582" s="19"/>
      <c r="J582" s="8" t="str">
        <f aca="false">IF(OR(E582="",F582=""),"",E582*F582)</f>
        <v/>
      </c>
      <c r="K582" s="22" t="str">
        <f aca="false">IF($M582="","",INDEX('Программа тренировок'!$G$6:$G$25,$M582))</f>
        <v/>
      </c>
      <c r="L582" s="23" t="str">
        <f aca="false">IF(OR($M582="",$F582="",$G582=""),"",IF($H582="Разминка","Разминка",IF($F582&lt;INDEX('Программа тренировок'!$E$6:$E$25,$M582),"Ниже диапазона",IF(AND($F582&gt;=INDEX('Программа тренировок'!$F$6:$F$25,$M582),$G582&gt;=INDEX('Программа тренировок'!$L$6:$L$25,$M582)),"Верх диапазона: пора добавлять вес",IF($G582&lt;INDEX('Программа тренировок'!$L$6:$L$25,$M582),"RIR ниже цели","В диапазоне")))))</f>
        <v/>
      </c>
      <c r="M582" s="23" t="str">
        <f aca="false">IF($C582="","",IFERROR(MATCH($C582,'Программа тренировок'!$C$6:$C$25,0),""))</f>
        <v/>
      </c>
    </row>
    <row r="583" customFormat="false" ht="15" hidden="false" customHeight="true" outlineLevel="0" collapsed="false">
      <c r="A583" s="20"/>
      <c r="B583" s="21"/>
      <c r="C583" s="19"/>
      <c r="D583" s="18"/>
      <c r="E583" s="17"/>
      <c r="F583" s="18"/>
      <c r="G583" s="18"/>
      <c r="H583" s="21"/>
      <c r="I583" s="19"/>
      <c r="J583" s="8" t="str">
        <f aca="false">IF(OR(E583="",F583=""),"",E583*F583)</f>
        <v/>
      </c>
      <c r="K583" s="22" t="str">
        <f aca="false">IF($M583="","",INDEX('Программа тренировок'!$G$6:$G$25,$M583))</f>
        <v/>
      </c>
      <c r="L583" s="23" t="str">
        <f aca="false">IF(OR($M583="",$F583="",$G583=""),"",IF($H583="Разминка","Разминка",IF($F583&lt;INDEX('Программа тренировок'!$E$6:$E$25,$M583),"Ниже диапазона",IF(AND($F583&gt;=INDEX('Программа тренировок'!$F$6:$F$25,$M583),$G583&gt;=INDEX('Программа тренировок'!$L$6:$L$25,$M583)),"Верх диапазона: пора добавлять вес",IF($G583&lt;INDEX('Программа тренировок'!$L$6:$L$25,$M583),"RIR ниже цели","В диапазоне")))))</f>
        <v/>
      </c>
      <c r="M583" s="23" t="str">
        <f aca="false">IF($C583="","",IFERROR(MATCH($C583,'Программа тренировок'!$C$6:$C$25,0),""))</f>
        <v/>
      </c>
    </row>
    <row r="584" customFormat="false" ht="15" hidden="false" customHeight="true" outlineLevel="0" collapsed="false">
      <c r="A584" s="20"/>
      <c r="B584" s="21"/>
      <c r="C584" s="19"/>
      <c r="D584" s="18"/>
      <c r="E584" s="17"/>
      <c r="F584" s="18"/>
      <c r="G584" s="18"/>
      <c r="H584" s="21"/>
      <c r="I584" s="19"/>
      <c r="J584" s="8" t="str">
        <f aca="false">IF(OR(E584="",F584=""),"",E584*F584)</f>
        <v/>
      </c>
      <c r="K584" s="22" t="str">
        <f aca="false">IF($M584="","",INDEX('Программа тренировок'!$G$6:$G$25,$M584))</f>
        <v/>
      </c>
      <c r="L584" s="23" t="str">
        <f aca="false">IF(OR($M584="",$F584="",$G584=""),"",IF($H584="Разминка","Разминка",IF($F584&lt;INDEX('Программа тренировок'!$E$6:$E$25,$M584),"Ниже диапазона",IF(AND($F584&gt;=INDEX('Программа тренировок'!$F$6:$F$25,$M584),$G584&gt;=INDEX('Программа тренировок'!$L$6:$L$25,$M584)),"Верх диапазона: пора добавлять вес",IF($G584&lt;INDEX('Программа тренировок'!$L$6:$L$25,$M584),"RIR ниже цели","В диапазоне")))))</f>
        <v/>
      </c>
      <c r="M584" s="23" t="str">
        <f aca="false">IF($C584="","",IFERROR(MATCH($C584,'Программа тренировок'!$C$6:$C$25,0),""))</f>
        <v/>
      </c>
    </row>
    <row r="585" customFormat="false" ht="15" hidden="false" customHeight="true" outlineLevel="0" collapsed="false">
      <c r="A585" s="20"/>
      <c r="B585" s="21"/>
      <c r="C585" s="19"/>
      <c r="D585" s="18"/>
      <c r="E585" s="17"/>
      <c r="F585" s="18"/>
      <c r="G585" s="18"/>
      <c r="H585" s="21"/>
      <c r="I585" s="19"/>
      <c r="J585" s="8" t="str">
        <f aca="false">IF(OR(E585="",F585=""),"",E585*F585)</f>
        <v/>
      </c>
      <c r="K585" s="22" t="str">
        <f aca="false">IF($M585="","",INDEX('Программа тренировок'!$G$6:$G$25,$M585))</f>
        <v/>
      </c>
      <c r="L585" s="23" t="str">
        <f aca="false">IF(OR($M585="",$F585="",$G585=""),"",IF($H585="Разминка","Разминка",IF($F585&lt;INDEX('Программа тренировок'!$E$6:$E$25,$M585),"Ниже диапазона",IF(AND($F585&gt;=INDEX('Программа тренировок'!$F$6:$F$25,$M585),$G585&gt;=INDEX('Программа тренировок'!$L$6:$L$25,$M585)),"Верх диапазона: пора добавлять вес",IF($G585&lt;INDEX('Программа тренировок'!$L$6:$L$25,$M585),"RIR ниже цели","В диапазоне")))))</f>
        <v/>
      </c>
      <c r="M585" s="23" t="str">
        <f aca="false">IF($C585="","",IFERROR(MATCH($C585,'Программа тренировок'!$C$6:$C$25,0),""))</f>
        <v/>
      </c>
    </row>
    <row r="586" customFormat="false" ht="15" hidden="false" customHeight="true" outlineLevel="0" collapsed="false">
      <c r="A586" s="20"/>
      <c r="B586" s="21"/>
      <c r="C586" s="19"/>
      <c r="D586" s="18"/>
      <c r="E586" s="17"/>
      <c r="F586" s="18"/>
      <c r="G586" s="18"/>
      <c r="H586" s="21"/>
      <c r="I586" s="19"/>
      <c r="J586" s="8" t="str">
        <f aca="false">IF(OR(E586="",F586=""),"",E586*F586)</f>
        <v/>
      </c>
      <c r="K586" s="22" t="str">
        <f aca="false">IF($M586="","",INDEX('Программа тренировок'!$G$6:$G$25,$M586))</f>
        <v/>
      </c>
      <c r="L586" s="23" t="str">
        <f aca="false">IF(OR($M586="",$F586="",$G586=""),"",IF($H586="Разминка","Разминка",IF($F586&lt;INDEX('Программа тренировок'!$E$6:$E$25,$M586),"Ниже диапазона",IF(AND($F586&gt;=INDEX('Программа тренировок'!$F$6:$F$25,$M586),$G586&gt;=INDEX('Программа тренировок'!$L$6:$L$25,$M586)),"Верх диапазона: пора добавлять вес",IF($G586&lt;INDEX('Программа тренировок'!$L$6:$L$25,$M586),"RIR ниже цели","В диапазоне")))))</f>
        <v/>
      </c>
      <c r="M586" s="23" t="str">
        <f aca="false">IF($C586="","",IFERROR(MATCH($C586,'Программа тренировок'!$C$6:$C$25,0),""))</f>
        <v/>
      </c>
    </row>
    <row r="587" customFormat="false" ht="15" hidden="false" customHeight="true" outlineLevel="0" collapsed="false">
      <c r="A587" s="20"/>
      <c r="B587" s="21"/>
      <c r="C587" s="19"/>
      <c r="D587" s="18"/>
      <c r="E587" s="17"/>
      <c r="F587" s="18"/>
      <c r="G587" s="18"/>
      <c r="H587" s="21"/>
      <c r="I587" s="19"/>
      <c r="J587" s="8" t="str">
        <f aca="false">IF(OR(E587="",F587=""),"",E587*F587)</f>
        <v/>
      </c>
      <c r="K587" s="22" t="str">
        <f aca="false">IF($M587="","",INDEX('Программа тренировок'!$G$6:$G$25,$M587))</f>
        <v/>
      </c>
      <c r="L587" s="23" t="str">
        <f aca="false">IF(OR($M587="",$F587="",$G587=""),"",IF($H587="Разминка","Разминка",IF($F587&lt;INDEX('Программа тренировок'!$E$6:$E$25,$M587),"Ниже диапазона",IF(AND($F587&gt;=INDEX('Программа тренировок'!$F$6:$F$25,$M587),$G587&gt;=INDEX('Программа тренировок'!$L$6:$L$25,$M587)),"Верх диапазона: пора добавлять вес",IF($G587&lt;INDEX('Программа тренировок'!$L$6:$L$25,$M587),"RIR ниже цели","В диапазоне")))))</f>
        <v/>
      </c>
      <c r="M587" s="23" t="str">
        <f aca="false">IF($C587="","",IFERROR(MATCH($C587,'Программа тренировок'!$C$6:$C$25,0),""))</f>
        <v/>
      </c>
    </row>
    <row r="588" customFormat="false" ht="15" hidden="false" customHeight="true" outlineLevel="0" collapsed="false">
      <c r="A588" s="20"/>
      <c r="B588" s="21"/>
      <c r="C588" s="19"/>
      <c r="D588" s="18"/>
      <c r="E588" s="17"/>
      <c r="F588" s="18"/>
      <c r="G588" s="18"/>
      <c r="H588" s="21"/>
      <c r="I588" s="19"/>
      <c r="J588" s="8" t="str">
        <f aca="false">IF(OR(E588="",F588=""),"",E588*F588)</f>
        <v/>
      </c>
      <c r="K588" s="22" t="str">
        <f aca="false">IF($M588="","",INDEX('Программа тренировок'!$G$6:$G$25,$M588))</f>
        <v/>
      </c>
      <c r="L588" s="23" t="str">
        <f aca="false">IF(OR($M588="",$F588="",$G588=""),"",IF($H588="Разминка","Разминка",IF($F588&lt;INDEX('Программа тренировок'!$E$6:$E$25,$M588),"Ниже диапазона",IF(AND($F588&gt;=INDEX('Программа тренировок'!$F$6:$F$25,$M588),$G588&gt;=INDEX('Программа тренировок'!$L$6:$L$25,$M588)),"Верх диапазона: пора добавлять вес",IF($G588&lt;INDEX('Программа тренировок'!$L$6:$L$25,$M588),"RIR ниже цели","В диапазоне")))))</f>
        <v/>
      </c>
      <c r="M588" s="23" t="str">
        <f aca="false">IF($C588="","",IFERROR(MATCH($C588,'Программа тренировок'!$C$6:$C$25,0),""))</f>
        <v/>
      </c>
    </row>
    <row r="589" customFormat="false" ht="15" hidden="false" customHeight="true" outlineLevel="0" collapsed="false">
      <c r="A589" s="20"/>
      <c r="B589" s="21"/>
      <c r="C589" s="19"/>
      <c r="D589" s="18"/>
      <c r="E589" s="17"/>
      <c r="F589" s="18"/>
      <c r="G589" s="18"/>
      <c r="H589" s="21"/>
      <c r="I589" s="19"/>
      <c r="J589" s="8" t="str">
        <f aca="false">IF(OR(E589="",F589=""),"",E589*F589)</f>
        <v/>
      </c>
      <c r="K589" s="22" t="str">
        <f aca="false">IF($M589="","",INDEX('Программа тренировок'!$G$6:$G$25,$M589))</f>
        <v/>
      </c>
      <c r="L589" s="23" t="str">
        <f aca="false">IF(OR($M589="",$F589="",$G589=""),"",IF($H589="Разминка","Разминка",IF($F589&lt;INDEX('Программа тренировок'!$E$6:$E$25,$M589),"Ниже диапазона",IF(AND($F589&gt;=INDEX('Программа тренировок'!$F$6:$F$25,$M589),$G589&gt;=INDEX('Программа тренировок'!$L$6:$L$25,$M589)),"Верх диапазона: пора добавлять вес",IF($G589&lt;INDEX('Программа тренировок'!$L$6:$L$25,$M589),"RIR ниже цели","В диапазоне")))))</f>
        <v/>
      </c>
      <c r="M589" s="23" t="str">
        <f aca="false">IF($C589="","",IFERROR(MATCH($C589,'Программа тренировок'!$C$6:$C$25,0),""))</f>
        <v/>
      </c>
    </row>
    <row r="590" customFormat="false" ht="15" hidden="false" customHeight="true" outlineLevel="0" collapsed="false">
      <c r="A590" s="20"/>
      <c r="B590" s="21"/>
      <c r="C590" s="19"/>
      <c r="D590" s="18"/>
      <c r="E590" s="17"/>
      <c r="F590" s="18"/>
      <c r="G590" s="18"/>
      <c r="H590" s="21"/>
      <c r="I590" s="19"/>
      <c r="J590" s="8" t="str">
        <f aca="false">IF(OR(E590="",F590=""),"",E590*F590)</f>
        <v/>
      </c>
      <c r="K590" s="22" t="str">
        <f aca="false">IF($M590="","",INDEX('Программа тренировок'!$G$6:$G$25,$M590))</f>
        <v/>
      </c>
      <c r="L590" s="23" t="str">
        <f aca="false">IF(OR($M590="",$F590="",$G590=""),"",IF($H590="Разминка","Разминка",IF($F590&lt;INDEX('Программа тренировок'!$E$6:$E$25,$M590),"Ниже диапазона",IF(AND($F590&gt;=INDEX('Программа тренировок'!$F$6:$F$25,$M590),$G590&gt;=INDEX('Программа тренировок'!$L$6:$L$25,$M590)),"Верх диапазона: пора добавлять вес",IF($G590&lt;INDEX('Программа тренировок'!$L$6:$L$25,$M590),"RIR ниже цели","В диапазоне")))))</f>
        <v/>
      </c>
      <c r="M590" s="23" t="str">
        <f aca="false">IF($C590="","",IFERROR(MATCH($C590,'Программа тренировок'!$C$6:$C$25,0),""))</f>
        <v/>
      </c>
    </row>
    <row r="591" customFormat="false" ht="15" hidden="false" customHeight="true" outlineLevel="0" collapsed="false">
      <c r="A591" s="20"/>
      <c r="B591" s="21"/>
      <c r="C591" s="19"/>
      <c r="D591" s="18"/>
      <c r="E591" s="17"/>
      <c r="F591" s="18"/>
      <c r="G591" s="18"/>
      <c r="H591" s="21"/>
      <c r="I591" s="19"/>
      <c r="J591" s="8" t="str">
        <f aca="false">IF(OR(E591="",F591=""),"",E591*F591)</f>
        <v/>
      </c>
      <c r="K591" s="22" t="str">
        <f aca="false">IF($M591="","",INDEX('Программа тренировок'!$G$6:$G$25,$M591))</f>
        <v/>
      </c>
      <c r="L591" s="23" t="str">
        <f aca="false">IF(OR($M591="",$F591="",$G591=""),"",IF($H591="Разминка","Разминка",IF($F591&lt;INDEX('Программа тренировок'!$E$6:$E$25,$M591),"Ниже диапазона",IF(AND($F591&gt;=INDEX('Программа тренировок'!$F$6:$F$25,$M591),$G591&gt;=INDEX('Программа тренировок'!$L$6:$L$25,$M591)),"Верх диапазона: пора добавлять вес",IF($G591&lt;INDEX('Программа тренировок'!$L$6:$L$25,$M591),"RIR ниже цели","В диапазоне")))))</f>
        <v/>
      </c>
      <c r="M591" s="23" t="str">
        <f aca="false">IF($C591="","",IFERROR(MATCH($C591,'Программа тренировок'!$C$6:$C$25,0),""))</f>
        <v/>
      </c>
    </row>
    <row r="592" customFormat="false" ht="15" hidden="false" customHeight="true" outlineLevel="0" collapsed="false">
      <c r="A592" s="20"/>
      <c r="B592" s="21"/>
      <c r="C592" s="19"/>
      <c r="D592" s="18"/>
      <c r="E592" s="17"/>
      <c r="F592" s="18"/>
      <c r="G592" s="18"/>
      <c r="H592" s="21"/>
      <c r="I592" s="19"/>
      <c r="J592" s="8" t="str">
        <f aca="false">IF(OR(E592="",F592=""),"",E592*F592)</f>
        <v/>
      </c>
      <c r="K592" s="22" t="str">
        <f aca="false">IF($M592="","",INDEX('Программа тренировок'!$G$6:$G$25,$M592))</f>
        <v/>
      </c>
      <c r="L592" s="23" t="str">
        <f aca="false">IF(OR($M592="",$F592="",$G592=""),"",IF($H592="Разминка","Разминка",IF($F592&lt;INDEX('Программа тренировок'!$E$6:$E$25,$M592),"Ниже диапазона",IF(AND($F592&gt;=INDEX('Программа тренировок'!$F$6:$F$25,$M592),$G592&gt;=INDEX('Программа тренировок'!$L$6:$L$25,$M592)),"Верх диапазона: пора добавлять вес",IF($G592&lt;INDEX('Программа тренировок'!$L$6:$L$25,$M592),"RIR ниже цели","В диапазоне")))))</f>
        <v/>
      </c>
      <c r="M592" s="23" t="str">
        <f aca="false">IF($C592="","",IFERROR(MATCH($C592,'Программа тренировок'!$C$6:$C$25,0),""))</f>
        <v/>
      </c>
    </row>
    <row r="593" customFormat="false" ht="15" hidden="false" customHeight="true" outlineLevel="0" collapsed="false">
      <c r="A593" s="20"/>
      <c r="B593" s="21"/>
      <c r="C593" s="19"/>
      <c r="D593" s="18"/>
      <c r="E593" s="17"/>
      <c r="F593" s="18"/>
      <c r="G593" s="18"/>
      <c r="H593" s="21"/>
      <c r="I593" s="19"/>
      <c r="J593" s="8" t="str">
        <f aca="false">IF(OR(E593="",F593=""),"",E593*F593)</f>
        <v/>
      </c>
      <c r="K593" s="22" t="str">
        <f aca="false">IF($M593="","",INDEX('Программа тренировок'!$G$6:$G$25,$M593))</f>
        <v/>
      </c>
      <c r="L593" s="23" t="str">
        <f aca="false">IF(OR($M593="",$F593="",$G593=""),"",IF($H593="Разминка","Разминка",IF($F593&lt;INDEX('Программа тренировок'!$E$6:$E$25,$M593),"Ниже диапазона",IF(AND($F593&gt;=INDEX('Программа тренировок'!$F$6:$F$25,$M593),$G593&gt;=INDEX('Программа тренировок'!$L$6:$L$25,$M593)),"Верх диапазона: пора добавлять вес",IF($G593&lt;INDEX('Программа тренировок'!$L$6:$L$25,$M593),"RIR ниже цели","В диапазоне")))))</f>
        <v/>
      </c>
      <c r="M593" s="23" t="str">
        <f aca="false">IF($C593="","",IFERROR(MATCH($C593,'Программа тренировок'!$C$6:$C$25,0),""))</f>
        <v/>
      </c>
    </row>
    <row r="594" customFormat="false" ht="15" hidden="false" customHeight="true" outlineLevel="0" collapsed="false">
      <c r="A594" s="20"/>
      <c r="B594" s="21"/>
      <c r="C594" s="19"/>
      <c r="D594" s="18"/>
      <c r="E594" s="17"/>
      <c r="F594" s="18"/>
      <c r="G594" s="18"/>
      <c r="H594" s="21"/>
      <c r="I594" s="19"/>
      <c r="J594" s="8" t="str">
        <f aca="false">IF(OR(E594="",F594=""),"",E594*F594)</f>
        <v/>
      </c>
      <c r="K594" s="22" t="str">
        <f aca="false">IF($M594="","",INDEX('Программа тренировок'!$G$6:$G$25,$M594))</f>
        <v/>
      </c>
      <c r="L594" s="23" t="str">
        <f aca="false">IF(OR($M594="",$F594="",$G594=""),"",IF($H594="Разминка","Разминка",IF($F594&lt;INDEX('Программа тренировок'!$E$6:$E$25,$M594),"Ниже диапазона",IF(AND($F594&gt;=INDEX('Программа тренировок'!$F$6:$F$25,$M594),$G594&gt;=INDEX('Программа тренировок'!$L$6:$L$25,$M594)),"Верх диапазона: пора добавлять вес",IF($G594&lt;INDEX('Программа тренировок'!$L$6:$L$25,$M594),"RIR ниже цели","В диапазоне")))))</f>
        <v/>
      </c>
      <c r="M594" s="23" t="str">
        <f aca="false">IF($C594="","",IFERROR(MATCH($C594,'Программа тренировок'!$C$6:$C$25,0),""))</f>
        <v/>
      </c>
    </row>
    <row r="595" customFormat="false" ht="15" hidden="false" customHeight="true" outlineLevel="0" collapsed="false">
      <c r="A595" s="20"/>
      <c r="B595" s="21"/>
      <c r="C595" s="19"/>
      <c r="D595" s="18"/>
      <c r="E595" s="17"/>
      <c r="F595" s="18"/>
      <c r="G595" s="18"/>
      <c r="H595" s="21"/>
      <c r="I595" s="19"/>
      <c r="J595" s="8" t="str">
        <f aca="false">IF(OR(E595="",F595=""),"",E595*F595)</f>
        <v/>
      </c>
      <c r="K595" s="22" t="str">
        <f aca="false">IF($M595="","",INDEX('Программа тренировок'!$G$6:$G$25,$M595))</f>
        <v/>
      </c>
      <c r="L595" s="23" t="str">
        <f aca="false">IF(OR($M595="",$F595="",$G595=""),"",IF($H595="Разминка","Разминка",IF($F595&lt;INDEX('Программа тренировок'!$E$6:$E$25,$M595),"Ниже диапазона",IF(AND($F595&gt;=INDEX('Программа тренировок'!$F$6:$F$25,$M595),$G595&gt;=INDEX('Программа тренировок'!$L$6:$L$25,$M595)),"Верх диапазона: пора добавлять вес",IF($G595&lt;INDEX('Программа тренировок'!$L$6:$L$25,$M595),"RIR ниже цели","В диапазоне")))))</f>
        <v/>
      </c>
      <c r="M595" s="23" t="str">
        <f aca="false">IF($C595="","",IFERROR(MATCH($C595,'Программа тренировок'!$C$6:$C$25,0),""))</f>
        <v/>
      </c>
    </row>
    <row r="596" customFormat="false" ht="15" hidden="false" customHeight="true" outlineLevel="0" collapsed="false">
      <c r="A596" s="20"/>
      <c r="B596" s="21"/>
      <c r="C596" s="19"/>
      <c r="D596" s="18"/>
      <c r="E596" s="17"/>
      <c r="F596" s="18"/>
      <c r="G596" s="18"/>
      <c r="H596" s="21"/>
      <c r="I596" s="19"/>
      <c r="J596" s="8" t="str">
        <f aca="false">IF(OR(E596="",F596=""),"",E596*F596)</f>
        <v/>
      </c>
      <c r="K596" s="22" t="str">
        <f aca="false">IF($M596="","",INDEX('Программа тренировок'!$G$6:$G$25,$M596))</f>
        <v/>
      </c>
      <c r="L596" s="23" t="str">
        <f aca="false">IF(OR($M596="",$F596="",$G596=""),"",IF($H596="Разминка","Разминка",IF($F596&lt;INDEX('Программа тренировок'!$E$6:$E$25,$M596),"Ниже диапазона",IF(AND($F596&gt;=INDEX('Программа тренировок'!$F$6:$F$25,$M596),$G596&gt;=INDEX('Программа тренировок'!$L$6:$L$25,$M596)),"Верх диапазона: пора добавлять вес",IF($G596&lt;INDEX('Программа тренировок'!$L$6:$L$25,$M596),"RIR ниже цели","В диапазоне")))))</f>
        <v/>
      </c>
      <c r="M596" s="23" t="str">
        <f aca="false">IF($C596="","",IFERROR(MATCH($C596,'Программа тренировок'!$C$6:$C$25,0),""))</f>
        <v/>
      </c>
    </row>
    <row r="597" customFormat="false" ht="15" hidden="false" customHeight="true" outlineLevel="0" collapsed="false">
      <c r="A597" s="20"/>
      <c r="B597" s="21"/>
      <c r="C597" s="19"/>
      <c r="D597" s="18"/>
      <c r="E597" s="17"/>
      <c r="F597" s="18"/>
      <c r="G597" s="18"/>
      <c r="H597" s="21"/>
      <c r="I597" s="19"/>
      <c r="J597" s="8" t="str">
        <f aca="false">IF(OR(E597="",F597=""),"",E597*F597)</f>
        <v/>
      </c>
      <c r="K597" s="22" t="str">
        <f aca="false">IF($M597="","",INDEX('Программа тренировок'!$G$6:$G$25,$M597))</f>
        <v/>
      </c>
      <c r="L597" s="23" t="str">
        <f aca="false">IF(OR($M597="",$F597="",$G597=""),"",IF($H597="Разминка","Разминка",IF($F597&lt;INDEX('Программа тренировок'!$E$6:$E$25,$M597),"Ниже диапазона",IF(AND($F597&gt;=INDEX('Программа тренировок'!$F$6:$F$25,$M597),$G597&gt;=INDEX('Программа тренировок'!$L$6:$L$25,$M597)),"Верх диапазона: пора добавлять вес",IF($G597&lt;INDEX('Программа тренировок'!$L$6:$L$25,$M597),"RIR ниже цели","В диапазоне")))))</f>
        <v/>
      </c>
      <c r="M597" s="23" t="str">
        <f aca="false">IF($C597="","",IFERROR(MATCH($C597,'Программа тренировок'!$C$6:$C$25,0),""))</f>
        <v/>
      </c>
    </row>
    <row r="598" customFormat="false" ht="15" hidden="false" customHeight="true" outlineLevel="0" collapsed="false">
      <c r="A598" s="20"/>
      <c r="B598" s="21"/>
      <c r="C598" s="19"/>
      <c r="D598" s="18"/>
      <c r="E598" s="17"/>
      <c r="F598" s="18"/>
      <c r="G598" s="18"/>
      <c r="H598" s="21"/>
      <c r="I598" s="19"/>
      <c r="J598" s="8" t="str">
        <f aca="false">IF(OR(E598="",F598=""),"",E598*F598)</f>
        <v/>
      </c>
      <c r="K598" s="22" t="str">
        <f aca="false">IF($M598="","",INDEX('Программа тренировок'!$G$6:$G$25,$M598))</f>
        <v/>
      </c>
      <c r="L598" s="23" t="str">
        <f aca="false">IF(OR($M598="",$F598="",$G598=""),"",IF($H598="Разминка","Разминка",IF($F598&lt;INDEX('Программа тренировок'!$E$6:$E$25,$M598),"Ниже диапазона",IF(AND($F598&gt;=INDEX('Программа тренировок'!$F$6:$F$25,$M598),$G598&gt;=INDEX('Программа тренировок'!$L$6:$L$25,$M598)),"Верх диапазона: пора добавлять вес",IF($G598&lt;INDEX('Программа тренировок'!$L$6:$L$25,$M598),"RIR ниже цели","В диапазоне")))))</f>
        <v/>
      </c>
      <c r="M598" s="23" t="str">
        <f aca="false">IF($C598="","",IFERROR(MATCH($C598,'Программа тренировок'!$C$6:$C$25,0),""))</f>
        <v/>
      </c>
    </row>
    <row r="599" customFormat="false" ht="15" hidden="false" customHeight="true" outlineLevel="0" collapsed="false">
      <c r="A599" s="20"/>
      <c r="B599" s="21"/>
      <c r="C599" s="19"/>
      <c r="D599" s="18"/>
      <c r="E599" s="17"/>
      <c r="F599" s="18"/>
      <c r="G599" s="18"/>
      <c r="H599" s="21"/>
      <c r="I599" s="19"/>
      <c r="J599" s="8" t="str">
        <f aca="false">IF(OR(E599="",F599=""),"",E599*F599)</f>
        <v/>
      </c>
      <c r="K599" s="22" t="str">
        <f aca="false">IF($M599="","",INDEX('Программа тренировок'!$G$6:$G$25,$M599))</f>
        <v/>
      </c>
      <c r="L599" s="23" t="str">
        <f aca="false">IF(OR($M599="",$F599="",$G599=""),"",IF($H599="Разминка","Разминка",IF($F599&lt;INDEX('Программа тренировок'!$E$6:$E$25,$M599),"Ниже диапазона",IF(AND($F599&gt;=INDEX('Программа тренировок'!$F$6:$F$25,$M599),$G599&gt;=INDEX('Программа тренировок'!$L$6:$L$25,$M599)),"Верх диапазона: пора добавлять вес",IF($G599&lt;INDEX('Программа тренировок'!$L$6:$L$25,$M599),"RIR ниже цели","В диапазоне")))))</f>
        <v/>
      </c>
      <c r="M599" s="23" t="str">
        <f aca="false">IF($C599="","",IFERROR(MATCH($C599,'Программа тренировок'!$C$6:$C$25,0),""))</f>
        <v/>
      </c>
    </row>
    <row r="600" customFormat="false" ht="15" hidden="false" customHeight="true" outlineLevel="0" collapsed="false">
      <c r="A600" s="20"/>
      <c r="B600" s="21"/>
      <c r="C600" s="19"/>
      <c r="D600" s="18"/>
      <c r="E600" s="17"/>
      <c r="F600" s="18"/>
      <c r="G600" s="18"/>
      <c r="H600" s="21"/>
      <c r="I600" s="19"/>
      <c r="J600" s="8" t="str">
        <f aca="false">IF(OR(E600="",F600=""),"",E600*F600)</f>
        <v/>
      </c>
      <c r="K600" s="22" t="str">
        <f aca="false">IF($M600="","",INDEX('Программа тренировок'!$G$6:$G$25,$M600))</f>
        <v/>
      </c>
      <c r="L600" s="23" t="str">
        <f aca="false">IF(OR($M600="",$F600="",$G600=""),"",IF($H600="Разминка","Разминка",IF($F600&lt;INDEX('Программа тренировок'!$E$6:$E$25,$M600),"Ниже диапазона",IF(AND($F600&gt;=INDEX('Программа тренировок'!$F$6:$F$25,$M600),$G600&gt;=INDEX('Программа тренировок'!$L$6:$L$25,$M600)),"Верх диапазона: пора добавлять вес",IF($G600&lt;INDEX('Программа тренировок'!$L$6:$L$25,$M600),"RIR ниже цели","В диапазоне")))))</f>
        <v/>
      </c>
      <c r="M600" s="23" t="str">
        <f aca="false">IF($C600="","",IFERROR(MATCH($C600,'Программа тренировок'!$C$6:$C$25,0),""))</f>
        <v/>
      </c>
    </row>
    <row r="601" customFormat="false" ht="15" hidden="false" customHeight="true" outlineLevel="0" collapsed="false">
      <c r="A601" s="20"/>
      <c r="B601" s="21"/>
      <c r="C601" s="19"/>
      <c r="D601" s="18"/>
      <c r="E601" s="17"/>
      <c r="F601" s="18"/>
      <c r="G601" s="18"/>
      <c r="H601" s="21"/>
      <c r="I601" s="19"/>
      <c r="J601" s="8" t="str">
        <f aca="false">IF(OR(E601="",F601=""),"",E601*F601)</f>
        <v/>
      </c>
      <c r="K601" s="22" t="str">
        <f aca="false">IF($M601="","",INDEX('Программа тренировок'!$G$6:$G$25,$M601))</f>
        <v/>
      </c>
      <c r="L601" s="23" t="str">
        <f aca="false">IF(OR($M601="",$F601="",$G601=""),"",IF($H601="Разминка","Разминка",IF($F601&lt;INDEX('Программа тренировок'!$E$6:$E$25,$M601),"Ниже диапазона",IF(AND($F601&gt;=INDEX('Программа тренировок'!$F$6:$F$25,$M601),$G601&gt;=INDEX('Программа тренировок'!$L$6:$L$25,$M601)),"Верх диапазона: пора добавлять вес",IF($G601&lt;INDEX('Программа тренировок'!$L$6:$L$25,$M601),"RIR ниже цели","В диапазоне")))))</f>
        <v/>
      </c>
      <c r="M601" s="23" t="str">
        <f aca="false">IF($C601="","",IFERROR(MATCH($C601,'Программа тренировок'!$C$6:$C$25,0),""))</f>
        <v/>
      </c>
    </row>
    <row r="602" customFormat="false" ht="15" hidden="false" customHeight="true" outlineLevel="0" collapsed="false">
      <c r="A602" s="20"/>
      <c r="B602" s="21"/>
      <c r="C602" s="19"/>
      <c r="D602" s="18"/>
      <c r="E602" s="17"/>
      <c r="F602" s="18"/>
      <c r="G602" s="18"/>
      <c r="H602" s="21"/>
      <c r="I602" s="19"/>
      <c r="J602" s="8" t="str">
        <f aca="false">IF(OR(E602="",F602=""),"",E602*F602)</f>
        <v/>
      </c>
      <c r="K602" s="22" t="str">
        <f aca="false">IF($M602="","",INDEX('Программа тренировок'!$G$6:$G$25,$M602))</f>
        <v/>
      </c>
      <c r="L602" s="23" t="str">
        <f aca="false">IF(OR($M602="",$F602="",$G602=""),"",IF($H602="Разминка","Разминка",IF($F602&lt;INDEX('Программа тренировок'!$E$6:$E$25,$M602),"Ниже диапазона",IF(AND($F602&gt;=INDEX('Программа тренировок'!$F$6:$F$25,$M602),$G602&gt;=INDEX('Программа тренировок'!$L$6:$L$25,$M602)),"Верх диапазона: пора добавлять вес",IF($G602&lt;INDEX('Программа тренировок'!$L$6:$L$25,$M602),"RIR ниже цели","В диапазоне")))))</f>
        <v/>
      </c>
      <c r="M602" s="23" t="str">
        <f aca="false">IF($C602="","",IFERROR(MATCH($C602,'Программа тренировок'!$C$6:$C$25,0),""))</f>
        <v/>
      </c>
    </row>
    <row r="603" customFormat="false" ht="15" hidden="false" customHeight="true" outlineLevel="0" collapsed="false">
      <c r="A603" s="20"/>
      <c r="B603" s="21"/>
      <c r="C603" s="19"/>
      <c r="D603" s="18"/>
      <c r="E603" s="17"/>
      <c r="F603" s="18"/>
      <c r="G603" s="18"/>
      <c r="H603" s="21"/>
      <c r="I603" s="19"/>
      <c r="J603" s="8" t="str">
        <f aca="false">IF(OR(E603="",F603=""),"",E603*F603)</f>
        <v/>
      </c>
      <c r="K603" s="22" t="str">
        <f aca="false">IF($M603="","",INDEX('Программа тренировок'!$G$6:$G$25,$M603))</f>
        <v/>
      </c>
      <c r="L603" s="23" t="str">
        <f aca="false">IF(OR($M603="",$F603="",$G603=""),"",IF($H603="Разминка","Разминка",IF($F603&lt;INDEX('Программа тренировок'!$E$6:$E$25,$M603),"Ниже диапазона",IF(AND($F603&gt;=INDEX('Программа тренировок'!$F$6:$F$25,$M603),$G603&gt;=INDEX('Программа тренировок'!$L$6:$L$25,$M603)),"Верх диапазона: пора добавлять вес",IF($G603&lt;INDEX('Программа тренировок'!$L$6:$L$25,$M603),"RIR ниже цели","В диапазоне")))))</f>
        <v/>
      </c>
      <c r="M603" s="23" t="str">
        <f aca="false">IF($C603="","",IFERROR(MATCH($C603,'Программа тренировок'!$C$6:$C$25,0),""))</f>
        <v/>
      </c>
    </row>
    <row r="604" customFormat="false" ht="15" hidden="false" customHeight="true" outlineLevel="0" collapsed="false">
      <c r="A604" s="20"/>
      <c r="B604" s="21"/>
      <c r="C604" s="19"/>
      <c r="D604" s="18"/>
      <c r="E604" s="17"/>
      <c r="F604" s="18"/>
      <c r="G604" s="18"/>
      <c r="H604" s="21"/>
      <c r="I604" s="19"/>
      <c r="J604" s="8" t="str">
        <f aca="false">IF(OR(E604="",F604=""),"",E604*F604)</f>
        <v/>
      </c>
      <c r="K604" s="22" t="str">
        <f aca="false">IF($M604="","",INDEX('Программа тренировок'!$G$6:$G$25,$M604))</f>
        <v/>
      </c>
      <c r="L604" s="23" t="str">
        <f aca="false">IF(OR($M604="",$F604="",$G604=""),"",IF($H604="Разминка","Разминка",IF($F604&lt;INDEX('Программа тренировок'!$E$6:$E$25,$M604),"Ниже диапазона",IF(AND($F604&gt;=INDEX('Программа тренировок'!$F$6:$F$25,$M604),$G604&gt;=INDEX('Программа тренировок'!$L$6:$L$25,$M604)),"Верх диапазона: пора добавлять вес",IF($G604&lt;INDEX('Программа тренировок'!$L$6:$L$25,$M604),"RIR ниже цели","В диапазоне")))))</f>
        <v/>
      </c>
      <c r="M604" s="23" t="str">
        <f aca="false">IF($C604="","",IFERROR(MATCH($C604,'Программа тренировок'!$C$6:$C$25,0),""))</f>
        <v/>
      </c>
    </row>
    <row r="605" customFormat="false" ht="15" hidden="false" customHeight="true" outlineLevel="0" collapsed="false">
      <c r="A605" s="20"/>
      <c r="B605" s="21"/>
      <c r="C605" s="19"/>
      <c r="D605" s="18"/>
      <c r="E605" s="17"/>
      <c r="F605" s="18"/>
      <c r="G605" s="18"/>
      <c r="H605" s="21"/>
      <c r="I605" s="19"/>
      <c r="J605" s="8" t="str">
        <f aca="false">IF(OR(E605="",F605=""),"",E605*F605)</f>
        <v/>
      </c>
      <c r="K605" s="22" t="str">
        <f aca="false">IF($M605="","",INDEX('Программа тренировок'!$G$6:$G$25,$M605))</f>
        <v/>
      </c>
      <c r="L605" s="23" t="str">
        <f aca="false">IF(OR($M605="",$F605="",$G605=""),"",IF($H605="Разминка","Разминка",IF($F605&lt;INDEX('Программа тренировок'!$E$6:$E$25,$M605),"Ниже диапазона",IF(AND($F605&gt;=INDEX('Программа тренировок'!$F$6:$F$25,$M605),$G605&gt;=INDEX('Программа тренировок'!$L$6:$L$25,$M605)),"Верх диапазона: пора добавлять вес",IF($G605&lt;INDEX('Программа тренировок'!$L$6:$L$25,$M605),"RIR ниже цели","В диапазоне")))))</f>
        <v/>
      </c>
      <c r="M605" s="23" t="str">
        <f aca="false">IF($C605="","",IFERROR(MATCH($C605,'Программа тренировок'!$C$6:$C$25,0),""))</f>
        <v/>
      </c>
    </row>
    <row r="606" customFormat="false" ht="15" hidden="false" customHeight="true" outlineLevel="0" collapsed="false">
      <c r="A606" s="20"/>
      <c r="B606" s="21"/>
      <c r="C606" s="19"/>
      <c r="D606" s="18"/>
      <c r="E606" s="17"/>
      <c r="F606" s="18"/>
      <c r="G606" s="18"/>
      <c r="H606" s="21"/>
      <c r="I606" s="19"/>
      <c r="J606" s="8" t="str">
        <f aca="false">IF(OR(E606="",F606=""),"",E606*F606)</f>
        <v/>
      </c>
      <c r="K606" s="22" t="str">
        <f aca="false">IF($M606="","",INDEX('Программа тренировок'!$G$6:$G$25,$M606))</f>
        <v/>
      </c>
      <c r="L606" s="23" t="str">
        <f aca="false">IF(OR($M606="",$F606="",$G606=""),"",IF($H606="Разминка","Разминка",IF($F606&lt;INDEX('Программа тренировок'!$E$6:$E$25,$M606),"Ниже диапазона",IF(AND($F606&gt;=INDEX('Программа тренировок'!$F$6:$F$25,$M606),$G606&gt;=INDEX('Программа тренировок'!$L$6:$L$25,$M606)),"Верх диапазона: пора добавлять вес",IF($G606&lt;INDEX('Программа тренировок'!$L$6:$L$25,$M606),"RIR ниже цели","В диапазоне")))))</f>
        <v/>
      </c>
      <c r="M606" s="23" t="str">
        <f aca="false">IF($C606="","",IFERROR(MATCH($C606,'Программа тренировок'!$C$6:$C$25,0),""))</f>
        <v/>
      </c>
    </row>
    <row r="607" customFormat="false" ht="15" hidden="false" customHeight="true" outlineLevel="0" collapsed="false">
      <c r="A607" s="20"/>
      <c r="B607" s="21"/>
      <c r="C607" s="19"/>
      <c r="D607" s="18"/>
      <c r="E607" s="17"/>
      <c r="F607" s="18"/>
      <c r="G607" s="18"/>
      <c r="H607" s="21"/>
      <c r="I607" s="19"/>
      <c r="J607" s="8" t="str">
        <f aca="false">IF(OR(E607="",F607=""),"",E607*F607)</f>
        <v/>
      </c>
      <c r="K607" s="22" t="str">
        <f aca="false">IF($M607="","",INDEX('Программа тренировок'!$G$6:$G$25,$M607))</f>
        <v/>
      </c>
      <c r="L607" s="23" t="str">
        <f aca="false">IF(OR($M607="",$F607="",$G607=""),"",IF($H607="Разминка","Разминка",IF($F607&lt;INDEX('Программа тренировок'!$E$6:$E$25,$M607),"Ниже диапазона",IF(AND($F607&gt;=INDEX('Программа тренировок'!$F$6:$F$25,$M607),$G607&gt;=INDEX('Программа тренировок'!$L$6:$L$25,$M607)),"Верх диапазона: пора добавлять вес",IF($G607&lt;INDEX('Программа тренировок'!$L$6:$L$25,$M607),"RIR ниже цели","В диапазоне")))))</f>
        <v/>
      </c>
      <c r="M607" s="23" t="str">
        <f aca="false">IF($C607="","",IFERROR(MATCH($C607,'Программа тренировок'!$C$6:$C$25,0),""))</f>
        <v/>
      </c>
    </row>
    <row r="608" customFormat="false" ht="15" hidden="false" customHeight="true" outlineLevel="0" collapsed="false">
      <c r="A608" s="20"/>
      <c r="B608" s="21"/>
      <c r="C608" s="19"/>
      <c r="D608" s="18"/>
      <c r="E608" s="17"/>
      <c r="F608" s="18"/>
      <c r="G608" s="18"/>
      <c r="H608" s="21"/>
      <c r="I608" s="19"/>
      <c r="J608" s="8" t="str">
        <f aca="false">IF(OR(E608="",F608=""),"",E608*F608)</f>
        <v/>
      </c>
      <c r="K608" s="22" t="str">
        <f aca="false">IF($M608="","",INDEX('Программа тренировок'!$G$6:$G$25,$M608))</f>
        <v/>
      </c>
      <c r="L608" s="23" t="str">
        <f aca="false">IF(OR($M608="",$F608="",$G608=""),"",IF($H608="Разминка","Разминка",IF($F608&lt;INDEX('Программа тренировок'!$E$6:$E$25,$M608),"Ниже диапазона",IF(AND($F608&gt;=INDEX('Программа тренировок'!$F$6:$F$25,$M608),$G608&gt;=INDEX('Программа тренировок'!$L$6:$L$25,$M608)),"Верх диапазона: пора добавлять вес",IF($G608&lt;INDEX('Программа тренировок'!$L$6:$L$25,$M608),"RIR ниже цели","В диапазоне")))))</f>
        <v/>
      </c>
      <c r="M608" s="23" t="str">
        <f aca="false">IF($C608="","",IFERROR(MATCH($C608,'Программа тренировок'!$C$6:$C$25,0),""))</f>
        <v/>
      </c>
    </row>
    <row r="609" customFormat="false" ht="15" hidden="false" customHeight="true" outlineLevel="0" collapsed="false">
      <c r="A609" s="20"/>
      <c r="B609" s="21"/>
      <c r="C609" s="19"/>
      <c r="D609" s="18"/>
      <c r="E609" s="17"/>
      <c r="F609" s="18"/>
      <c r="G609" s="18"/>
      <c r="H609" s="21"/>
      <c r="I609" s="19"/>
      <c r="J609" s="8" t="str">
        <f aca="false">IF(OR(E609="",F609=""),"",E609*F609)</f>
        <v/>
      </c>
      <c r="K609" s="22" t="str">
        <f aca="false">IF($M609="","",INDEX('Программа тренировок'!$G$6:$G$25,$M609))</f>
        <v/>
      </c>
      <c r="L609" s="23" t="str">
        <f aca="false">IF(OR($M609="",$F609="",$G609=""),"",IF($H609="Разминка","Разминка",IF($F609&lt;INDEX('Программа тренировок'!$E$6:$E$25,$M609),"Ниже диапазона",IF(AND($F609&gt;=INDEX('Программа тренировок'!$F$6:$F$25,$M609),$G609&gt;=INDEX('Программа тренировок'!$L$6:$L$25,$M609)),"Верх диапазона: пора добавлять вес",IF($G609&lt;INDEX('Программа тренировок'!$L$6:$L$25,$M609),"RIR ниже цели","В диапазоне")))))</f>
        <v/>
      </c>
      <c r="M609" s="23" t="str">
        <f aca="false">IF($C609="","",IFERROR(MATCH($C609,'Программа тренировок'!$C$6:$C$25,0),""))</f>
        <v/>
      </c>
    </row>
    <row r="610" customFormat="false" ht="15" hidden="false" customHeight="true" outlineLevel="0" collapsed="false">
      <c r="A610" s="20"/>
      <c r="B610" s="21"/>
      <c r="C610" s="19"/>
      <c r="D610" s="18"/>
      <c r="E610" s="17"/>
      <c r="F610" s="18"/>
      <c r="G610" s="18"/>
      <c r="H610" s="21"/>
      <c r="I610" s="19"/>
      <c r="J610" s="8" t="str">
        <f aca="false">IF(OR(E610="",F610=""),"",E610*F610)</f>
        <v/>
      </c>
      <c r="K610" s="22" t="str">
        <f aca="false">IF($M610="","",INDEX('Программа тренировок'!$G$6:$G$25,$M610))</f>
        <v/>
      </c>
      <c r="L610" s="23" t="str">
        <f aca="false">IF(OR($M610="",$F610="",$G610=""),"",IF($H610="Разминка","Разминка",IF($F610&lt;INDEX('Программа тренировок'!$E$6:$E$25,$M610),"Ниже диапазона",IF(AND($F610&gt;=INDEX('Программа тренировок'!$F$6:$F$25,$M610),$G610&gt;=INDEX('Программа тренировок'!$L$6:$L$25,$M610)),"Верх диапазона: пора добавлять вес",IF($G610&lt;INDEX('Программа тренировок'!$L$6:$L$25,$M610),"RIR ниже цели","В диапазоне")))))</f>
        <v/>
      </c>
      <c r="M610" s="23" t="str">
        <f aca="false">IF($C610="","",IFERROR(MATCH($C610,'Программа тренировок'!$C$6:$C$25,0),""))</f>
        <v/>
      </c>
    </row>
    <row r="611" customFormat="false" ht="15" hidden="false" customHeight="true" outlineLevel="0" collapsed="false">
      <c r="A611" s="20"/>
      <c r="B611" s="21"/>
      <c r="C611" s="19"/>
      <c r="D611" s="18"/>
      <c r="E611" s="17"/>
      <c r="F611" s="18"/>
      <c r="G611" s="18"/>
      <c r="H611" s="21"/>
      <c r="I611" s="19"/>
      <c r="J611" s="8" t="str">
        <f aca="false">IF(OR(E611="",F611=""),"",E611*F611)</f>
        <v/>
      </c>
      <c r="K611" s="22" t="str">
        <f aca="false">IF($M611="","",INDEX('Программа тренировок'!$G$6:$G$25,$M611))</f>
        <v/>
      </c>
      <c r="L611" s="23" t="str">
        <f aca="false">IF(OR($M611="",$F611="",$G611=""),"",IF($H611="Разминка","Разминка",IF($F611&lt;INDEX('Программа тренировок'!$E$6:$E$25,$M611),"Ниже диапазона",IF(AND($F611&gt;=INDEX('Программа тренировок'!$F$6:$F$25,$M611),$G611&gt;=INDEX('Программа тренировок'!$L$6:$L$25,$M611)),"Верх диапазона: пора добавлять вес",IF($G611&lt;INDEX('Программа тренировок'!$L$6:$L$25,$M611),"RIR ниже цели","В диапазоне")))))</f>
        <v/>
      </c>
      <c r="M611" s="23" t="str">
        <f aca="false">IF($C611="","",IFERROR(MATCH($C611,'Программа тренировок'!$C$6:$C$25,0),""))</f>
        <v/>
      </c>
    </row>
    <row r="612" customFormat="false" ht="15" hidden="false" customHeight="true" outlineLevel="0" collapsed="false">
      <c r="A612" s="20"/>
      <c r="B612" s="21"/>
      <c r="C612" s="19"/>
      <c r="D612" s="18"/>
      <c r="E612" s="17"/>
      <c r="F612" s="18"/>
      <c r="G612" s="18"/>
      <c r="H612" s="21"/>
      <c r="I612" s="19"/>
      <c r="J612" s="8" t="str">
        <f aca="false">IF(OR(E612="",F612=""),"",E612*F612)</f>
        <v/>
      </c>
      <c r="K612" s="22" t="str">
        <f aca="false">IF($M612="","",INDEX('Программа тренировок'!$G$6:$G$25,$M612))</f>
        <v/>
      </c>
      <c r="L612" s="23" t="str">
        <f aca="false">IF(OR($M612="",$F612="",$G612=""),"",IF($H612="Разминка","Разминка",IF($F612&lt;INDEX('Программа тренировок'!$E$6:$E$25,$M612),"Ниже диапазона",IF(AND($F612&gt;=INDEX('Программа тренировок'!$F$6:$F$25,$M612),$G612&gt;=INDEX('Программа тренировок'!$L$6:$L$25,$M612)),"Верх диапазона: пора добавлять вес",IF($G612&lt;INDEX('Программа тренировок'!$L$6:$L$25,$M612),"RIR ниже цели","В диапазоне")))))</f>
        <v/>
      </c>
      <c r="M612" s="23" t="str">
        <f aca="false">IF($C612="","",IFERROR(MATCH($C612,'Программа тренировок'!$C$6:$C$25,0),""))</f>
        <v/>
      </c>
    </row>
    <row r="613" customFormat="false" ht="15" hidden="false" customHeight="true" outlineLevel="0" collapsed="false">
      <c r="A613" s="20"/>
      <c r="B613" s="21"/>
      <c r="C613" s="19"/>
      <c r="D613" s="18"/>
      <c r="E613" s="17"/>
      <c r="F613" s="18"/>
      <c r="G613" s="18"/>
      <c r="H613" s="21"/>
      <c r="I613" s="19"/>
      <c r="J613" s="8" t="str">
        <f aca="false">IF(OR(E613="",F613=""),"",E613*F613)</f>
        <v/>
      </c>
      <c r="K613" s="22" t="str">
        <f aca="false">IF($M613="","",INDEX('Программа тренировок'!$G$6:$G$25,$M613))</f>
        <v/>
      </c>
      <c r="L613" s="23" t="str">
        <f aca="false">IF(OR($M613="",$F613="",$G613=""),"",IF($H613="Разминка","Разминка",IF($F613&lt;INDEX('Программа тренировок'!$E$6:$E$25,$M613),"Ниже диапазона",IF(AND($F613&gt;=INDEX('Программа тренировок'!$F$6:$F$25,$M613),$G613&gt;=INDEX('Программа тренировок'!$L$6:$L$25,$M613)),"Верх диапазона: пора добавлять вес",IF($G613&lt;INDEX('Программа тренировок'!$L$6:$L$25,$M613),"RIR ниже цели","В диапазоне")))))</f>
        <v/>
      </c>
      <c r="M613" s="23" t="str">
        <f aca="false">IF($C613="","",IFERROR(MATCH($C613,'Программа тренировок'!$C$6:$C$25,0),""))</f>
        <v/>
      </c>
    </row>
    <row r="614" customFormat="false" ht="15" hidden="false" customHeight="true" outlineLevel="0" collapsed="false">
      <c r="A614" s="20"/>
      <c r="B614" s="21"/>
      <c r="C614" s="19"/>
      <c r="D614" s="18"/>
      <c r="E614" s="17"/>
      <c r="F614" s="18"/>
      <c r="G614" s="18"/>
      <c r="H614" s="21"/>
      <c r="I614" s="19"/>
      <c r="J614" s="8" t="str">
        <f aca="false">IF(OR(E614="",F614=""),"",E614*F614)</f>
        <v/>
      </c>
      <c r="K614" s="22" t="str">
        <f aca="false">IF($M614="","",INDEX('Программа тренировок'!$G$6:$G$25,$M614))</f>
        <v/>
      </c>
      <c r="L614" s="23" t="str">
        <f aca="false">IF(OR($M614="",$F614="",$G614=""),"",IF($H614="Разминка","Разминка",IF($F614&lt;INDEX('Программа тренировок'!$E$6:$E$25,$M614),"Ниже диапазона",IF(AND($F614&gt;=INDEX('Программа тренировок'!$F$6:$F$25,$M614),$G614&gt;=INDEX('Программа тренировок'!$L$6:$L$25,$M614)),"Верх диапазона: пора добавлять вес",IF($G614&lt;INDEX('Программа тренировок'!$L$6:$L$25,$M614),"RIR ниже цели","В диапазоне")))))</f>
        <v/>
      </c>
      <c r="M614" s="23" t="str">
        <f aca="false">IF($C614="","",IFERROR(MATCH($C614,'Программа тренировок'!$C$6:$C$25,0),""))</f>
        <v/>
      </c>
    </row>
    <row r="615" customFormat="false" ht="15" hidden="false" customHeight="true" outlineLevel="0" collapsed="false">
      <c r="A615" s="20"/>
      <c r="B615" s="21"/>
      <c r="C615" s="19"/>
      <c r="D615" s="18"/>
      <c r="E615" s="17"/>
      <c r="F615" s="18"/>
      <c r="G615" s="18"/>
      <c r="H615" s="21"/>
      <c r="I615" s="19"/>
      <c r="J615" s="8" t="str">
        <f aca="false">IF(OR(E615="",F615=""),"",E615*F615)</f>
        <v/>
      </c>
      <c r="K615" s="22" t="str">
        <f aca="false">IF($M615="","",INDEX('Программа тренировок'!$G$6:$G$25,$M615))</f>
        <v/>
      </c>
      <c r="L615" s="23" t="str">
        <f aca="false">IF(OR($M615="",$F615="",$G615=""),"",IF($H615="Разминка","Разминка",IF($F615&lt;INDEX('Программа тренировок'!$E$6:$E$25,$M615),"Ниже диапазона",IF(AND($F615&gt;=INDEX('Программа тренировок'!$F$6:$F$25,$M615),$G615&gt;=INDEX('Программа тренировок'!$L$6:$L$25,$M615)),"Верх диапазона: пора добавлять вес",IF($G615&lt;INDEX('Программа тренировок'!$L$6:$L$25,$M615),"RIR ниже цели","В диапазоне")))))</f>
        <v/>
      </c>
      <c r="M615" s="23" t="str">
        <f aca="false">IF($C615="","",IFERROR(MATCH($C615,'Программа тренировок'!$C$6:$C$25,0),""))</f>
        <v/>
      </c>
    </row>
    <row r="616" customFormat="false" ht="15" hidden="false" customHeight="true" outlineLevel="0" collapsed="false">
      <c r="A616" s="20"/>
      <c r="B616" s="21"/>
      <c r="C616" s="19"/>
      <c r="D616" s="18"/>
      <c r="E616" s="17"/>
      <c r="F616" s="18"/>
      <c r="G616" s="18"/>
      <c r="H616" s="21"/>
      <c r="I616" s="19"/>
      <c r="J616" s="8" t="str">
        <f aca="false">IF(OR(E616="",F616=""),"",E616*F616)</f>
        <v/>
      </c>
      <c r="K616" s="22" t="str">
        <f aca="false">IF($M616="","",INDEX('Программа тренировок'!$G$6:$G$25,$M616))</f>
        <v/>
      </c>
      <c r="L616" s="23" t="str">
        <f aca="false">IF(OR($M616="",$F616="",$G616=""),"",IF($H616="Разминка","Разминка",IF($F616&lt;INDEX('Программа тренировок'!$E$6:$E$25,$M616),"Ниже диапазона",IF(AND($F616&gt;=INDEX('Программа тренировок'!$F$6:$F$25,$M616),$G616&gt;=INDEX('Программа тренировок'!$L$6:$L$25,$M616)),"Верх диапазона: пора добавлять вес",IF($G616&lt;INDEX('Программа тренировок'!$L$6:$L$25,$M616),"RIR ниже цели","В диапазоне")))))</f>
        <v/>
      </c>
      <c r="M616" s="23" t="str">
        <f aca="false">IF($C616="","",IFERROR(MATCH($C616,'Программа тренировок'!$C$6:$C$25,0),""))</f>
        <v/>
      </c>
    </row>
    <row r="617" customFormat="false" ht="15" hidden="false" customHeight="true" outlineLevel="0" collapsed="false">
      <c r="A617" s="20"/>
      <c r="B617" s="21"/>
      <c r="C617" s="19"/>
      <c r="D617" s="18"/>
      <c r="E617" s="17"/>
      <c r="F617" s="18"/>
      <c r="G617" s="18"/>
      <c r="H617" s="21"/>
      <c r="I617" s="19"/>
      <c r="J617" s="8" t="str">
        <f aca="false">IF(OR(E617="",F617=""),"",E617*F617)</f>
        <v/>
      </c>
      <c r="K617" s="22" t="str">
        <f aca="false">IF($M617="","",INDEX('Программа тренировок'!$G$6:$G$25,$M617))</f>
        <v/>
      </c>
      <c r="L617" s="23" t="str">
        <f aca="false">IF(OR($M617="",$F617="",$G617=""),"",IF($H617="Разминка","Разминка",IF($F617&lt;INDEX('Программа тренировок'!$E$6:$E$25,$M617),"Ниже диапазона",IF(AND($F617&gt;=INDEX('Программа тренировок'!$F$6:$F$25,$M617),$G617&gt;=INDEX('Программа тренировок'!$L$6:$L$25,$M617)),"Верх диапазона: пора добавлять вес",IF($G617&lt;INDEX('Программа тренировок'!$L$6:$L$25,$M617),"RIR ниже цели","В диапазоне")))))</f>
        <v/>
      </c>
      <c r="M617" s="23" t="str">
        <f aca="false">IF($C617="","",IFERROR(MATCH($C617,'Программа тренировок'!$C$6:$C$25,0),""))</f>
        <v/>
      </c>
    </row>
    <row r="618" customFormat="false" ht="15" hidden="false" customHeight="true" outlineLevel="0" collapsed="false">
      <c r="A618" s="20"/>
      <c r="B618" s="21"/>
      <c r="C618" s="19"/>
      <c r="D618" s="18"/>
      <c r="E618" s="17"/>
      <c r="F618" s="18"/>
      <c r="G618" s="18"/>
      <c r="H618" s="21"/>
      <c r="I618" s="19"/>
      <c r="J618" s="8" t="str">
        <f aca="false">IF(OR(E618="",F618=""),"",E618*F618)</f>
        <v/>
      </c>
      <c r="K618" s="22" t="str">
        <f aca="false">IF($M618="","",INDEX('Программа тренировок'!$G$6:$G$25,$M618))</f>
        <v/>
      </c>
      <c r="L618" s="23" t="str">
        <f aca="false">IF(OR($M618="",$F618="",$G618=""),"",IF($H618="Разминка","Разминка",IF($F618&lt;INDEX('Программа тренировок'!$E$6:$E$25,$M618),"Ниже диапазона",IF(AND($F618&gt;=INDEX('Программа тренировок'!$F$6:$F$25,$M618),$G618&gt;=INDEX('Программа тренировок'!$L$6:$L$25,$M618)),"Верх диапазона: пора добавлять вес",IF($G618&lt;INDEX('Программа тренировок'!$L$6:$L$25,$M618),"RIR ниже цели","В диапазоне")))))</f>
        <v/>
      </c>
      <c r="M618" s="23" t="str">
        <f aca="false">IF($C618="","",IFERROR(MATCH($C618,'Программа тренировок'!$C$6:$C$25,0),""))</f>
        <v/>
      </c>
    </row>
    <row r="619" customFormat="false" ht="15" hidden="false" customHeight="true" outlineLevel="0" collapsed="false">
      <c r="A619" s="20"/>
      <c r="B619" s="21"/>
      <c r="C619" s="19"/>
      <c r="D619" s="18"/>
      <c r="E619" s="17"/>
      <c r="F619" s="18"/>
      <c r="G619" s="18"/>
      <c r="H619" s="21"/>
      <c r="I619" s="19"/>
      <c r="J619" s="8" t="str">
        <f aca="false">IF(OR(E619="",F619=""),"",E619*F619)</f>
        <v/>
      </c>
      <c r="K619" s="22" t="str">
        <f aca="false">IF($M619="","",INDEX('Программа тренировок'!$G$6:$G$25,$M619))</f>
        <v/>
      </c>
      <c r="L619" s="23" t="str">
        <f aca="false">IF(OR($M619="",$F619="",$G619=""),"",IF($H619="Разминка","Разминка",IF($F619&lt;INDEX('Программа тренировок'!$E$6:$E$25,$M619),"Ниже диапазона",IF(AND($F619&gt;=INDEX('Программа тренировок'!$F$6:$F$25,$M619),$G619&gt;=INDEX('Программа тренировок'!$L$6:$L$25,$M619)),"Верх диапазона: пора добавлять вес",IF($G619&lt;INDEX('Программа тренировок'!$L$6:$L$25,$M619),"RIR ниже цели","В диапазоне")))))</f>
        <v/>
      </c>
      <c r="M619" s="23" t="str">
        <f aca="false">IF($C619="","",IFERROR(MATCH($C619,'Программа тренировок'!$C$6:$C$25,0),""))</f>
        <v/>
      </c>
    </row>
    <row r="620" customFormat="false" ht="15" hidden="false" customHeight="true" outlineLevel="0" collapsed="false">
      <c r="A620" s="20"/>
      <c r="B620" s="21"/>
      <c r="C620" s="19"/>
      <c r="D620" s="18"/>
      <c r="E620" s="17"/>
      <c r="F620" s="18"/>
      <c r="G620" s="18"/>
      <c r="H620" s="21"/>
      <c r="I620" s="19"/>
      <c r="J620" s="8" t="str">
        <f aca="false">IF(OR(E620="",F620=""),"",E620*F620)</f>
        <v/>
      </c>
      <c r="K620" s="22" t="str">
        <f aca="false">IF($M620="","",INDEX('Программа тренировок'!$G$6:$G$25,$M620))</f>
        <v/>
      </c>
      <c r="L620" s="23" t="str">
        <f aca="false">IF(OR($M620="",$F620="",$G620=""),"",IF($H620="Разминка","Разминка",IF($F620&lt;INDEX('Программа тренировок'!$E$6:$E$25,$M620),"Ниже диапазона",IF(AND($F620&gt;=INDEX('Программа тренировок'!$F$6:$F$25,$M620),$G620&gt;=INDEX('Программа тренировок'!$L$6:$L$25,$M620)),"Верх диапазона: пора добавлять вес",IF($G620&lt;INDEX('Программа тренировок'!$L$6:$L$25,$M620),"RIR ниже цели","В диапазоне")))))</f>
        <v/>
      </c>
      <c r="M620" s="23" t="str">
        <f aca="false">IF($C620="","",IFERROR(MATCH($C620,'Программа тренировок'!$C$6:$C$25,0),""))</f>
        <v/>
      </c>
    </row>
    <row r="621" customFormat="false" ht="15" hidden="false" customHeight="true" outlineLevel="0" collapsed="false">
      <c r="A621" s="20"/>
      <c r="B621" s="21"/>
      <c r="C621" s="19"/>
      <c r="D621" s="18"/>
      <c r="E621" s="17"/>
      <c r="F621" s="18"/>
      <c r="G621" s="18"/>
      <c r="H621" s="21"/>
      <c r="I621" s="19"/>
      <c r="J621" s="8" t="str">
        <f aca="false">IF(OR(E621="",F621=""),"",E621*F621)</f>
        <v/>
      </c>
      <c r="K621" s="22" t="str">
        <f aca="false">IF($M621="","",INDEX('Программа тренировок'!$G$6:$G$25,$M621))</f>
        <v/>
      </c>
      <c r="L621" s="23" t="str">
        <f aca="false">IF(OR($M621="",$F621="",$G621=""),"",IF($H621="Разминка","Разминка",IF($F621&lt;INDEX('Программа тренировок'!$E$6:$E$25,$M621),"Ниже диапазона",IF(AND($F621&gt;=INDEX('Программа тренировок'!$F$6:$F$25,$M621),$G621&gt;=INDEX('Программа тренировок'!$L$6:$L$25,$M621)),"Верх диапазона: пора добавлять вес",IF($G621&lt;INDEX('Программа тренировок'!$L$6:$L$25,$M621),"RIR ниже цели","В диапазоне")))))</f>
        <v/>
      </c>
      <c r="M621" s="23" t="str">
        <f aca="false">IF($C621="","",IFERROR(MATCH($C621,'Программа тренировок'!$C$6:$C$25,0),""))</f>
        <v/>
      </c>
    </row>
    <row r="622" customFormat="false" ht="15" hidden="false" customHeight="true" outlineLevel="0" collapsed="false">
      <c r="A622" s="20"/>
      <c r="B622" s="21"/>
      <c r="C622" s="19"/>
      <c r="D622" s="18"/>
      <c r="E622" s="17"/>
      <c r="F622" s="18"/>
      <c r="G622" s="18"/>
      <c r="H622" s="21"/>
      <c r="I622" s="19"/>
      <c r="J622" s="8" t="str">
        <f aca="false">IF(OR(E622="",F622=""),"",E622*F622)</f>
        <v/>
      </c>
      <c r="K622" s="22" t="str">
        <f aca="false">IF($M622="","",INDEX('Программа тренировок'!$G$6:$G$25,$M622))</f>
        <v/>
      </c>
      <c r="L622" s="23" t="str">
        <f aca="false">IF(OR($M622="",$F622="",$G622=""),"",IF($H622="Разминка","Разминка",IF($F622&lt;INDEX('Программа тренировок'!$E$6:$E$25,$M622),"Ниже диапазона",IF(AND($F622&gt;=INDEX('Программа тренировок'!$F$6:$F$25,$M622),$G622&gt;=INDEX('Программа тренировок'!$L$6:$L$25,$M622)),"Верх диапазона: пора добавлять вес",IF($G622&lt;INDEX('Программа тренировок'!$L$6:$L$25,$M622),"RIR ниже цели","В диапазоне")))))</f>
        <v/>
      </c>
      <c r="M622" s="23" t="str">
        <f aca="false">IF($C622="","",IFERROR(MATCH($C622,'Программа тренировок'!$C$6:$C$25,0),""))</f>
        <v/>
      </c>
    </row>
    <row r="623" customFormat="false" ht="15" hidden="false" customHeight="true" outlineLevel="0" collapsed="false">
      <c r="A623" s="20"/>
      <c r="B623" s="21"/>
      <c r="C623" s="19"/>
      <c r="D623" s="18"/>
      <c r="E623" s="17"/>
      <c r="F623" s="18"/>
      <c r="G623" s="18"/>
      <c r="H623" s="21"/>
      <c r="I623" s="19"/>
      <c r="J623" s="8" t="str">
        <f aca="false">IF(OR(E623="",F623=""),"",E623*F623)</f>
        <v/>
      </c>
      <c r="K623" s="22" t="str">
        <f aca="false">IF($M623="","",INDEX('Программа тренировок'!$G$6:$G$25,$M623))</f>
        <v/>
      </c>
      <c r="L623" s="23" t="str">
        <f aca="false">IF(OR($M623="",$F623="",$G623=""),"",IF($H623="Разминка","Разминка",IF($F623&lt;INDEX('Программа тренировок'!$E$6:$E$25,$M623),"Ниже диапазона",IF(AND($F623&gt;=INDEX('Программа тренировок'!$F$6:$F$25,$M623),$G623&gt;=INDEX('Программа тренировок'!$L$6:$L$25,$M623)),"Верх диапазона: пора добавлять вес",IF($G623&lt;INDEX('Программа тренировок'!$L$6:$L$25,$M623),"RIR ниже цели","В диапазоне")))))</f>
        <v/>
      </c>
      <c r="M623" s="23" t="str">
        <f aca="false">IF($C623="","",IFERROR(MATCH($C623,'Программа тренировок'!$C$6:$C$25,0),""))</f>
        <v/>
      </c>
    </row>
    <row r="624" customFormat="false" ht="15" hidden="false" customHeight="true" outlineLevel="0" collapsed="false">
      <c r="A624" s="20"/>
      <c r="B624" s="21"/>
      <c r="C624" s="19"/>
      <c r="D624" s="18"/>
      <c r="E624" s="17"/>
      <c r="F624" s="18"/>
      <c r="G624" s="18"/>
      <c r="H624" s="21"/>
      <c r="I624" s="19"/>
      <c r="J624" s="8" t="str">
        <f aca="false">IF(OR(E624="",F624=""),"",E624*F624)</f>
        <v/>
      </c>
      <c r="K624" s="22" t="str">
        <f aca="false">IF($M624="","",INDEX('Программа тренировок'!$G$6:$G$25,$M624))</f>
        <v/>
      </c>
      <c r="L624" s="23" t="str">
        <f aca="false">IF(OR($M624="",$F624="",$G624=""),"",IF($H624="Разминка","Разминка",IF($F624&lt;INDEX('Программа тренировок'!$E$6:$E$25,$M624),"Ниже диапазона",IF(AND($F624&gt;=INDEX('Программа тренировок'!$F$6:$F$25,$M624),$G624&gt;=INDEX('Программа тренировок'!$L$6:$L$25,$M624)),"Верх диапазона: пора добавлять вес",IF($G624&lt;INDEX('Программа тренировок'!$L$6:$L$25,$M624),"RIR ниже цели","В диапазоне")))))</f>
        <v/>
      </c>
      <c r="M624" s="23" t="str">
        <f aca="false">IF($C624="","",IFERROR(MATCH($C624,'Программа тренировок'!$C$6:$C$25,0),""))</f>
        <v/>
      </c>
    </row>
    <row r="625" customFormat="false" ht="15" hidden="false" customHeight="true" outlineLevel="0" collapsed="false">
      <c r="A625" s="20"/>
      <c r="B625" s="21"/>
      <c r="C625" s="19"/>
      <c r="D625" s="18"/>
      <c r="E625" s="17"/>
      <c r="F625" s="18"/>
      <c r="G625" s="18"/>
      <c r="H625" s="21"/>
      <c r="I625" s="19"/>
      <c r="J625" s="8" t="str">
        <f aca="false">IF(OR(E625="",F625=""),"",E625*F625)</f>
        <v/>
      </c>
      <c r="K625" s="22" t="str">
        <f aca="false">IF($M625="","",INDEX('Программа тренировок'!$G$6:$G$25,$M625))</f>
        <v/>
      </c>
      <c r="L625" s="23" t="str">
        <f aca="false">IF(OR($M625="",$F625="",$G625=""),"",IF($H625="Разминка","Разминка",IF($F625&lt;INDEX('Программа тренировок'!$E$6:$E$25,$M625),"Ниже диапазона",IF(AND($F625&gt;=INDEX('Программа тренировок'!$F$6:$F$25,$M625),$G625&gt;=INDEX('Программа тренировок'!$L$6:$L$25,$M625)),"Верх диапазона: пора добавлять вес",IF($G625&lt;INDEX('Программа тренировок'!$L$6:$L$25,$M625),"RIR ниже цели","В диапазоне")))))</f>
        <v/>
      </c>
      <c r="M625" s="23" t="str">
        <f aca="false">IF($C625="","",IFERROR(MATCH($C625,'Программа тренировок'!$C$6:$C$25,0),""))</f>
        <v/>
      </c>
    </row>
    <row r="626" customFormat="false" ht="15" hidden="false" customHeight="true" outlineLevel="0" collapsed="false">
      <c r="A626" s="20"/>
      <c r="B626" s="21"/>
      <c r="C626" s="19"/>
      <c r="D626" s="18"/>
      <c r="E626" s="17"/>
      <c r="F626" s="18"/>
      <c r="G626" s="18"/>
      <c r="H626" s="21"/>
      <c r="I626" s="19"/>
      <c r="J626" s="8" t="str">
        <f aca="false">IF(OR(E626="",F626=""),"",E626*F626)</f>
        <v/>
      </c>
      <c r="K626" s="22" t="str">
        <f aca="false">IF($M626="","",INDEX('Программа тренировок'!$G$6:$G$25,$M626))</f>
        <v/>
      </c>
      <c r="L626" s="23" t="str">
        <f aca="false">IF(OR($M626="",$F626="",$G626=""),"",IF($H626="Разминка","Разминка",IF($F626&lt;INDEX('Программа тренировок'!$E$6:$E$25,$M626),"Ниже диапазона",IF(AND($F626&gt;=INDEX('Программа тренировок'!$F$6:$F$25,$M626),$G626&gt;=INDEX('Программа тренировок'!$L$6:$L$25,$M626)),"Верх диапазона: пора добавлять вес",IF($G626&lt;INDEX('Программа тренировок'!$L$6:$L$25,$M626),"RIR ниже цели","В диапазоне")))))</f>
        <v/>
      </c>
      <c r="M626" s="23" t="str">
        <f aca="false">IF($C626="","",IFERROR(MATCH($C626,'Программа тренировок'!$C$6:$C$25,0),""))</f>
        <v/>
      </c>
    </row>
    <row r="627" customFormat="false" ht="15" hidden="false" customHeight="true" outlineLevel="0" collapsed="false">
      <c r="A627" s="20"/>
      <c r="B627" s="21"/>
      <c r="C627" s="19"/>
      <c r="D627" s="18"/>
      <c r="E627" s="17"/>
      <c r="F627" s="18"/>
      <c r="G627" s="18"/>
      <c r="H627" s="21"/>
      <c r="I627" s="19"/>
      <c r="J627" s="8" t="str">
        <f aca="false">IF(OR(E627="",F627=""),"",E627*F627)</f>
        <v/>
      </c>
      <c r="K627" s="22" t="str">
        <f aca="false">IF($M627="","",INDEX('Программа тренировок'!$G$6:$G$25,$M627))</f>
        <v/>
      </c>
      <c r="L627" s="23" t="str">
        <f aca="false">IF(OR($M627="",$F627="",$G627=""),"",IF($H627="Разминка","Разминка",IF($F627&lt;INDEX('Программа тренировок'!$E$6:$E$25,$M627),"Ниже диапазона",IF(AND($F627&gt;=INDEX('Программа тренировок'!$F$6:$F$25,$M627),$G627&gt;=INDEX('Программа тренировок'!$L$6:$L$25,$M627)),"Верх диапазона: пора добавлять вес",IF($G627&lt;INDEX('Программа тренировок'!$L$6:$L$25,$M627),"RIR ниже цели","В диапазоне")))))</f>
        <v/>
      </c>
      <c r="M627" s="23" t="str">
        <f aca="false">IF($C627="","",IFERROR(MATCH($C627,'Программа тренировок'!$C$6:$C$25,0),""))</f>
        <v/>
      </c>
    </row>
    <row r="628" customFormat="false" ht="15" hidden="false" customHeight="true" outlineLevel="0" collapsed="false">
      <c r="A628" s="20"/>
      <c r="B628" s="21"/>
      <c r="C628" s="19"/>
      <c r="D628" s="18"/>
      <c r="E628" s="17"/>
      <c r="F628" s="18"/>
      <c r="G628" s="18"/>
      <c r="H628" s="21"/>
      <c r="I628" s="19"/>
      <c r="J628" s="8" t="str">
        <f aca="false">IF(OR(E628="",F628=""),"",E628*F628)</f>
        <v/>
      </c>
      <c r="K628" s="22" t="str">
        <f aca="false">IF($M628="","",INDEX('Программа тренировок'!$G$6:$G$25,$M628))</f>
        <v/>
      </c>
      <c r="L628" s="23" t="str">
        <f aca="false">IF(OR($M628="",$F628="",$G628=""),"",IF($H628="Разминка","Разминка",IF($F628&lt;INDEX('Программа тренировок'!$E$6:$E$25,$M628),"Ниже диапазона",IF(AND($F628&gt;=INDEX('Программа тренировок'!$F$6:$F$25,$M628),$G628&gt;=INDEX('Программа тренировок'!$L$6:$L$25,$M628)),"Верх диапазона: пора добавлять вес",IF($G628&lt;INDEX('Программа тренировок'!$L$6:$L$25,$M628),"RIR ниже цели","В диапазоне")))))</f>
        <v/>
      </c>
      <c r="M628" s="23" t="str">
        <f aca="false">IF($C628="","",IFERROR(MATCH($C628,'Программа тренировок'!$C$6:$C$25,0),""))</f>
        <v/>
      </c>
    </row>
    <row r="629" customFormat="false" ht="15" hidden="false" customHeight="true" outlineLevel="0" collapsed="false">
      <c r="A629" s="20"/>
      <c r="B629" s="21"/>
      <c r="C629" s="19"/>
      <c r="D629" s="18"/>
      <c r="E629" s="17"/>
      <c r="F629" s="18"/>
      <c r="G629" s="18"/>
      <c r="H629" s="21"/>
      <c r="I629" s="19"/>
      <c r="J629" s="8" t="str">
        <f aca="false">IF(OR(E629="",F629=""),"",E629*F629)</f>
        <v/>
      </c>
      <c r="K629" s="22" t="str">
        <f aca="false">IF($M629="","",INDEX('Программа тренировок'!$G$6:$G$25,$M629))</f>
        <v/>
      </c>
      <c r="L629" s="23" t="str">
        <f aca="false">IF(OR($M629="",$F629="",$G629=""),"",IF($H629="Разминка","Разминка",IF($F629&lt;INDEX('Программа тренировок'!$E$6:$E$25,$M629),"Ниже диапазона",IF(AND($F629&gt;=INDEX('Программа тренировок'!$F$6:$F$25,$M629),$G629&gt;=INDEX('Программа тренировок'!$L$6:$L$25,$M629)),"Верх диапазона: пора добавлять вес",IF($G629&lt;INDEX('Программа тренировок'!$L$6:$L$25,$M629),"RIR ниже цели","В диапазоне")))))</f>
        <v/>
      </c>
      <c r="M629" s="23" t="str">
        <f aca="false">IF($C629="","",IFERROR(MATCH($C629,'Программа тренировок'!$C$6:$C$25,0),""))</f>
        <v/>
      </c>
    </row>
    <row r="630" customFormat="false" ht="15" hidden="false" customHeight="true" outlineLevel="0" collapsed="false">
      <c r="A630" s="20"/>
      <c r="B630" s="21"/>
      <c r="C630" s="19"/>
      <c r="D630" s="18"/>
      <c r="E630" s="17"/>
      <c r="F630" s="18"/>
      <c r="G630" s="18"/>
      <c r="H630" s="21"/>
      <c r="I630" s="19"/>
      <c r="J630" s="8" t="str">
        <f aca="false">IF(OR(E630="",F630=""),"",E630*F630)</f>
        <v/>
      </c>
      <c r="K630" s="22" t="str">
        <f aca="false">IF($M630="","",INDEX('Программа тренировок'!$G$6:$G$25,$M630))</f>
        <v/>
      </c>
      <c r="L630" s="23" t="str">
        <f aca="false">IF(OR($M630="",$F630="",$G630=""),"",IF($H630="Разминка","Разминка",IF($F630&lt;INDEX('Программа тренировок'!$E$6:$E$25,$M630),"Ниже диапазона",IF(AND($F630&gt;=INDEX('Программа тренировок'!$F$6:$F$25,$M630),$G630&gt;=INDEX('Программа тренировок'!$L$6:$L$25,$M630)),"Верх диапазона: пора добавлять вес",IF($G630&lt;INDEX('Программа тренировок'!$L$6:$L$25,$M630),"RIR ниже цели","В диапазоне")))))</f>
        <v/>
      </c>
      <c r="M630" s="23" t="str">
        <f aca="false">IF($C630="","",IFERROR(MATCH($C630,'Программа тренировок'!$C$6:$C$25,0),""))</f>
        <v/>
      </c>
    </row>
    <row r="631" customFormat="false" ht="15" hidden="false" customHeight="true" outlineLevel="0" collapsed="false">
      <c r="A631" s="20"/>
      <c r="B631" s="21"/>
      <c r="C631" s="19"/>
      <c r="D631" s="18"/>
      <c r="E631" s="17"/>
      <c r="F631" s="18"/>
      <c r="G631" s="18"/>
      <c r="H631" s="21"/>
      <c r="I631" s="19"/>
      <c r="J631" s="8" t="str">
        <f aca="false">IF(OR(E631="",F631=""),"",E631*F631)</f>
        <v/>
      </c>
      <c r="K631" s="22" t="str">
        <f aca="false">IF($M631="","",INDEX('Программа тренировок'!$G$6:$G$25,$M631))</f>
        <v/>
      </c>
      <c r="L631" s="23" t="str">
        <f aca="false">IF(OR($M631="",$F631="",$G631=""),"",IF($H631="Разминка","Разминка",IF($F631&lt;INDEX('Программа тренировок'!$E$6:$E$25,$M631),"Ниже диапазона",IF(AND($F631&gt;=INDEX('Программа тренировок'!$F$6:$F$25,$M631),$G631&gt;=INDEX('Программа тренировок'!$L$6:$L$25,$M631)),"Верх диапазона: пора добавлять вес",IF($G631&lt;INDEX('Программа тренировок'!$L$6:$L$25,$M631),"RIR ниже цели","В диапазоне")))))</f>
        <v/>
      </c>
      <c r="M631" s="23" t="str">
        <f aca="false">IF($C631="","",IFERROR(MATCH($C631,'Программа тренировок'!$C$6:$C$25,0),""))</f>
        <v/>
      </c>
    </row>
    <row r="632" customFormat="false" ht="15" hidden="false" customHeight="true" outlineLevel="0" collapsed="false">
      <c r="A632" s="20"/>
      <c r="B632" s="21"/>
      <c r="C632" s="19"/>
      <c r="D632" s="18"/>
      <c r="E632" s="17"/>
      <c r="F632" s="18"/>
      <c r="G632" s="18"/>
      <c r="H632" s="21"/>
      <c r="I632" s="19"/>
      <c r="J632" s="8" t="str">
        <f aca="false">IF(OR(E632="",F632=""),"",E632*F632)</f>
        <v/>
      </c>
      <c r="K632" s="22" t="str">
        <f aca="false">IF($M632="","",INDEX('Программа тренировок'!$G$6:$G$25,$M632))</f>
        <v/>
      </c>
      <c r="L632" s="23" t="str">
        <f aca="false">IF(OR($M632="",$F632="",$G632=""),"",IF($H632="Разминка","Разминка",IF($F632&lt;INDEX('Программа тренировок'!$E$6:$E$25,$M632),"Ниже диапазона",IF(AND($F632&gt;=INDEX('Программа тренировок'!$F$6:$F$25,$M632),$G632&gt;=INDEX('Программа тренировок'!$L$6:$L$25,$M632)),"Верх диапазона: пора добавлять вес",IF($G632&lt;INDEX('Программа тренировок'!$L$6:$L$25,$M632),"RIR ниже цели","В диапазоне")))))</f>
        <v/>
      </c>
      <c r="M632" s="23" t="str">
        <f aca="false">IF($C632="","",IFERROR(MATCH($C632,'Программа тренировок'!$C$6:$C$25,0),""))</f>
        <v/>
      </c>
    </row>
    <row r="633" customFormat="false" ht="15" hidden="false" customHeight="true" outlineLevel="0" collapsed="false">
      <c r="A633" s="20"/>
      <c r="B633" s="21"/>
      <c r="C633" s="19"/>
      <c r="D633" s="18"/>
      <c r="E633" s="17"/>
      <c r="F633" s="18"/>
      <c r="G633" s="18"/>
      <c r="H633" s="21"/>
      <c r="I633" s="19"/>
      <c r="J633" s="8" t="str">
        <f aca="false">IF(OR(E633="",F633=""),"",E633*F633)</f>
        <v/>
      </c>
      <c r="K633" s="22" t="str">
        <f aca="false">IF($M633="","",INDEX('Программа тренировок'!$G$6:$G$25,$M633))</f>
        <v/>
      </c>
      <c r="L633" s="23" t="str">
        <f aca="false">IF(OR($M633="",$F633="",$G633=""),"",IF($H633="Разминка","Разминка",IF($F633&lt;INDEX('Программа тренировок'!$E$6:$E$25,$M633),"Ниже диапазона",IF(AND($F633&gt;=INDEX('Программа тренировок'!$F$6:$F$25,$M633),$G633&gt;=INDEX('Программа тренировок'!$L$6:$L$25,$M633)),"Верх диапазона: пора добавлять вес",IF($G633&lt;INDEX('Программа тренировок'!$L$6:$L$25,$M633),"RIR ниже цели","В диапазоне")))))</f>
        <v/>
      </c>
      <c r="M633" s="23" t="str">
        <f aca="false">IF($C633="","",IFERROR(MATCH($C633,'Программа тренировок'!$C$6:$C$25,0),""))</f>
        <v/>
      </c>
    </row>
    <row r="634" customFormat="false" ht="15" hidden="false" customHeight="true" outlineLevel="0" collapsed="false">
      <c r="A634" s="20"/>
      <c r="B634" s="21"/>
      <c r="C634" s="19"/>
      <c r="D634" s="18"/>
      <c r="E634" s="17"/>
      <c r="F634" s="18"/>
      <c r="G634" s="18"/>
      <c r="H634" s="21"/>
      <c r="I634" s="19"/>
      <c r="J634" s="8" t="str">
        <f aca="false">IF(OR(E634="",F634=""),"",E634*F634)</f>
        <v/>
      </c>
      <c r="K634" s="22" t="str">
        <f aca="false">IF($M634="","",INDEX('Программа тренировок'!$G$6:$G$25,$M634))</f>
        <v/>
      </c>
      <c r="L634" s="23" t="str">
        <f aca="false">IF(OR($M634="",$F634="",$G634=""),"",IF($H634="Разминка","Разминка",IF($F634&lt;INDEX('Программа тренировок'!$E$6:$E$25,$M634),"Ниже диапазона",IF(AND($F634&gt;=INDEX('Программа тренировок'!$F$6:$F$25,$M634),$G634&gt;=INDEX('Программа тренировок'!$L$6:$L$25,$M634)),"Верх диапазона: пора добавлять вес",IF($G634&lt;INDEX('Программа тренировок'!$L$6:$L$25,$M634),"RIR ниже цели","В диапазоне")))))</f>
        <v/>
      </c>
      <c r="M634" s="23" t="str">
        <f aca="false">IF($C634="","",IFERROR(MATCH($C634,'Программа тренировок'!$C$6:$C$25,0),""))</f>
        <v/>
      </c>
    </row>
    <row r="635" customFormat="false" ht="15" hidden="false" customHeight="true" outlineLevel="0" collapsed="false">
      <c r="A635" s="20"/>
      <c r="B635" s="21"/>
      <c r="C635" s="19"/>
      <c r="D635" s="18"/>
      <c r="E635" s="17"/>
      <c r="F635" s="18"/>
      <c r="G635" s="18"/>
      <c r="H635" s="21"/>
      <c r="I635" s="19"/>
      <c r="J635" s="8" t="str">
        <f aca="false">IF(OR(E635="",F635=""),"",E635*F635)</f>
        <v/>
      </c>
      <c r="K635" s="22" t="str">
        <f aca="false">IF($M635="","",INDEX('Программа тренировок'!$G$6:$G$25,$M635))</f>
        <v/>
      </c>
      <c r="L635" s="23" t="str">
        <f aca="false">IF(OR($M635="",$F635="",$G635=""),"",IF($H635="Разминка","Разминка",IF($F635&lt;INDEX('Программа тренировок'!$E$6:$E$25,$M635),"Ниже диапазона",IF(AND($F635&gt;=INDEX('Программа тренировок'!$F$6:$F$25,$M635),$G635&gt;=INDEX('Программа тренировок'!$L$6:$L$25,$M635)),"Верх диапазона: пора добавлять вес",IF($G635&lt;INDEX('Программа тренировок'!$L$6:$L$25,$M635),"RIR ниже цели","В диапазоне")))))</f>
        <v/>
      </c>
      <c r="M635" s="23" t="str">
        <f aca="false">IF($C635="","",IFERROR(MATCH($C635,'Программа тренировок'!$C$6:$C$25,0),""))</f>
        <v/>
      </c>
    </row>
    <row r="636" customFormat="false" ht="15" hidden="false" customHeight="true" outlineLevel="0" collapsed="false">
      <c r="A636" s="20"/>
      <c r="B636" s="21"/>
      <c r="C636" s="19"/>
      <c r="D636" s="18"/>
      <c r="E636" s="17"/>
      <c r="F636" s="18"/>
      <c r="G636" s="18"/>
      <c r="H636" s="21"/>
      <c r="I636" s="19"/>
      <c r="J636" s="8" t="str">
        <f aca="false">IF(OR(E636="",F636=""),"",E636*F636)</f>
        <v/>
      </c>
      <c r="K636" s="22" t="str">
        <f aca="false">IF($M636="","",INDEX('Программа тренировок'!$G$6:$G$25,$M636))</f>
        <v/>
      </c>
      <c r="L636" s="23" t="str">
        <f aca="false">IF(OR($M636="",$F636="",$G636=""),"",IF($H636="Разминка","Разминка",IF($F636&lt;INDEX('Программа тренировок'!$E$6:$E$25,$M636),"Ниже диапазона",IF(AND($F636&gt;=INDEX('Программа тренировок'!$F$6:$F$25,$M636),$G636&gt;=INDEX('Программа тренировок'!$L$6:$L$25,$M636)),"Верх диапазона: пора добавлять вес",IF($G636&lt;INDEX('Программа тренировок'!$L$6:$L$25,$M636),"RIR ниже цели","В диапазоне")))))</f>
        <v/>
      </c>
      <c r="M636" s="23" t="str">
        <f aca="false">IF($C636="","",IFERROR(MATCH($C636,'Программа тренировок'!$C$6:$C$25,0),""))</f>
        <v/>
      </c>
    </row>
    <row r="637" customFormat="false" ht="15" hidden="false" customHeight="true" outlineLevel="0" collapsed="false">
      <c r="A637" s="20"/>
      <c r="B637" s="21"/>
      <c r="C637" s="19"/>
      <c r="D637" s="18"/>
      <c r="E637" s="17"/>
      <c r="F637" s="18"/>
      <c r="G637" s="18"/>
      <c r="H637" s="21"/>
      <c r="I637" s="19"/>
      <c r="J637" s="8" t="str">
        <f aca="false">IF(OR(E637="",F637=""),"",E637*F637)</f>
        <v/>
      </c>
      <c r="K637" s="22" t="str">
        <f aca="false">IF($M637="","",INDEX('Программа тренировок'!$G$6:$G$25,$M637))</f>
        <v/>
      </c>
      <c r="L637" s="23" t="str">
        <f aca="false">IF(OR($M637="",$F637="",$G637=""),"",IF($H637="Разминка","Разминка",IF($F637&lt;INDEX('Программа тренировок'!$E$6:$E$25,$M637),"Ниже диапазона",IF(AND($F637&gt;=INDEX('Программа тренировок'!$F$6:$F$25,$M637),$G637&gt;=INDEX('Программа тренировок'!$L$6:$L$25,$M637)),"Верх диапазона: пора добавлять вес",IF($G637&lt;INDEX('Программа тренировок'!$L$6:$L$25,$M637),"RIR ниже цели","В диапазоне")))))</f>
        <v/>
      </c>
      <c r="M637" s="23" t="str">
        <f aca="false">IF($C637="","",IFERROR(MATCH($C637,'Программа тренировок'!$C$6:$C$25,0),""))</f>
        <v/>
      </c>
    </row>
    <row r="638" customFormat="false" ht="15" hidden="false" customHeight="true" outlineLevel="0" collapsed="false">
      <c r="A638" s="20"/>
      <c r="B638" s="21"/>
      <c r="C638" s="19"/>
      <c r="D638" s="18"/>
      <c r="E638" s="17"/>
      <c r="F638" s="18"/>
      <c r="G638" s="18"/>
      <c r="H638" s="21"/>
      <c r="I638" s="19"/>
      <c r="J638" s="8" t="str">
        <f aca="false">IF(OR(E638="",F638=""),"",E638*F638)</f>
        <v/>
      </c>
      <c r="K638" s="22" t="str">
        <f aca="false">IF($M638="","",INDEX('Программа тренировок'!$G$6:$G$25,$M638))</f>
        <v/>
      </c>
      <c r="L638" s="23" t="str">
        <f aca="false">IF(OR($M638="",$F638="",$G638=""),"",IF($H638="Разминка","Разминка",IF($F638&lt;INDEX('Программа тренировок'!$E$6:$E$25,$M638),"Ниже диапазона",IF(AND($F638&gt;=INDEX('Программа тренировок'!$F$6:$F$25,$M638),$G638&gt;=INDEX('Программа тренировок'!$L$6:$L$25,$M638)),"Верх диапазона: пора добавлять вес",IF($G638&lt;INDEX('Программа тренировок'!$L$6:$L$25,$M638),"RIR ниже цели","В диапазоне")))))</f>
        <v/>
      </c>
      <c r="M638" s="23" t="str">
        <f aca="false">IF($C638="","",IFERROR(MATCH($C638,'Программа тренировок'!$C$6:$C$25,0),""))</f>
        <v/>
      </c>
    </row>
    <row r="639" customFormat="false" ht="15" hidden="false" customHeight="true" outlineLevel="0" collapsed="false">
      <c r="A639" s="20"/>
      <c r="B639" s="21"/>
      <c r="C639" s="19"/>
      <c r="D639" s="18"/>
      <c r="E639" s="17"/>
      <c r="F639" s="18"/>
      <c r="G639" s="18"/>
      <c r="H639" s="21"/>
      <c r="I639" s="19"/>
      <c r="J639" s="8" t="str">
        <f aca="false">IF(OR(E639="",F639=""),"",E639*F639)</f>
        <v/>
      </c>
      <c r="K639" s="22" t="str">
        <f aca="false">IF($M639="","",INDEX('Программа тренировок'!$G$6:$G$25,$M639))</f>
        <v/>
      </c>
      <c r="L639" s="23" t="str">
        <f aca="false">IF(OR($M639="",$F639="",$G639=""),"",IF($H639="Разминка","Разминка",IF($F639&lt;INDEX('Программа тренировок'!$E$6:$E$25,$M639),"Ниже диапазона",IF(AND($F639&gt;=INDEX('Программа тренировок'!$F$6:$F$25,$M639),$G639&gt;=INDEX('Программа тренировок'!$L$6:$L$25,$M639)),"Верх диапазона: пора добавлять вес",IF($G639&lt;INDEX('Программа тренировок'!$L$6:$L$25,$M639),"RIR ниже цели","В диапазоне")))))</f>
        <v/>
      </c>
      <c r="M639" s="23" t="str">
        <f aca="false">IF($C639="","",IFERROR(MATCH($C639,'Программа тренировок'!$C$6:$C$25,0),""))</f>
        <v/>
      </c>
    </row>
    <row r="640" customFormat="false" ht="15" hidden="false" customHeight="true" outlineLevel="0" collapsed="false">
      <c r="A640" s="20"/>
      <c r="B640" s="21"/>
      <c r="C640" s="19"/>
      <c r="D640" s="18"/>
      <c r="E640" s="17"/>
      <c r="F640" s="18"/>
      <c r="G640" s="18"/>
      <c r="H640" s="21"/>
      <c r="I640" s="19"/>
      <c r="J640" s="8" t="str">
        <f aca="false">IF(OR(E640="",F640=""),"",E640*F640)</f>
        <v/>
      </c>
      <c r="K640" s="22" t="str">
        <f aca="false">IF($M640="","",INDEX('Программа тренировок'!$G$6:$G$25,$M640))</f>
        <v/>
      </c>
      <c r="L640" s="23" t="str">
        <f aca="false">IF(OR($M640="",$F640="",$G640=""),"",IF($H640="Разминка","Разминка",IF($F640&lt;INDEX('Программа тренировок'!$E$6:$E$25,$M640),"Ниже диапазона",IF(AND($F640&gt;=INDEX('Программа тренировок'!$F$6:$F$25,$M640),$G640&gt;=INDEX('Программа тренировок'!$L$6:$L$25,$M640)),"Верх диапазона: пора добавлять вес",IF($G640&lt;INDEX('Программа тренировок'!$L$6:$L$25,$M640),"RIR ниже цели","В диапазоне")))))</f>
        <v/>
      </c>
      <c r="M640" s="23" t="str">
        <f aca="false">IF($C640="","",IFERROR(MATCH($C640,'Программа тренировок'!$C$6:$C$25,0),""))</f>
        <v/>
      </c>
    </row>
    <row r="641" customFormat="false" ht="15" hidden="false" customHeight="true" outlineLevel="0" collapsed="false">
      <c r="A641" s="20"/>
      <c r="B641" s="21"/>
      <c r="C641" s="19"/>
      <c r="D641" s="18"/>
      <c r="E641" s="17"/>
      <c r="F641" s="18"/>
      <c r="G641" s="18"/>
      <c r="H641" s="21"/>
      <c r="I641" s="19"/>
      <c r="J641" s="8" t="str">
        <f aca="false">IF(OR(E641="",F641=""),"",E641*F641)</f>
        <v/>
      </c>
      <c r="K641" s="22" t="str">
        <f aca="false">IF($M641="","",INDEX('Программа тренировок'!$G$6:$G$25,$M641))</f>
        <v/>
      </c>
      <c r="L641" s="23" t="str">
        <f aca="false">IF(OR($M641="",$F641="",$G641=""),"",IF($H641="Разминка","Разминка",IF($F641&lt;INDEX('Программа тренировок'!$E$6:$E$25,$M641),"Ниже диапазона",IF(AND($F641&gt;=INDEX('Программа тренировок'!$F$6:$F$25,$M641),$G641&gt;=INDEX('Программа тренировок'!$L$6:$L$25,$M641)),"Верх диапазона: пора добавлять вес",IF($G641&lt;INDEX('Программа тренировок'!$L$6:$L$25,$M641),"RIR ниже цели","В диапазоне")))))</f>
        <v/>
      </c>
      <c r="M641" s="23" t="str">
        <f aca="false">IF($C641="","",IFERROR(MATCH($C641,'Программа тренировок'!$C$6:$C$25,0),""))</f>
        <v/>
      </c>
    </row>
    <row r="642" customFormat="false" ht="15" hidden="false" customHeight="true" outlineLevel="0" collapsed="false">
      <c r="A642" s="20"/>
      <c r="B642" s="21"/>
      <c r="C642" s="19"/>
      <c r="D642" s="18"/>
      <c r="E642" s="17"/>
      <c r="F642" s="18"/>
      <c r="G642" s="18"/>
      <c r="H642" s="21"/>
      <c r="I642" s="19"/>
      <c r="J642" s="8" t="str">
        <f aca="false">IF(OR(E642="",F642=""),"",E642*F642)</f>
        <v/>
      </c>
      <c r="K642" s="22" t="str">
        <f aca="false">IF($M642="","",INDEX('Программа тренировок'!$G$6:$G$25,$M642))</f>
        <v/>
      </c>
      <c r="L642" s="23" t="str">
        <f aca="false">IF(OR($M642="",$F642="",$G642=""),"",IF($H642="Разминка","Разминка",IF($F642&lt;INDEX('Программа тренировок'!$E$6:$E$25,$M642),"Ниже диапазона",IF(AND($F642&gt;=INDEX('Программа тренировок'!$F$6:$F$25,$M642),$G642&gt;=INDEX('Программа тренировок'!$L$6:$L$25,$M642)),"Верх диапазона: пора добавлять вес",IF($G642&lt;INDEX('Программа тренировок'!$L$6:$L$25,$M642),"RIR ниже цели","В диапазоне")))))</f>
        <v/>
      </c>
      <c r="M642" s="23" t="str">
        <f aca="false">IF($C642="","",IFERROR(MATCH($C642,'Программа тренировок'!$C$6:$C$25,0),""))</f>
        <v/>
      </c>
    </row>
    <row r="643" customFormat="false" ht="15" hidden="false" customHeight="true" outlineLevel="0" collapsed="false">
      <c r="A643" s="20"/>
      <c r="B643" s="21"/>
      <c r="C643" s="19"/>
      <c r="D643" s="18"/>
      <c r="E643" s="17"/>
      <c r="F643" s="18"/>
      <c r="G643" s="18"/>
      <c r="H643" s="21"/>
      <c r="I643" s="19"/>
      <c r="J643" s="8" t="str">
        <f aca="false">IF(OR(E643="",F643=""),"",E643*F643)</f>
        <v/>
      </c>
      <c r="K643" s="22" t="str">
        <f aca="false">IF($M643="","",INDEX('Программа тренировок'!$G$6:$G$25,$M643))</f>
        <v/>
      </c>
      <c r="L643" s="23" t="str">
        <f aca="false">IF(OR($M643="",$F643="",$G643=""),"",IF($H643="Разминка","Разминка",IF($F643&lt;INDEX('Программа тренировок'!$E$6:$E$25,$M643),"Ниже диапазона",IF(AND($F643&gt;=INDEX('Программа тренировок'!$F$6:$F$25,$M643),$G643&gt;=INDEX('Программа тренировок'!$L$6:$L$25,$M643)),"Верх диапазона: пора добавлять вес",IF($G643&lt;INDEX('Программа тренировок'!$L$6:$L$25,$M643),"RIR ниже цели","В диапазоне")))))</f>
        <v/>
      </c>
      <c r="M643" s="23" t="str">
        <f aca="false">IF($C643="","",IFERROR(MATCH($C643,'Программа тренировок'!$C$6:$C$25,0),""))</f>
        <v/>
      </c>
    </row>
    <row r="644" customFormat="false" ht="15" hidden="false" customHeight="true" outlineLevel="0" collapsed="false">
      <c r="A644" s="20"/>
      <c r="B644" s="21"/>
      <c r="C644" s="19"/>
      <c r="D644" s="18"/>
      <c r="E644" s="17"/>
      <c r="F644" s="18"/>
      <c r="G644" s="18"/>
      <c r="H644" s="21"/>
      <c r="I644" s="19"/>
      <c r="J644" s="8" t="str">
        <f aca="false">IF(OR(E644="",F644=""),"",E644*F644)</f>
        <v/>
      </c>
      <c r="K644" s="22" t="str">
        <f aca="false">IF($M644="","",INDEX('Программа тренировок'!$G$6:$G$25,$M644))</f>
        <v/>
      </c>
      <c r="L644" s="23" t="str">
        <f aca="false">IF(OR($M644="",$F644="",$G644=""),"",IF($H644="Разминка","Разминка",IF($F644&lt;INDEX('Программа тренировок'!$E$6:$E$25,$M644),"Ниже диапазона",IF(AND($F644&gt;=INDEX('Программа тренировок'!$F$6:$F$25,$M644),$G644&gt;=INDEX('Программа тренировок'!$L$6:$L$25,$M644)),"Верх диапазона: пора добавлять вес",IF($G644&lt;INDEX('Программа тренировок'!$L$6:$L$25,$M644),"RIR ниже цели","В диапазоне")))))</f>
        <v/>
      </c>
      <c r="M644" s="23" t="str">
        <f aca="false">IF($C644="","",IFERROR(MATCH($C644,'Программа тренировок'!$C$6:$C$25,0),""))</f>
        <v/>
      </c>
    </row>
    <row r="645" customFormat="false" ht="15" hidden="false" customHeight="true" outlineLevel="0" collapsed="false">
      <c r="A645" s="20"/>
      <c r="B645" s="21"/>
      <c r="C645" s="19"/>
      <c r="D645" s="18"/>
      <c r="E645" s="17"/>
      <c r="F645" s="18"/>
      <c r="G645" s="18"/>
      <c r="H645" s="21"/>
      <c r="I645" s="19"/>
      <c r="J645" s="8" t="str">
        <f aca="false">IF(OR(E645="",F645=""),"",E645*F645)</f>
        <v/>
      </c>
      <c r="K645" s="22" t="str">
        <f aca="false">IF($M645="","",INDEX('Программа тренировок'!$G$6:$G$25,$M645))</f>
        <v/>
      </c>
      <c r="L645" s="23" t="str">
        <f aca="false">IF(OR($M645="",$F645="",$G645=""),"",IF($H645="Разминка","Разминка",IF($F645&lt;INDEX('Программа тренировок'!$E$6:$E$25,$M645),"Ниже диапазона",IF(AND($F645&gt;=INDEX('Программа тренировок'!$F$6:$F$25,$M645),$G645&gt;=INDEX('Программа тренировок'!$L$6:$L$25,$M645)),"Верх диапазона: пора добавлять вес",IF($G645&lt;INDEX('Программа тренировок'!$L$6:$L$25,$M645),"RIR ниже цели","В диапазоне")))))</f>
        <v/>
      </c>
      <c r="M645" s="23" t="str">
        <f aca="false">IF($C645="","",IFERROR(MATCH($C645,'Программа тренировок'!$C$6:$C$25,0),""))</f>
        <v/>
      </c>
    </row>
    <row r="646" customFormat="false" ht="15" hidden="false" customHeight="true" outlineLevel="0" collapsed="false">
      <c r="A646" s="20"/>
      <c r="B646" s="21"/>
      <c r="C646" s="19"/>
      <c r="D646" s="18"/>
      <c r="E646" s="17"/>
      <c r="F646" s="18"/>
      <c r="G646" s="18"/>
      <c r="H646" s="21"/>
      <c r="I646" s="19"/>
      <c r="J646" s="8" t="str">
        <f aca="false">IF(OR(E646="",F646=""),"",E646*F646)</f>
        <v/>
      </c>
      <c r="K646" s="22" t="str">
        <f aca="false">IF($M646="","",INDEX('Программа тренировок'!$G$6:$G$25,$M646))</f>
        <v/>
      </c>
      <c r="L646" s="23" t="str">
        <f aca="false">IF(OR($M646="",$F646="",$G646=""),"",IF($H646="Разминка","Разминка",IF($F646&lt;INDEX('Программа тренировок'!$E$6:$E$25,$M646),"Ниже диапазона",IF(AND($F646&gt;=INDEX('Программа тренировок'!$F$6:$F$25,$M646),$G646&gt;=INDEX('Программа тренировок'!$L$6:$L$25,$M646)),"Верх диапазона: пора добавлять вес",IF($G646&lt;INDEX('Программа тренировок'!$L$6:$L$25,$M646),"RIR ниже цели","В диапазоне")))))</f>
        <v/>
      </c>
      <c r="M646" s="23" t="str">
        <f aca="false">IF($C646="","",IFERROR(MATCH($C646,'Программа тренировок'!$C$6:$C$25,0),""))</f>
        <v/>
      </c>
    </row>
    <row r="647" customFormat="false" ht="15" hidden="false" customHeight="true" outlineLevel="0" collapsed="false">
      <c r="A647" s="20"/>
      <c r="B647" s="21"/>
      <c r="C647" s="19"/>
      <c r="D647" s="18"/>
      <c r="E647" s="17"/>
      <c r="F647" s="18"/>
      <c r="G647" s="18"/>
      <c r="H647" s="21"/>
      <c r="I647" s="19"/>
      <c r="J647" s="8" t="str">
        <f aca="false">IF(OR(E647="",F647=""),"",E647*F647)</f>
        <v/>
      </c>
      <c r="K647" s="22" t="str">
        <f aca="false">IF($M647="","",INDEX('Программа тренировок'!$G$6:$G$25,$M647))</f>
        <v/>
      </c>
      <c r="L647" s="23" t="str">
        <f aca="false">IF(OR($M647="",$F647="",$G647=""),"",IF($H647="Разминка","Разминка",IF($F647&lt;INDEX('Программа тренировок'!$E$6:$E$25,$M647),"Ниже диапазона",IF(AND($F647&gt;=INDEX('Программа тренировок'!$F$6:$F$25,$M647),$G647&gt;=INDEX('Программа тренировок'!$L$6:$L$25,$M647)),"Верх диапазона: пора добавлять вес",IF($G647&lt;INDEX('Программа тренировок'!$L$6:$L$25,$M647),"RIR ниже цели","В диапазоне")))))</f>
        <v/>
      </c>
      <c r="M647" s="23" t="str">
        <f aca="false">IF($C647="","",IFERROR(MATCH($C647,'Программа тренировок'!$C$6:$C$25,0),""))</f>
        <v/>
      </c>
    </row>
    <row r="648" customFormat="false" ht="15" hidden="false" customHeight="true" outlineLevel="0" collapsed="false">
      <c r="A648" s="20"/>
      <c r="B648" s="21"/>
      <c r="C648" s="19"/>
      <c r="D648" s="18"/>
      <c r="E648" s="17"/>
      <c r="F648" s="18"/>
      <c r="G648" s="18"/>
      <c r="H648" s="21"/>
      <c r="I648" s="19"/>
      <c r="J648" s="8" t="str">
        <f aca="false">IF(OR(E648="",F648=""),"",E648*F648)</f>
        <v/>
      </c>
      <c r="K648" s="22" t="str">
        <f aca="false">IF($M648="","",INDEX('Программа тренировок'!$G$6:$G$25,$M648))</f>
        <v/>
      </c>
      <c r="L648" s="23" t="str">
        <f aca="false">IF(OR($M648="",$F648="",$G648=""),"",IF($H648="Разминка","Разминка",IF($F648&lt;INDEX('Программа тренировок'!$E$6:$E$25,$M648),"Ниже диапазона",IF(AND($F648&gt;=INDEX('Программа тренировок'!$F$6:$F$25,$M648),$G648&gt;=INDEX('Программа тренировок'!$L$6:$L$25,$M648)),"Верх диапазона: пора добавлять вес",IF($G648&lt;INDEX('Программа тренировок'!$L$6:$L$25,$M648),"RIR ниже цели","В диапазоне")))))</f>
        <v/>
      </c>
      <c r="M648" s="23" t="str">
        <f aca="false">IF($C648="","",IFERROR(MATCH($C648,'Программа тренировок'!$C$6:$C$25,0),""))</f>
        <v/>
      </c>
    </row>
    <row r="649" customFormat="false" ht="15" hidden="false" customHeight="true" outlineLevel="0" collapsed="false">
      <c r="A649" s="20"/>
      <c r="B649" s="21"/>
      <c r="C649" s="19"/>
      <c r="D649" s="18"/>
      <c r="E649" s="17"/>
      <c r="F649" s="18"/>
      <c r="G649" s="18"/>
      <c r="H649" s="21"/>
      <c r="I649" s="19"/>
      <c r="J649" s="8" t="str">
        <f aca="false">IF(OR(E649="",F649=""),"",E649*F649)</f>
        <v/>
      </c>
      <c r="K649" s="22" t="str">
        <f aca="false">IF($M649="","",INDEX('Программа тренировок'!$G$6:$G$25,$M649))</f>
        <v/>
      </c>
      <c r="L649" s="23" t="str">
        <f aca="false">IF(OR($M649="",$F649="",$G649=""),"",IF($H649="Разминка","Разминка",IF($F649&lt;INDEX('Программа тренировок'!$E$6:$E$25,$M649),"Ниже диапазона",IF(AND($F649&gt;=INDEX('Программа тренировок'!$F$6:$F$25,$M649),$G649&gt;=INDEX('Программа тренировок'!$L$6:$L$25,$M649)),"Верх диапазона: пора добавлять вес",IF($G649&lt;INDEX('Программа тренировок'!$L$6:$L$25,$M649),"RIR ниже цели","В диапазоне")))))</f>
        <v/>
      </c>
      <c r="M649" s="23" t="str">
        <f aca="false">IF($C649="","",IFERROR(MATCH($C649,'Программа тренировок'!$C$6:$C$25,0),""))</f>
        <v/>
      </c>
    </row>
    <row r="650" customFormat="false" ht="15" hidden="false" customHeight="true" outlineLevel="0" collapsed="false">
      <c r="A650" s="20"/>
      <c r="B650" s="21"/>
      <c r="C650" s="19"/>
      <c r="D650" s="18"/>
      <c r="E650" s="17"/>
      <c r="F650" s="18"/>
      <c r="G650" s="18"/>
      <c r="H650" s="21"/>
      <c r="I650" s="19"/>
      <c r="J650" s="8" t="str">
        <f aca="false">IF(OR(E650="",F650=""),"",E650*F650)</f>
        <v/>
      </c>
      <c r="K650" s="22" t="str">
        <f aca="false">IF($M650="","",INDEX('Программа тренировок'!$G$6:$G$25,$M650))</f>
        <v/>
      </c>
      <c r="L650" s="23" t="str">
        <f aca="false">IF(OR($M650="",$F650="",$G650=""),"",IF($H650="Разминка","Разминка",IF($F650&lt;INDEX('Программа тренировок'!$E$6:$E$25,$M650),"Ниже диапазона",IF(AND($F650&gt;=INDEX('Программа тренировок'!$F$6:$F$25,$M650),$G650&gt;=INDEX('Программа тренировок'!$L$6:$L$25,$M650)),"Верх диапазона: пора добавлять вес",IF($G650&lt;INDEX('Программа тренировок'!$L$6:$L$25,$M650),"RIR ниже цели","В диапазоне")))))</f>
        <v/>
      </c>
      <c r="M650" s="23" t="str">
        <f aca="false">IF($C650="","",IFERROR(MATCH($C650,'Программа тренировок'!$C$6:$C$25,0),""))</f>
        <v/>
      </c>
    </row>
    <row r="651" customFormat="false" ht="15" hidden="false" customHeight="true" outlineLevel="0" collapsed="false">
      <c r="A651" s="20"/>
      <c r="B651" s="21"/>
      <c r="C651" s="19"/>
      <c r="D651" s="18"/>
      <c r="E651" s="17"/>
      <c r="F651" s="18"/>
      <c r="G651" s="18"/>
      <c r="H651" s="21"/>
      <c r="I651" s="19"/>
      <c r="J651" s="8" t="str">
        <f aca="false">IF(OR(E651="",F651=""),"",E651*F651)</f>
        <v/>
      </c>
      <c r="K651" s="22" t="str">
        <f aca="false">IF($M651="","",INDEX('Программа тренировок'!$G$6:$G$25,$M651))</f>
        <v/>
      </c>
      <c r="L651" s="23" t="str">
        <f aca="false">IF(OR($M651="",$F651="",$G651=""),"",IF($H651="Разминка","Разминка",IF($F651&lt;INDEX('Программа тренировок'!$E$6:$E$25,$M651),"Ниже диапазона",IF(AND($F651&gt;=INDEX('Программа тренировок'!$F$6:$F$25,$M651),$G651&gt;=INDEX('Программа тренировок'!$L$6:$L$25,$M651)),"Верх диапазона: пора добавлять вес",IF($G651&lt;INDEX('Программа тренировок'!$L$6:$L$25,$M651),"RIR ниже цели","В диапазоне")))))</f>
        <v/>
      </c>
      <c r="M651" s="23" t="str">
        <f aca="false">IF($C651="","",IFERROR(MATCH($C651,'Программа тренировок'!$C$6:$C$25,0),""))</f>
        <v/>
      </c>
    </row>
    <row r="652" customFormat="false" ht="15" hidden="false" customHeight="true" outlineLevel="0" collapsed="false">
      <c r="A652" s="20"/>
      <c r="B652" s="21"/>
      <c r="C652" s="19"/>
      <c r="D652" s="18"/>
      <c r="E652" s="17"/>
      <c r="F652" s="18"/>
      <c r="G652" s="18"/>
      <c r="H652" s="21"/>
      <c r="I652" s="19"/>
      <c r="J652" s="8" t="str">
        <f aca="false">IF(OR(E652="",F652=""),"",E652*F652)</f>
        <v/>
      </c>
      <c r="K652" s="22" t="str">
        <f aca="false">IF($M652="","",INDEX('Программа тренировок'!$G$6:$G$25,$M652))</f>
        <v/>
      </c>
      <c r="L652" s="23" t="str">
        <f aca="false">IF(OR($M652="",$F652="",$G652=""),"",IF($H652="Разминка","Разминка",IF($F652&lt;INDEX('Программа тренировок'!$E$6:$E$25,$M652),"Ниже диапазона",IF(AND($F652&gt;=INDEX('Программа тренировок'!$F$6:$F$25,$M652),$G652&gt;=INDEX('Программа тренировок'!$L$6:$L$25,$M652)),"Верх диапазона: пора добавлять вес",IF($G652&lt;INDEX('Программа тренировок'!$L$6:$L$25,$M652),"RIR ниже цели","В диапазоне")))))</f>
        <v/>
      </c>
      <c r="M652" s="23" t="str">
        <f aca="false">IF($C652="","",IFERROR(MATCH($C652,'Программа тренировок'!$C$6:$C$25,0),""))</f>
        <v/>
      </c>
    </row>
    <row r="653" customFormat="false" ht="15" hidden="false" customHeight="true" outlineLevel="0" collapsed="false">
      <c r="A653" s="20"/>
      <c r="B653" s="21"/>
      <c r="C653" s="19"/>
      <c r="D653" s="18"/>
      <c r="E653" s="17"/>
      <c r="F653" s="18"/>
      <c r="G653" s="18"/>
      <c r="H653" s="21"/>
      <c r="I653" s="19"/>
      <c r="J653" s="8" t="str">
        <f aca="false">IF(OR(E653="",F653=""),"",E653*F653)</f>
        <v/>
      </c>
      <c r="K653" s="22" t="str">
        <f aca="false">IF($M653="","",INDEX('Программа тренировок'!$G$6:$G$25,$M653))</f>
        <v/>
      </c>
      <c r="L653" s="23" t="str">
        <f aca="false">IF(OR($M653="",$F653="",$G653=""),"",IF($H653="Разминка","Разминка",IF($F653&lt;INDEX('Программа тренировок'!$E$6:$E$25,$M653),"Ниже диапазона",IF(AND($F653&gt;=INDEX('Программа тренировок'!$F$6:$F$25,$M653),$G653&gt;=INDEX('Программа тренировок'!$L$6:$L$25,$M653)),"Верх диапазона: пора добавлять вес",IF($G653&lt;INDEX('Программа тренировок'!$L$6:$L$25,$M653),"RIR ниже цели","В диапазоне")))))</f>
        <v/>
      </c>
      <c r="M653" s="23" t="str">
        <f aca="false">IF($C653="","",IFERROR(MATCH($C653,'Программа тренировок'!$C$6:$C$25,0),""))</f>
        <v/>
      </c>
    </row>
    <row r="654" customFormat="false" ht="15" hidden="false" customHeight="true" outlineLevel="0" collapsed="false">
      <c r="A654" s="20"/>
      <c r="B654" s="21"/>
      <c r="C654" s="19"/>
      <c r="D654" s="18"/>
      <c r="E654" s="17"/>
      <c r="F654" s="18"/>
      <c r="G654" s="18"/>
      <c r="H654" s="21"/>
      <c r="I654" s="19"/>
      <c r="J654" s="8" t="str">
        <f aca="false">IF(OR(E654="",F654=""),"",E654*F654)</f>
        <v/>
      </c>
      <c r="K654" s="22" t="str">
        <f aca="false">IF($M654="","",INDEX('Программа тренировок'!$G$6:$G$25,$M654))</f>
        <v/>
      </c>
      <c r="L654" s="23" t="str">
        <f aca="false">IF(OR($M654="",$F654="",$G654=""),"",IF($H654="Разминка","Разминка",IF($F654&lt;INDEX('Программа тренировок'!$E$6:$E$25,$M654),"Ниже диапазона",IF(AND($F654&gt;=INDEX('Программа тренировок'!$F$6:$F$25,$M654),$G654&gt;=INDEX('Программа тренировок'!$L$6:$L$25,$M654)),"Верх диапазона: пора добавлять вес",IF($G654&lt;INDEX('Программа тренировок'!$L$6:$L$25,$M654),"RIR ниже цели","В диапазоне")))))</f>
        <v/>
      </c>
      <c r="M654" s="23" t="str">
        <f aca="false">IF($C654="","",IFERROR(MATCH($C654,'Программа тренировок'!$C$6:$C$25,0),""))</f>
        <v/>
      </c>
    </row>
    <row r="655" customFormat="false" ht="15" hidden="false" customHeight="true" outlineLevel="0" collapsed="false">
      <c r="A655" s="20"/>
      <c r="B655" s="21"/>
      <c r="C655" s="19"/>
      <c r="D655" s="18"/>
      <c r="E655" s="17"/>
      <c r="F655" s="18"/>
      <c r="G655" s="18"/>
      <c r="H655" s="21"/>
      <c r="I655" s="19"/>
      <c r="J655" s="8" t="str">
        <f aca="false">IF(OR(E655="",F655=""),"",E655*F655)</f>
        <v/>
      </c>
      <c r="K655" s="22" t="str">
        <f aca="false">IF($M655="","",INDEX('Программа тренировок'!$G$6:$G$25,$M655))</f>
        <v/>
      </c>
      <c r="L655" s="23" t="str">
        <f aca="false">IF(OR($M655="",$F655="",$G655=""),"",IF($H655="Разминка","Разминка",IF($F655&lt;INDEX('Программа тренировок'!$E$6:$E$25,$M655),"Ниже диапазона",IF(AND($F655&gt;=INDEX('Программа тренировок'!$F$6:$F$25,$M655),$G655&gt;=INDEX('Программа тренировок'!$L$6:$L$25,$M655)),"Верх диапазона: пора добавлять вес",IF($G655&lt;INDEX('Программа тренировок'!$L$6:$L$25,$M655),"RIR ниже цели","В диапазоне")))))</f>
        <v/>
      </c>
      <c r="M655" s="23" t="str">
        <f aca="false">IF($C655="","",IFERROR(MATCH($C655,'Программа тренировок'!$C$6:$C$25,0),""))</f>
        <v/>
      </c>
    </row>
    <row r="656" customFormat="false" ht="15" hidden="false" customHeight="true" outlineLevel="0" collapsed="false">
      <c r="A656" s="20"/>
      <c r="B656" s="21"/>
      <c r="C656" s="19"/>
      <c r="D656" s="18"/>
      <c r="E656" s="17"/>
      <c r="F656" s="18"/>
      <c r="G656" s="18"/>
      <c r="H656" s="21"/>
      <c r="I656" s="19"/>
      <c r="J656" s="8" t="str">
        <f aca="false">IF(OR(E656="",F656=""),"",E656*F656)</f>
        <v/>
      </c>
      <c r="K656" s="22" t="str">
        <f aca="false">IF($M656="","",INDEX('Программа тренировок'!$G$6:$G$25,$M656))</f>
        <v/>
      </c>
      <c r="L656" s="23" t="str">
        <f aca="false">IF(OR($M656="",$F656="",$G656=""),"",IF($H656="Разминка","Разминка",IF($F656&lt;INDEX('Программа тренировок'!$E$6:$E$25,$M656),"Ниже диапазона",IF(AND($F656&gt;=INDEX('Программа тренировок'!$F$6:$F$25,$M656),$G656&gt;=INDEX('Программа тренировок'!$L$6:$L$25,$M656)),"Верх диапазона: пора добавлять вес",IF($G656&lt;INDEX('Программа тренировок'!$L$6:$L$25,$M656),"RIR ниже цели","В диапазоне")))))</f>
        <v/>
      </c>
      <c r="M656" s="23" t="str">
        <f aca="false">IF($C656="","",IFERROR(MATCH($C656,'Программа тренировок'!$C$6:$C$25,0),""))</f>
        <v/>
      </c>
    </row>
    <row r="657" customFormat="false" ht="15" hidden="false" customHeight="true" outlineLevel="0" collapsed="false">
      <c r="A657" s="20"/>
      <c r="B657" s="21"/>
      <c r="C657" s="19"/>
      <c r="D657" s="18"/>
      <c r="E657" s="17"/>
      <c r="F657" s="18"/>
      <c r="G657" s="18"/>
      <c r="H657" s="21"/>
      <c r="I657" s="19"/>
      <c r="J657" s="8" t="str">
        <f aca="false">IF(OR(E657="",F657=""),"",E657*F657)</f>
        <v/>
      </c>
      <c r="K657" s="22" t="str">
        <f aca="false">IF($M657="","",INDEX('Программа тренировок'!$G$6:$G$25,$M657))</f>
        <v/>
      </c>
      <c r="L657" s="23" t="str">
        <f aca="false">IF(OR($M657="",$F657="",$G657=""),"",IF($H657="Разминка","Разминка",IF($F657&lt;INDEX('Программа тренировок'!$E$6:$E$25,$M657),"Ниже диапазона",IF(AND($F657&gt;=INDEX('Программа тренировок'!$F$6:$F$25,$M657),$G657&gt;=INDEX('Программа тренировок'!$L$6:$L$25,$M657)),"Верх диапазона: пора добавлять вес",IF($G657&lt;INDEX('Программа тренировок'!$L$6:$L$25,$M657),"RIR ниже цели","В диапазоне")))))</f>
        <v/>
      </c>
      <c r="M657" s="23" t="str">
        <f aca="false">IF($C657="","",IFERROR(MATCH($C657,'Программа тренировок'!$C$6:$C$25,0),""))</f>
        <v/>
      </c>
    </row>
    <row r="658" customFormat="false" ht="15" hidden="false" customHeight="true" outlineLevel="0" collapsed="false">
      <c r="A658" s="20"/>
      <c r="B658" s="21"/>
      <c r="C658" s="19"/>
      <c r="D658" s="18"/>
      <c r="E658" s="17"/>
      <c r="F658" s="18"/>
      <c r="G658" s="18"/>
      <c r="H658" s="21"/>
      <c r="I658" s="19"/>
      <c r="J658" s="8" t="str">
        <f aca="false">IF(OR(E658="",F658=""),"",E658*F658)</f>
        <v/>
      </c>
      <c r="K658" s="22" t="str">
        <f aca="false">IF($M658="","",INDEX('Программа тренировок'!$G$6:$G$25,$M658))</f>
        <v/>
      </c>
      <c r="L658" s="23" t="str">
        <f aca="false">IF(OR($M658="",$F658="",$G658=""),"",IF($H658="Разминка","Разминка",IF($F658&lt;INDEX('Программа тренировок'!$E$6:$E$25,$M658),"Ниже диапазона",IF(AND($F658&gt;=INDEX('Программа тренировок'!$F$6:$F$25,$M658),$G658&gt;=INDEX('Программа тренировок'!$L$6:$L$25,$M658)),"Верх диапазона: пора добавлять вес",IF($G658&lt;INDEX('Программа тренировок'!$L$6:$L$25,$M658),"RIR ниже цели","В диапазоне")))))</f>
        <v/>
      </c>
      <c r="M658" s="23" t="str">
        <f aca="false">IF($C658="","",IFERROR(MATCH($C658,'Программа тренировок'!$C$6:$C$25,0),""))</f>
        <v/>
      </c>
    </row>
    <row r="659" customFormat="false" ht="15" hidden="false" customHeight="true" outlineLevel="0" collapsed="false">
      <c r="A659" s="20"/>
      <c r="B659" s="21"/>
      <c r="C659" s="19"/>
      <c r="D659" s="18"/>
      <c r="E659" s="17"/>
      <c r="F659" s="18"/>
      <c r="G659" s="18"/>
      <c r="H659" s="21"/>
      <c r="I659" s="19"/>
      <c r="J659" s="8" t="str">
        <f aca="false">IF(OR(E659="",F659=""),"",E659*F659)</f>
        <v/>
      </c>
      <c r="K659" s="22" t="str">
        <f aca="false">IF($M659="","",INDEX('Программа тренировок'!$G$6:$G$25,$M659))</f>
        <v/>
      </c>
      <c r="L659" s="23" t="str">
        <f aca="false">IF(OR($M659="",$F659="",$G659=""),"",IF($H659="Разминка","Разминка",IF($F659&lt;INDEX('Программа тренировок'!$E$6:$E$25,$M659),"Ниже диапазона",IF(AND($F659&gt;=INDEX('Программа тренировок'!$F$6:$F$25,$M659),$G659&gt;=INDEX('Программа тренировок'!$L$6:$L$25,$M659)),"Верх диапазона: пора добавлять вес",IF($G659&lt;INDEX('Программа тренировок'!$L$6:$L$25,$M659),"RIR ниже цели","В диапазоне")))))</f>
        <v/>
      </c>
      <c r="M659" s="23" t="str">
        <f aca="false">IF($C659="","",IFERROR(MATCH($C659,'Программа тренировок'!$C$6:$C$25,0),""))</f>
        <v/>
      </c>
    </row>
    <row r="660" customFormat="false" ht="15" hidden="false" customHeight="true" outlineLevel="0" collapsed="false">
      <c r="A660" s="20"/>
      <c r="B660" s="21"/>
      <c r="C660" s="19"/>
      <c r="D660" s="18"/>
      <c r="E660" s="17"/>
      <c r="F660" s="18"/>
      <c r="G660" s="18"/>
      <c r="H660" s="21"/>
      <c r="I660" s="19"/>
      <c r="J660" s="8" t="str">
        <f aca="false">IF(OR(E660="",F660=""),"",E660*F660)</f>
        <v/>
      </c>
      <c r="K660" s="22" t="str">
        <f aca="false">IF($M660="","",INDEX('Программа тренировок'!$G$6:$G$25,$M660))</f>
        <v/>
      </c>
      <c r="L660" s="23" t="str">
        <f aca="false">IF(OR($M660="",$F660="",$G660=""),"",IF($H660="Разминка","Разминка",IF($F660&lt;INDEX('Программа тренировок'!$E$6:$E$25,$M660),"Ниже диапазона",IF(AND($F660&gt;=INDEX('Программа тренировок'!$F$6:$F$25,$M660),$G660&gt;=INDEX('Программа тренировок'!$L$6:$L$25,$M660)),"Верх диапазона: пора добавлять вес",IF($G660&lt;INDEX('Программа тренировок'!$L$6:$L$25,$M660),"RIR ниже цели","В диапазоне")))))</f>
        <v/>
      </c>
      <c r="M660" s="23" t="str">
        <f aca="false">IF($C660="","",IFERROR(MATCH($C660,'Программа тренировок'!$C$6:$C$25,0),""))</f>
        <v/>
      </c>
    </row>
    <row r="661" customFormat="false" ht="15" hidden="false" customHeight="true" outlineLevel="0" collapsed="false">
      <c r="A661" s="20"/>
      <c r="B661" s="21"/>
      <c r="C661" s="19"/>
      <c r="D661" s="18"/>
      <c r="E661" s="17"/>
      <c r="F661" s="18"/>
      <c r="G661" s="18"/>
      <c r="H661" s="21"/>
      <c r="I661" s="19"/>
      <c r="J661" s="8" t="str">
        <f aca="false">IF(OR(E661="",F661=""),"",E661*F661)</f>
        <v/>
      </c>
      <c r="K661" s="22" t="str">
        <f aca="false">IF($M661="","",INDEX('Программа тренировок'!$G$6:$G$25,$M661))</f>
        <v/>
      </c>
      <c r="L661" s="23" t="str">
        <f aca="false">IF(OR($M661="",$F661="",$G661=""),"",IF($H661="Разминка","Разминка",IF($F661&lt;INDEX('Программа тренировок'!$E$6:$E$25,$M661),"Ниже диапазона",IF(AND($F661&gt;=INDEX('Программа тренировок'!$F$6:$F$25,$M661),$G661&gt;=INDEX('Программа тренировок'!$L$6:$L$25,$M661)),"Верх диапазона: пора добавлять вес",IF($G661&lt;INDEX('Программа тренировок'!$L$6:$L$25,$M661),"RIR ниже цели","В диапазоне")))))</f>
        <v/>
      </c>
      <c r="M661" s="23" t="str">
        <f aca="false">IF($C661="","",IFERROR(MATCH($C661,'Программа тренировок'!$C$6:$C$25,0),""))</f>
        <v/>
      </c>
    </row>
    <row r="662" customFormat="false" ht="15" hidden="false" customHeight="true" outlineLevel="0" collapsed="false">
      <c r="A662" s="20"/>
      <c r="B662" s="21"/>
      <c r="C662" s="19"/>
      <c r="D662" s="18"/>
      <c r="E662" s="17"/>
      <c r="F662" s="18"/>
      <c r="G662" s="18"/>
      <c r="H662" s="21"/>
      <c r="I662" s="19"/>
      <c r="J662" s="8" t="str">
        <f aca="false">IF(OR(E662="",F662=""),"",E662*F662)</f>
        <v/>
      </c>
      <c r="K662" s="22" t="str">
        <f aca="false">IF($M662="","",INDEX('Программа тренировок'!$G$6:$G$25,$M662))</f>
        <v/>
      </c>
      <c r="L662" s="23" t="str">
        <f aca="false">IF(OR($M662="",$F662="",$G662=""),"",IF($H662="Разминка","Разминка",IF($F662&lt;INDEX('Программа тренировок'!$E$6:$E$25,$M662),"Ниже диапазона",IF(AND($F662&gt;=INDEX('Программа тренировок'!$F$6:$F$25,$M662),$G662&gt;=INDEX('Программа тренировок'!$L$6:$L$25,$M662)),"Верх диапазона: пора добавлять вес",IF($G662&lt;INDEX('Программа тренировок'!$L$6:$L$25,$M662),"RIR ниже цели","В диапазоне")))))</f>
        <v/>
      </c>
      <c r="M662" s="23" t="str">
        <f aca="false">IF($C662="","",IFERROR(MATCH($C662,'Программа тренировок'!$C$6:$C$25,0),""))</f>
        <v/>
      </c>
    </row>
    <row r="663" customFormat="false" ht="15" hidden="false" customHeight="true" outlineLevel="0" collapsed="false">
      <c r="A663" s="20"/>
      <c r="B663" s="21"/>
      <c r="C663" s="19"/>
      <c r="D663" s="18"/>
      <c r="E663" s="17"/>
      <c r="F663" s="18"/>
      <c r="G663" s="18"/>
      <c r="H663" s="21"/>
      <c r="I663" s="19"/>
      <c r="J663" s="8" t="str">
        <f aca="false">IF(OR(E663="",F663=""),"",E663*F663)</f>
        <v/>
      </c>
      <c r="K663" s="22" t="str">
        <f aca="false">IF($M663="","",INDEX('Программа тренировок'!$G$6:$G$25,$M663))</f>
        <v/>
      </c>
      <c r="L663" s="23" t="str">
        <f aca="false">IF(OR($M663="",$F663="",$G663=""),"",IF($H663="Разминка","Разминка",IF($F663&lt;INDEX('Программа тренировок'!$E$6:$E$25,$M663),"Ниже диапазона",IF(AND($F663&gt;=INDEX('Программа тренировок'!$F$6:$F$25,$M663),$G663&gt;=INDEX('Программа тренировок'!$L$6:$L$25,$M663)),"Верх диапазона: пора добавлять вес",IF($G663&lt;INDEX('Программа тренировок'!$L$6:$L$25,$M663),"RIR ниже цели","В диапазоне")))))</f>
        <v/>
      </c>
      <c r="M663" s="23" t="str">
        <f aca="false">IF($C663="","",IFERROR(MATCH($C663,'Программа тренировок'!$C$6:$C$25,0),""))</f>
        <v/>
      </c>
    </row>
    <row r="664" customFormat="false" ht="15" hidden="false" customHeight="true" outlineLevel="0" collapsed="false">
      <c r="A664" s="20"/>
      <c r="B664" s="21"/>
      <c r="C664" s="19"/>
      <c r="D664" s="18"/>
      <c r="E664" s="17"/>
      <c r="F664" s="18"/>
      <c r="G664" s="18"/>
      <c r="H664" s="21"/>
      <c r="I664" s="19"/>
      <c r="J664" s="8" t="str">
        <f aca="false">IF(OR(E664="",F664=""),"",E664*F664)</f>
        <v/>
      </c>
      <c r="K664" s="22" t="str">
        <f aca="false">IF($M664="","",INDEX('Программа тренировок'!$G$6:$G$25,$M664))</f>
        <v/>
      </c>
      <c r="L664" s="23" t="str">
        <f aca="false">IF(OR($M664="",$F664="",$G664=""),"",IF($H664="Разминка","Разминка",IF($F664&lt;INDEX('Программа тренировок'!$E$6:$E$25,$M664),"Ниже диапазона",IF(AND($F664&gt;=INDEX('Программа тренировок'!$F$6:$F$25,$M664),$G664&gt;=INDEX('Программа тренировок'!$L$6:$L$25,$M664)),"Верх диапазона: пора добавлять вес",IF($G664&lt;INDEX('Программа тренировок'!$L$6:$L$25,$M664),"RIR ниже цели","В диапазоне")))))</f>
        <v/>
      </c>
      <c r="M664" s="23" t="str">
        <f aca="false">IF($C664="","",IFERROR(MATCH($C664,'Программа тренировок'!$C$6:$C$25,0),""))</f>
        <v/>
      </c>
    </row>
    <row r="665" customFormat="false" ht="15" hidden="false" customHeight="true" outlineLevel="0" collapsed="false">
      <c r="A665" s="20"/>
      <c r="B665" s="21"/>
      <c r="C665" s="19"/>
      <c r="D665" s="18"/>
      <c r="E665" s="17"/>
      <c r="F665" s="18"/>
      <c r="G665" s="18"/>
      <c r="H665" s="21"/>
      <c r="I665" s="19"/>
      <c r="J665" s="8" t="str">
        <f aca="false">IF(OR(E665="",F665=""),"",E665*F665)</f>
        <v/>
      </c>
      <c r="K665" s="22" t="str">
        <f aca="false">IF($M665="","",INDEX('Программа тренировок'!$G$6:$G$25,$M665))</f>
        <v/>
      </c>
      <c r="L665" s="23" t="str">
        <f aca="false">IF(OR($M665="",$F665="",$G665=""),"",IF($H665="Разминка","Разминка",IF($F665&lt;INDEX('Программа тренировок'!$E$6:$E$25,$M665),"Ниже диапазона",IF(AND($F665&gt;=INDEX('Программа тренировок'!$F$6:$F$25,$M665),$G665&gt;=INDEX('Программа тренировок'!$L$6:$L$25,$M665)),"Верх диапазона: пора добавлять вес",IF($G665&lt;INDEX('Программа тренировок'!$L$6:$L$25,$M665),"RIR ниже цели","В диапазоне")))))</f>
        <v/>
      </c>
      <c r="M665" s="23" t="str">
        <f aca="false">IF($C665="","",IFERROR(MATCH($C665,'Программа тренировок'!$C$6:$C$25,0),""))</f>
        <v/>
      </c>
    </row>
    <row r="666" customFormat="false" ht="15" hidden="false" customHeight="true" outlineLevel="0" collapsed="false">
      <c r="A666" s="20"/>
      <c r="B666" s="21"/>
      <c r="C666" s="19"/>
      <c r="D666" s="18"/>
      <c r="E666" s="17"/>
      <c r="F666" s="18"/>
      <c r="G666" s="18"/>
      <c r="H666" s="21"/>
      <c r="I666" s="19"/>
      <c r="J666" s="8" t="str">
        <f aca="false">IF(OR(E666="",F666=""),"",E666*F666)</f>
        <v/>
      </c>
      <c r="K666" s="22" t="str">
        <f aca="false">IF($M666="","",INDEX('Программа тренировок'!$G$6:$G$25,$M666))</f>
        <v/>
      </c>
      <c r="L666" s="23" t="str">
        <f aca="false">IF(OR($M666="",$F666="",$G666=""),"",IF($H666="Разминка","Разминка",IF($F666&lt;INDEX('Программа тренировок'!$E$6:$E$25,$M666),"Ниже диапазона",IF(AND($F666&gt;=INDEX('Программа тренировок'!$F$6:$F$25,$M666),$G666&gt;=INDEX('Программа тренировок'!$L$6:$L$25,$M666)),"Верх диапазона: пора добавлять вес",IF($G666&lt;INDEX('Программа тренировок'!$L$6:$L$25,$M666),"RIR ниже цели","В диапазоне")))))</f>
        <v/>
      </c>
      <c r="M666" s="23" t="str">
        <f aca="false">IF($C666="","",IFERROR(MATCH($C666,'Программа тренировок'!$C$6:$C$25,0),""))</f>
        <v/>
      </c>
    </row>
    <row r="667" customFormat="false" ht="15" hidden="false" customHeight="true" outlineLevel="0" collapsed="false">
      <c r="A667" s="20"/>
      <c r="B667" s="21"/>
      <c r="C667" s="19"/>
      <c r="D667" s="18"/>
      <c r="E667" s="17"/>
      <c r="F667" s="18"/>
      <c r="G667" s="18"/>
      <c r="H667" s="21"/>
      <c r="I667" s="19"/>
      <c r="J667" s="8" t="str">
        <f aca="false">IF(OR(E667="",F667=""),"",E667*F667)</f>
        <v/>
      </c>
      <c r="K667" s="22" t="str">
        <f aca="false">IF($M667="","",INDEX('Программа тренировок'!$G$6:$G$25,$M667))</f>
        <v/>
      </c>
      <c r="L667" s="23" t="str">
        <f aca="false">IF(OR($M667="",$F667="",$G667=""),"",IF($H667="Разминка","Разминка",IF($F667&lt;INDEX('Программа тренировок'!$E$6:$E$25,$M667),"Ниже диапазона",IF(AND($F667&gt;=INDEX('Программа тренировок'!$F$6:$F$25,$M667),$G667&gt;=INDEX('Программа тренировок'!$L$6:$L$25,$M667)),"Верх диапазона: пора добавлять вес",IF($G667&lt;INDEX('Программа тренировок'!$L$6:$L$25,$M667),"RIR ниже цели","В диапазоне")))))</f>
        <v/>
      </c>
      <c r="M667" s="23" t="str">
        <f aca="false">IF($C667="","",IFERROR(MATCH($C667,'Программа тренировок'!$C$6:$C$25,0),""))</f>
        <v/>
      </c>
    </row>
    <row r="668" customFormat="false" ht="15" hidden="false" customHeight="true" outlineLevel="0" collapsed="false">
      <c r="A668" s="20"/>
      <c r="B668" s="21"/>
      <c r="C668" s="19"/>
      <c r="D668" s="18"/>
      <c r="E668" s="17"/>
      <c r="F668" s="18"/>
      <c r="G668" s="18"/>
      <c r="H668" s="21"/>
      <c r="I668" s="19"/>
      <c r="J668" s="8" t="str">
        <f aca="false">IF(OR(E668="",F668=""),"",E668*F668)</f>
        <v/>
      </c>
      <c r="K668" s="22" t="str">
        <f aca="false">IF($M668="","",INDEX('Программа тренировок'!$G$6:$G$25,$M668))</f>
        <v/>
      </c>
      <c r="L668" s="23" t="str">
        <f aca="false">IF(OR($M668="",$F668="",$G668=""),"",IF($H668="Разминка","Разминка",IF($F668&lt;INDEX('Программа тренировок'!$E$6:$E$25,$M668),"Ниже диапазона",IF(AND($F668&gt;=INDEX('Программа тренировок'!$F$6:$F$25,$M668),$G668&gt;=INDEX('Программа тренировок'!$L$6:$L$25,$M668)),"Верх диапазона: пора добавлять вес",IF($G668&lt;INDEX('Программа тренировок'!$L$6:$L$25,$M668),"RIR ниже цели","В диапазоне")))))</f>
        <v/>
      </c>
      <c r="M668" s="23" t="str">
        <f aca="false">IF($C668="","",IFERROR(MATCH($C668,'Программа тренировок'!$C$6:$C$25,0),""))</f>
        <v/>
      </c>
    </row>
    <row r="669" customFormat="false" ht="15" hidden="false" customHeight="true" outlineLevel="0" collapsed="false">
      <c r="A669" s="20"/>
      <c r="B669" s="21"/>
      <c r="C669" s="19"/>
      <c r="D669" s="18"/>
      <c r="E669" s="17"/>
      <c r="F669" s="18"/>
      <c r="G669" s="18"/>
      <c r="H669" s="21"/>
      <c r="I669" s="19"/>
      <c r="J669" s="8" t="str">
        <f aca="false">IF(OR(E669="",F669=""),"",E669*F669)</f>
        <v/>
      </c>
      <c r="K669" s="22" t="str">
        <f aca="false">IF($M669="","",INDEX('Программа тренировок'!$G$6:$G$25,$M669))</f>
        <v/>
      </c>
      <c r="L669" s="23" t="str">
        <f aca="false">IF(OR($M669="",$F669="",$G669=""),"",IF($H669="Разминка","Разминка",IF($F669&lt;INDEX('Программа тренировок'!$E$6:$E$25,$M669),"Ниже диапазона",IF(AND($F669&gt;=INDEX('Программа тренировок'!$F$6:$F$25,$M669),$G669&gt;=INDEX('Программа тренировок'!$L$6:$L$25,$M669)),"Верх диапазона: пора добавлять вес",IF($G669&lt;INDEX('Программа тренировок'!$L$6:$L$25,$M669),"RIR ниже цели","В диапазоне")))))</f>
        <v/>
      </c>
      <c r="M669" s="23" t="str">
        <f aca="false">IF($C669="","",IFERROR(MATCH($C669,'Программа тренировок'!$C$6:$C$25,0),""))</f>
        <v/>
      </c>
    </row>
    <row r="670" customFormat="false" ht="15" hidden="false" customHeight="true" outlineLevel="0" collapsed="false">
      <c r="A670" s="20"/>
      <c r="B670" s="21"/>
      <c r="C670" s="19"/>
      <c r="D670" s="18"/>
      <c r="E670" s="17"/>
      <c r="F670" s="18"/>
      <c r="G670" s="18"/>
      <c r="H670" s="21"/>
      <c r="I670" s="19"/>
      <c r="J670" s="8" t="str">
        <f aca="false">IF(OR(E670="",F670=""),"",E670*F670)</f>
        <v/>
      </c>
      <c r="K670" s="22" t="str">
        <f aca="false">IF($M670="","",INDEX('Программа тренировок'!$G$6:$G$25,$M670))</f>
        <v/>
      </c>
      <c r="L670" s="23" t="str">
        <f aca="false">IF(OR($M670="",$F670="",$G670=""),"",IF($H670="Разминка","Разминка",IF($F670&lt;INDEX('Программа тренировок'!$E$6:$E$25,$M670),"Ниже диапазона",IF(AND($F670&gt;=INDEX('Программа тренировок'!$F$6:$F$25,$M670),$G670&gt;=INDEX('Программа тренировок'!$L$6:$L$25,$M670)),"Верх диапазона: пора добавлять вес",IF($G670&lt;INDEX('Программа тренировок'!$L$6:$L$25,$M670),"RIR ниже цели","В диапазоне")))))</f>
        <v/>
      </c>
      <c r="M670" s="23" t="str">
        <f aca="false">IF($C670="","",IFERROR(MATCH($C670,'Программа тренировок'!$C$6:$C$25,0),""))</f>
        <v/>
      </c>
    </row>
    <row r="671" customFormat="false" ht="15" hidden="false" customHeight="true" outlineLevel="0" collapsed="false">
      <c r="A671" s="20"/>
      <c r="B671" s="21"/>
      <c r="C671" s="19"/>
      <c r="D671" s="18"/>
      <c r="E671" s="17"/>
      <c r="F671" s="18"/>
      <c r="G671" s="18"/>
      <c r="H671" s="21"/>
      <c r="I671" s="19"/>
      <c r="J671" s="8" t="str">
        <f aca="false">IF(OR(E671="",F671=""),"",E671*F671)</f>
        <v/>
      </c>
      <c r="K671" s="22" t="str">
        <f aca="false">IF($M671="","",INDEX('Программа тренировок'!$G$6:$G$25,$M671))</f>
        <v/>
      </c>
      <c r="L671" s="23" t="str">
        <f aca="false">IF(OR($M671="",$F671="",$G671=""),"",IF($H671="Разминка","Разминка",IF($F671&lt;INDEX('Программа тренировок'!$E$6:$E$25,$M671),"Ниже диапазона",IF(AND($F671&gt;=INDEX('Программа тренировок'!$F$6:$F$25,$M671),$G671&gt;=INDEX('Программа тренировок'!$L$6:$L$25,$M671)),"Верх диапазона: пора добавлять вес",IF($G671&lt;INDEX('Программа тренировок'!$L$6:$L$25,$M671),"RIR ниже цели","В диапазоне")))))</f>
        <v/>
      </c>
      <c r="M671" s="23" t="str">
        <f aca="false">IF($C671="","",IFERROR(MATCH($C671,'Программа тренировок'!$C$6:$C$25,0),""))</f>
        <v/>
      </c>
    </row>
    <row r="672" customFormat="false" ht="15" hidden="false" customHeight="true" outlineLevel="0" collapsed="false">
      <c r="A672" s="20"/>
      <c r="B672" s="21"/>
      <c r="C672" s="19"/>
      <c r="D672" s="18"/>
      <c r="E672" s="17"/>
      <c r="F672" s="18"/>
      <c r="G672" s="18"/>
      <c r="H672" s="21"/>
      <c r="I672" s="19"/>
      <c r="J672" s="8" t="str">
        <f aca="false">IF(OR(E672="",F672=""),"",E672*F672)</f>
        <v/>
      </c>
      <c r="K672" s="22" t="str">
        <f aca="false">IF($M672="","",INDEX('Программа тренировок'!$G$6:$G$25,$M672))</f>
        <v/>
      </c>
      <c r="L672" s="23" t="str">
        <f aca="false">IF(OR($M672="",$F672="",$G672=""),"",IF($H672="Разминка","Разминка",IF($F672&lt;INDEX('Программа тренировок'!$E$6:$E$25,$M672),"Ниже диапазона",IF(AND($F672&gt;=INDEX('Программа тренировок'!$F$6:$F$25,$M672),$G672&gt;=INDEX('Программа тренировок'!$L$6:$L$25,$M672)),"Верх диапазона: пора добавлять вес",IF($G672&lt;INDEX('Программа тренировок'!$L$6:$L$25,$M672),"RIR ниже цели","В диапазоне")))))</f>
        <v/>
      </c>
      <c r="M672" s="23" t="str">
        <f aca="false">IF($C672="","",IFERROR(MATCH($C672,'Программа тренировок'!$C$6:$C$25,0),""))</f>
        <v/>
      </c>
    </row>
    <row r="673" customFormat="false" ht="15" hidden="false" customHeight="true" outlineLevel="0" collapsed="false">
      <c r="A673" s="20"/>
      <c r="B673" s="21"/>
      <c r="C673" s="19"/>
      <c r="D673" s="18"/>
      <c r="E673" s="17"/>
      <c r="F673" s="18"/>
      <c r="G673" s="18"/>
      <c r="H673" s="21"/>
      <c r="I673" s="19"/>
      <c r="J673" s="8" t="str">
        <f aca="false">IF(OR(E673="",F673=""),"",E673*F673)</f>
        <v/>
      </c>
      <c r="K673" s="22" t="str">
        <f aca="false">IF($M673="","",INDEX('Программа тренировок'!$G$6:$G$25,$M673))</f>
        <v/>
      </c>
      <c r="L673" s="23" t="str">
        <f aca="false">IF(OR($M673="",$F673="",$G673=""),"",IF($H673="Разминка","Разминка",IF($F673&lt;INDEX('Программа тренировок'!$E$6:$E$25,$M673),"Ниже диапазона",IF(AND($F673&gt;=INDEX('Программа тренировок'!$F$6:$F$25,$M673),$G673&gt;=INDEX('Программа тренировок'!$L$6:$L$25,$M673)),"Верх диапазона: пора добавлять вес",IF($G673&lt;INDEX('Программа тренировок'!$L$6:$L$25,$M673),"RIR ниже цели","В диапазоне")))))</f>
        <v/>
      </c>
      <c r="M673" s="23" t="str">
        <f aca="false">IF($C673="","",IFERROR(MATCH($C673,'Программа тренировок'!$C$6:$C$25,0),""))</f>
        <v/>
      </c>
    </row>
    <row r="674" customFormat="false" ht="15" hidden="false" customHeight="true" outlineLevel="0" collapsed="false">
      <c r="A674" s="20"/>
      <c r="B674" s="21"/>
      <c r="C674" s="19"/>
      <c r="D674" s="18"/>
      <c r="E674" s="17"/>
      <c r="F674" s="18"/>
      <c r="G674" s="18"/>
      <c r="H674" s="21"/>
      <c r="I674" s="19"/>
      <c r="J674" s="8" t="str">
        <f aca="false">IF(OR(E674="",F674=""),"",E674*F674)</f>
        <v/>
      </c>
      <c r="K674" s="22" t="str">
        <f aca="false">IF($M674="","",INDEX('Программа тренировок'!$G$6:$G$25,$M674))</f>
        <v/>
      </c>
      <c r="L674" s="23" t="str">
        <f aca="false">IF(OR($M674="",$F674="",$G674=""),"",IF($H674="Разминка","Разминка",IF($F674&lt;INDEX('Программа тренировок'!$E$6:$E$25,$M674),"Ниже диапазона",IF(AND($F674&gt;=INDEX('Программа тренировок'!$F$6:$F$25,$M674),$G674&gt;=INDEX('Программа тренировок'!$L$6:$L$25,$M674)),"Верх диапазона: пора добавлять вес",IF($G674&lt;INDEX('Программа тренировок'!$L$6:$L$25,$M674),"RIR ниже цели","В диапазоне")))))</f>
        <v/>
      </c>
      <c r="M674" s="23" t="str">
        <f aca="false">IF($C674="","",IFERROR(MATCH($C674,'Программа тренировок'!$C$6:$C$25,0),""))</f>
        <v/>
      </c>
    </row>
    <row r="675" customFormat="false" ht="15" hidden="false" customHeight="true" outlineLevel="0" collapsed="false">
      <c r="A675" s="20"/>
      <c r="B675" s="21"/>
      <c r="C675" s="19"/>
      <c r="D675" s="18"/>
      <c r="E675" s="17"/>
      <c r="F675" s="18"/>
      <c r="G675" s="18"/>
      <c r="H675" s="21"/>
      <c r="I675" s="19"/>
      <c r="J675" s="8" t="str">
        <f aca="false">IF(OR(E675="",F675=""),"",E675*F675)</f>
        <v/>
      </c>
      <c r="K675" s="22" t="str">
        <f aca="false">IF($M675="","",INDEX('Программа тренировок'!$G$6:$G$25,$M675))</f>
        <v/>
      </c>
      <c r="L675" s="23" t="str">
        <f aca="false">IF(OR($M675="",$F675="",$G675=""),"",IF($H675="Разминка","Разминка",IF($F675&lt;INDEX('Программа тренировок'!$E$6:$E$25,$M675),"Ниже диапазона",IF(AND($F675&gt;=INDEX('Программа тренировок'!$F$6:$F$25,$M675),$G675&gt;=INDEX('Программа тренировок'!$L$6:$L$25,$M675)),"Верх диапазона: пора добавлять вес",IF($G675&lt;INDEX('Программа тренировок'!$L$6:$L$25,$M675),"RIR ниже цели","В диапазоне")))))</f>
        <v/>
      </c>
      <c r="M675" s="23" t="str">
        <f aca="false">IF($C675="","",IFERROR(MATCH($C675,'Программа тренировок'!$C$6:$C$25,0),""))</f>
        <v/>
      </c>
    </row>
    <row r="676" customFormat="false" ht="15" hidden="false" customHeight="true" outlineLevel="0" collapsed="false">
      <c r="A676" s="20"/>
      <c r="B676" s="21"/>
      <c r="C676" s="19"/>
      <c r="D676" s="18"/>
      <c r="E676" s="17"/>
      <c r="F676" s="18"/>
      <c r="G676" s="18"/>
      <c r="H676" s="21"/>
      <c r="I676" s="19"/>
      <c r="J676" s="8" t="str">
        <f aca="false">IF(OR(E676="",F676=""),"",E676*F676)</f>
        <v/>
      </c>
      <c r="K676" s="22" t="str">
        <f aca="false">IF($M676="","",INDEX('Программа тренировок'!$G$6:$G$25,$M676))</f>
        <v/>
      </c>
      <c r="L676" s="23" t="str">
        <f aca="false">IF(OR($M676="",$F676="",$G676=""),"",IF($H676="Разминка","Разминка",IF($F676&lt;INDEX('Программа тренировок'!$E$6:$E$25,$M676),"Ниже диапазона",IF(AND($F676&gt;=INDEX('Программа тренировок'!$F$6:$F$25,$M676),$G676&gt;=INDEX('Программа тренировок'!$L$6:$L$25,$M676)),"Верх диапазона: пора добавлять вес",IF($G676&lt;INDEX('Программа тренировок'!$L$6:$L$25,$M676),"RIR ниже цели","В диапазоне")))))</f>
        <v/>
      </c>
      <c r="M676" s="23" t="str">
        <f aca="false">IF($C676="","",IFERROR(MATCH($C676,'Программа тренировок'!$C$6:$C$25,0),""))</f>
        <v/>
      </c>
    </row>
    <row r="677" customFormat="false" ht="15" hidden="false" customHeight="true" outlineLevel="0" collapsed="false">
      <c r="A677" s="20"/>
      <c r="B677" s="21"/>
      <c r="C677" s="19"/>
      <c r="D677" s="18"/>
      <c r="E677" s="17"/>
      <c r="F677" s="18"/>
      <c r="G677" s="18"/>
      <c r="H677" s="21"/>
      <c r="I677" s="19"/>
      <c r="J677" s="8" t="str">
        <f aca="false">IF(OR(E677="",F677=""),"",E677*F677)</f>
        <v/>
      </c>
      <c r="K677" s="22" t="str">
        <f aca="false">IF($M677="","",INDEX('Программа тренировок'!$G$6:$G$25,$M677))</f>
        <v/>
      </c>
      <c r="L677" s="23" t="str">
        <f aca="false">IF(OR($M677="",$F677="",$G677=""),"",IF($H677="Разминка","Разминка",IF($F677&lt;INDEX('Программа тренировок'!$E$6:$E$25,$M677),"Ниже диапазона",IF(AND($F677&gt;=INDEX('Программа тренировок'!$F$6:$F$25,$M677),$G677&gt;=INDEX('Программа тренировок'!$L$6:$L$25,$M677)),"Верх диапазона: пора добавлять вес",IF($G677&lt;INDEX('Программа тренировок'!$L$6:$L$25,$M677),"RIR ниже цели","В диапазоне")))))</f>
        <v/>
      </c>
      <c r="M677" s="23" t="str">
        <f aca="false">IF($C677="","",IFERROR(MATCH($C677,'Программа тренировок'!$C$6:$C$25,0),""))</f>
        <v/>
      </c>
    </row>
    <row r="678" customFormat="false" ht="15" hidden="false" customHeight="true" outlineLevel="0" collapsed="false">
      <c r="A678" s="20"/>
      <c r="B678" s="21"/>
      <c r="C678" s="19"/>
      <c r="D678" s="18"/>
      <c r="E678" s="17"/>
      <c r="F678" s="18"/>
      <c r="G678" s="18"/>
      <c r="H678" s="21"/>
      <c r="I678" s="19"/>
      <c r="J678" s="8" t="str">
        <f aca="false">IF(OR(E678="",F678=""),"",E678*F678)</f>
        <v/>
      </c>
      <c r="K678" s="22" t="str">
        <f aca="false">IF($M678="","",INDEX('Программа тренировок'!$G$6:$G$25,$M678))</f>
        <v/>
      </c>
      <c r="L678" s="23" t="str">
        <f aca="false">IF(OR($M678="",$F678="",$G678=""),"",IF($H678="Разминка","Разминка",IF($F678&lt;INDEX('Программа тренировок'!$E$6:$E$25,$M678),"Ниже диапазона",IF(AND($F678&gt;=INDEX('Программа тренировок'!$F$6:$F$25,$M678),$G678&gt;=INDEX('Программа тренировок'!$L$6:$L$25,$M678)),"Верх диапазона: пора добавлять вес",IF($G678&lt;INDEX('Программа тренировок'!$L$6:$L$25,$M678),"RIR ниже цели","В диапазоне")))))</f>
        <v/>
      </c>
      <c r="M678" s="23" t="str">
        <f aca="false">IF($C678="","",IFERROR(MATCH($C678,'Программа тренировок'!$C$6:$C$25,0),""))</f>
        <v/>
      </c>
    </row>
    <row r="679" customFormat="false" ht="15" hidden="false" customHeight="true" outlineLevel="0" collapsed="false">
      <c r="A679" s="20"/>
      <c r="B679" s="21"/>
      <c r="C679" s="19"/>
      <c r="D679" s="18"/>
      <c r="E679" s="17"/>
      <c r="F679" s="18"/>
      <c r="G679" s="18"/>
      <c r="H679" s="21"/>
      <c r="I679" s="19"/>
      <c r="J679" s="8" t="str">
        <f aca="false">IF(OR(E679="",F679=""),"",E679*F679)</f>
        <v/>
      </c>
      <c r="K679" s="22" t="str">
        <f aca="false">IF($M679="","",INDEX('Программа тренировок'!$G$6:$G$25,$M679))</f>
        <v/>
      </c>
      <c r="L679" s="23" t="str">
        <f aca="false">IF(OR($M679="",$F679="",$G679=""),"",IF($H679="Разминка","Разминка",IF($F679&lt;INDEX('Программа тренировок'!$E$6:$E$25,$M679),"Ниже диапазона",IF(AND($F679&gt;=INDEX('Программа тренировок'!$F$6:$F$25,$M679),$G679&gt;=INDEX('Программа тренировок'!$L$6:$L$25,$M679)),"Верх диапазона: пора добавлять вес",IF($G679&lt;INDEX('Программа тренировок'!$L$6:$L$25,$M679),"RIR ниже цели","В диапазоне")))))</f>
        <v/>
      </c>
      <c r="M679" s="23" t="str">
        <f aca="false">IF($C679="","",IFERROR(MATCH($C679,'Программа тренировок'!$C$6:$C$25,0),""))</f>
        <v/>
      </c>
    </row>
    <row r="680" customFormat="false" ht="15" hidden="false" customHeight="true" outlineLevel="0" collapsed="false">
      <c r="A680" s="20"/>
      <c r="B680" s="21"/>
      <c r="C680" s="19"/>
      <c r="D680" s="18"/>
      <c r="E680" s="17"/>
      <c r="F680" s="18"/>
      <c r="G680" s="18"/>
      <c r="H680" s="21"/>
      <c r="I680" s="19"/>
      <c r="J680" s="8" t="str">
        <f aca="false">IF(OR(E680="",F680=""),"",E680*F680)</f>
        <v/>
      </c>
      <c r="K680" s="22" t="str">
        <f aca="false">IF($M680="","",INDEX('Программа тренировок'!$G$6:$G$25,$M680))</f>
        <v/>
      </c>
      <c r="L680" s="23" t="str">
        <f aca="false">IF(OR($M680="",$F680="",$G680=""),"",IF($H680="Разминка","Разминка",IF($F680&lt;INDEX('Программа тренировок'!$E$6:$E$25,$M680),"Ниже диапазона",IF(AND($F680&gt;=INDEX('Программа тренировок'!$F$6:$F$25,$M680),$G680&gt;=INDEX('Программа тренировок'!$L$6:$L$25,$M680)),"Верх диапазона: пора добавлять вес",IF($G680&lt;INDEX('Программа тренировок'!$L$6:$L$25,$M680),"RIR ниже цели","В диапазоне")))))</f>
        <v/>
      </c>
      <c r="M680" s="23" t="str">
        <f aca="false">IF($C680="","",IFERROR(MATCH($C680,'Программа тренировок'!$C$6:$C$25,0),""))</f>
        <v/>
      </c>
    </row>
    <row r="681" customFormat="false" ht="15" hidden="false" customHeight="true" outlineLevel="0" collapsed="false">
      <c r="A681" s="20"/>
      <c r="B681" s="21"/>
      <c r="C681" s="19"/>
      <c r="D681" s="18"/>
      <c r="E681" s="17"/>
      <c r="F681" s="18"/>
      <c r="G681" s="18"/>
      <c r="H681" s="21"/>
      <c r="I681" s="19"/>
      <c r="J681" s="8" t="str">
        <f aca="false">IF(OR(E681="",F681=""),"",E681*F681)</f>
        <v/>
      </c>
      <c r="K681" s="22" t="str">
        <f aca="false">IF($M681="","",INDEX('Программа тренировок'!$G$6:$G$25,$M681))</f>
        <v/>
      </c>
      <c r="L681" s="23" t="str">
        <f aca="false">IF(OR($M681="",$F681="",$G681=""),"",IF($H681="Разминка","Разминка",IF($F681&lt;INDEX('Программа тренировок'!$E$6:$E$25,$M681),"Ниже диапазона",IF(AND($F681&gt;=INDEX('Программа тренировок'!$F$6:$F$25,$M681),$G681&gt;=INDEX('Программа тренировок'!$L$6:$L$25,$M681)),"Верх диапазона: пора добавлять вес",IF($G681&lt;INDEX('Программа тренировок'!$L$6:$L$25,$M681),"RIR ниже цели","В диапазоне")))))</f>
        <v/>
      </c>
      <c r="M681" s="23" t="str">
        <f aca="false">IF($C681="","",IFERROR(MATCH($C681,'Программа тренировок'!$C$6:$C$25,0),""))</f>
        <v/>
      </c>
    </row>
    <row r="682" customFormat="false" ht="15" hidden="false" customHeight="true" outlineLevel="0" collapsed="false">
      <c r="A682" s="20"/>
      <c r="B682" s="21"/>
      <c r="C682" s="19"/>
      <c r="D682" s="18"/>
      <c r="E682" s="17"/>
      <c r="F682" s="18"/>
      <c r="G682" s="18"/>
      <c r="H682" s="21"/>
      <c r="I682" s="19"/>
      <c r="J682" s="8" t="str">
        <f aca="false">IF(OR(E682="",F682=""),"",E682*F682)</f>
        <v/>
      </c>
      <c r="K682" s="22" t="str">
        <f aca="false">IF($M682="","",INDEX('Программа тренировок'!$G$6:$G$25,$M682))</f>
        <v/>
      </c>
      <c r="L682" s="23" t="str">
        <f aca="false">IF(OR($M682="",$F682="",$G682=""),"",IF($H682="Разминка","Разминка",IF($F682&lt;INDEX('Программа тренировок'!$E$6:$E$25,$M682),"Ниже диапазона",IF(AND($F682&gt;=INDEX('Программа тренировок'!$F$6:$F$25,$M682),$G682&gt;=INDEX('Программа тренировок'!$L$6:$L$25,$M682)),"Верх диапазона: пора добавлять вес",IF($G682&lt;INDEX('Программа тренировок'!$L$6:$L$25,$M682),"RIR ниже цели","В диапазоне")))))</f>
        <v/>
      </c>
      <c r="M682" s="23" t="str">
        <f aca="false">IF($C682="","",IFERROR(MATCH($C682,'Программа тренировок'!$C$6:$C$25,0),""))</f>
        <v/>
      </c>
    </row>
    <row r="683" customFormat="false" ht="15" hidden="false" customHeight="true" outlineLevel="0" collapsed="false">
      <c r="A683" s="20"/>
      <c r="B683" s="21"/>
      <c r="C683" s="19"/>
      <c r="D683" s="18"/>
      <c r="E683" s="17"/>
      <c r="F683" s="18"/>
      <c r="G683" s="18"/>
      <c r="H683" s="21"/>
      <c r="I683" s="19"/>
      <c r="J683" s="8" t="str">
        <f aca="false">IF(OR(E683="",F683=""),"",E683*F683)</f>
        <v/>
      </c>
      <c r="K683" s="22" t="str">
        <f aca="false">IF($M683="","",INDEX('Программа тренировок'!$G$6:$G$25,$M683))</f>
        <v/>
      </c>
      <c r="L683" s="23" t="str">
        <f aca="false">IF(OR($M683="",$F683="",$G683=""),"",IF($H683="Разминка","Разминка",IF($F683&lt;INDEX('Программа тренировок'!$E$6:$E$25,$M683),"Ниже диапазона",IF(AND($F683&gt;=INDEX('Программа тренировок'!$F$6:$F$25,$M683),$G683&gt;=INDEX('Программа тренировок'!$L$6:$L$25,$M683)),"Верх диапазона: пора добавлять вес",IF($G683&lt;INDEX('Программа тренировок'!$L$6:$L$25,$M683),"RIR ниже цели","В диапазоне")))))</f>
        <v/>
      </c>
      <c r="M683" s="23" t="str">
        <f aca="false">IF($C683="","",IFERROR(MATCH($C683,'Программа тренировок'!$C$6:$C$25,0),""))</f>
        <v/>
      </c>
    </row>
    <row r="684" customFormat="false" ht="15" hidden="false" customHeight="true" outlineLevel="0" collapsed="false">
      <c r="A684" s="20"/>
      <c r="B684" s="21"/>
      <c r="C684" s="19"/>
      <c r="D684" s="18"/>
      <c r="E684" s="17"/>
      <c r="F684" s="18"/>
      <c r="G684" s="18"/>
      <c r="H684" s="21"/>
      <c r="I684" s="19"/>
      <c r="J684" s="8" t="str">
        <f aca="false">IF(OR(E684="",F684=""),"",E684*F684)</f>
        <v/>
      </c>
      <c r="K684" s="22" t="str">
        <f aca="false">IF($M684="","",INDEX('Программа тренировок'!$G$6:$G$25,$M684))</f>
        <v/>
      </c>
      <c r="L684" s="23" t="str">
        <f aca="false">IF(OR($M684="",$F684="",$G684=""),"",IF($H684="Разминка","Разминка",IF($F684&lt;INDEX('Программа тренировок'!$E$6:$E$25,$M684),"Ниже диапазона",IF(AND($F684&gt;=INDEX('Программа тренировок'!$F$6:$F$25,$M684),$G684&gt;=INDEX('Программа тренировок'!$L$6:$L$25,$M684)),"Верх диапазона: пора добавлять вес",IF($G684&lt;INDEX('Программа тренировок'!$L$6:$L$25,$M684),"RIR ниже цели","В диапазоне")))))</f>
        <v/>
      </c>
      <c r="M684" s="23" t="str">
        <f aca="false">IF($C684="","",IFERROR(MATCH($C684,'Программа тренировок'!$C$6:$C$25,0),""))</f>
        <v/>
      </c>
    </row>
    <row r="685" customFormat="false" ht="15" hidden="false" customHeight="true" outlineLevel="0" collapsed="false">
      <c r="A685" s="20"/>
      <c r="B685" s="21"/>
      <c r="C685" s="19"/>
      <c r="D685" s="18"/>
      <c r="E685" s="17"/>
      <c r="F685" s="18"/>
      <c r="G685" s="18"/>
      <c r="H685" s="21"/>
      <c r="I685" s="19"/>
      <c r="J685" s="8" t="str">
        <f aca="false">IF(OR(E685="",F685=""),"",E685*F685)</f>
        <v/>
      </c>
      <c r="K685" s="22" t="str">
        <f aca="false">IF($M685="","",INDEX('Программа тренировок'!$G$6:$G$25,$M685))</f>
        <v/>
      </c>
      <c r="L685" s="23" t="str">
        <f aca="false">IF(OR($M685="",$F685="",$G685=""),"",IF($H685="Разминка","Разминка",IF($F685&lt;INDEX('Программа тренировок'!$E$6:$E$25,$M685),"Ниже диапазона",IF(AND($F685&gt;=INDEX('Программа тренировок'!$F$6:$F$25,$M685),$G685&gt;=INDEX('Программа тренировок'!$L$6:$L$25,$M685)),"Верх диапазона: пора добавлять вес",IF($G685&lt;INDEX('Программа тренировок'!$L$6:$L$25,$M685),"RIR ниже цели","В диапазоне")))))</f>
        <v/>
      </c>
      <c r="M685" s="23" t="str">
        <f aca="false">IF($C685="","",IFERROR(MATCH($C685,'Программа тренировок'!$C$6:$C$25,0),""))</f>
        <v/>
      </c>
    </row>
    <row r="686" customFormat="false" ht="15" hidden="false" customHeight="true" outlineLevel="0" collapsed="false">
      <c r="A686" s="20"/>
      <c r="B686" s="21"/>
      <c r="C686" s="19"/>
      <c r="D686" s="18"/>
      <c r="E686" s="17"/>
      <c r="F686" s="18"/>
      <c r="G686" s="18"/>
      <c r="H686" s="21"/>
      <c r="I686" s="19"/>
      <c r="J686" s="8" t="str">
        <f aca="false">IF(OR(E686="",F686=""),"",E686*F686)</f>
        <v/>
      </c>
      <c r="K686" s="22" t="str">
        <f aca="false">IF($M686="","",INDEX('Программа тренировок'!$G$6:$G$25,$M686))</f>
        <v/>
      </c>
      <c r="L686" s="23" t="str">
        <f aca="false">IF(OR($M686="",$F686="",$G686=""),"",IF($H686="Разминка","Разминка",IF($F686&lt;INDEX('Программа тренировок'!$E$6:$E$25,$M686),"Ниже диапазона",IF(AND($F686&gt;=INDEX('Программа тренировок'!$F$6:$F$25,$M686),$G686&gt;=INDEX('Программа тренировок'!$L$6:$L$25,$M686)),"Верх диапазона: пора добавлять вес",IF($G686&lt;INDEX('Программа тренировок'!$L$6:$L$25,$M686),"RIR ниже цели","В диапазоне")))))</f>
        <v/>
      </c>
      <c r="M686" s="23" t="str">
        <f aca="false">IF($C686="","",IFERROR(MATCH($C686,'Программа тренировок'!$C$6:$C$25,0),""))</f>
        <v/>
      </c>
    </row>
    <row r="687" customFormat="false" ht="15" hidden="false" customHeight="true" outlineLevel="0" collapsed="false">
      <c r="A687" s="20"/>
      <c r="B687" s="21"/>
      <c r="C687" s="19"/>
      <c r="D687" s="18"/>
      <c r="E687" s="17"/>
      <c r="F687" s="18"/>
      <c r="G687" s="18"/>
      <c r="H687" s="21"/>
      <c r="I687" s="19"/>
      <c r="J687" s="8" t="str">
        <f aca="false">IF(OR(E687="",F687=""),"",E687*F687)</f>
        <v/>
      </c>
      <c r="K687" s="22" t="str">
        <f aca="false">IF($M687="","",INDEX('Программа тренировок'!$G$6:$G$25,$M687))</f>
        <v/>
      </c>
      <c r="L687" s="23" t="str">
        <f aca="false">IF(OR($M687="",$F687="",$G687=""),"",IF($H687="Разминка","Разминка",IF($F687&lt;INDEX('Программа тренировок'!$E$6:$E$25,$M687),"Ниже диапазона",IF(AND($F687&gt;=INDEX('Программа тренировок'!$F$6:$F$25,$M687),$G687&gt;=INDEX('Программа тренировок'!$L$6:$L$25,$M687)),"Верх диапазона: пора добавлять вес",IF($G687&lt;INDEX('Программа тренировок'!$L$6:$L$25,$M687),"RIR ниже цели","В диапазоне")))))</f>
        <v/>
      </c>
      <c r="M687" s="23" t="str">
        <f aca="false">IF($C687="","",IFERROR(MATCH($C687,'Программа тренировок'!$C$6:$C$25,0),""))</f>
        <v/>
      </c>
    </row>
    <row r="688" customFormat="false" ht="15" hidden="false" customHeight="true" outlineLevel="0" collapsed="false">
      <c r="A688" s="20"/>
      <c r="B688" s="21"/>
      <c r="C688" s="19"/>
      <c r="D688" s="18"/>
      <c r="E688" s="17"/>
      <c r="F688" s="18"/>
      <c r="G688" s="18"/>
      <c r="H688" s="21"/>
      <c r="I688" s="19"/>
      <c r="J688" s="8" t="str">
        <f aca="false">IF(OR(E688="",F688=""),"",E688*F688)</f>
        <v/>
      </c>
      <c r="K688" s="22" t="str">
        <f aca="false">IF($M688="","",INDEX('Программа тренировок'!$G$6:$G$25,$M688))</f>
        <v/>
      </c>
      <c r="L688" s="23" t="str">
        <f aca="false">IF(OR($M688="",$F688="",$G688=""),"",IF($H688="Разминка","Разминка",IF($F688&lt;INDEX('Программа тренировок'!$E$6:$E$25,$M688),"Ниже диапазона",IF(AND($F688&gt;=INDEX('Программа тренировок'!$F$6:$F$25,$M688),$G688&gt;=INDEX('Программа тренировок'!$L$6:$L$25,$M688)),"Верх диапазона: пора добавлять вес",IF($G688&lt;INDEX('Программа тренировок'!$L$6:$L$25,$M688),"RIR ниже цели","В диапазоне")))))</f>
        <v/>
      </c>
      <c r="M688" s="23" t="str">
        <f aca="false">IF($C688="","",IFERROR(MATCH($C688,'Программа тренировок'!$C$6:$C$25,0),""))</f>
        <v/>
      </c>
    </row>
    <row r="689" customFormat="false" ht="15" hidden="false" customHeight="true" outlineLevel="0" collapsed="false">
      <c r="A689" s="20"/>
      <c r="B689" s="21"/>
      <c r="C689" s="19"/>
      <c r="D689" s="18"/>
      <c r="E689" s="17"/>
      <c r="F689" s="18"/>
      <c r="G689" s="18"/>
      <c r="H689" s="21"/>
      <c r="I689" s="19"/>
      <c r="J689" s="8" t="str">
        <f aca="false">IF(OR(E689="",F689=""),"",E689*F689)</f>
        <v/>
      </c>
      <c r="K689" s="22" t="str">
        <f aca="false">IF($M689="","",INDEX('Программа тренировок'!$G$6:$G$25,$M689))</f>
        <v/>
      </c>
      <c r="L689" s="23" t="str">
        <f aca="false">IF(OR($M689="",$F689="",$G689=""),"",IF($H689="Разминка","Разминка",IF($F689&lt;INDEX('Программа тренировок'!$E$6:$E$25,$M689),"Ниже диапазона",IF(AND($F689&gt;=INDEX('Программа тренировок'!$F$6:$F$25,$M689),$G689&gt;=INDEX('Программа тренировок'!$L$6:$L$25,$M689)),"Верх диапазона: пора добавлять вес",IF($G689&lt;INDEX('Программа тренировок'!$L$6:$L$25,$M689),"RIR ниже цели","В диапазоне")))))</f>
        <v/>
      </c>
      <c r="M689" s="23" t="str">
        <f aca="false">IF($C689="","",IFERROR(MATCH($C689,'Программа тренировок'!$C$6:$C$25,0),""))</f>
        <v/>
      </c>
    </row>
    <row r="690" customFormat="false" ht="15" hidden="false" customHeight="true" outlineLevel="0" collapsed="false">
      <c r="A690" s="20"/>
      <c r="B690" s="21"/>
      <c r="C690" s="19"/>
      <c r="D690" s="18"/>
      <c r="E690" s="17"/>
      <c r="F690" s="18"/>
      <c r="G690" s="18"/>
      <c r="H690" s="21"/>
      <c r="I690" s="19"/>
      <c r="J690" s="8" t="str">
        <f aca="false">IF(OR(E690="",F690=""),"",E690*F690)</f>
        <v/>
      </c>
      <c r="K690" s="22" t="str">
        <f aca="false">IF($M690="","",INDEX('Программа тренировок'!$G$6:$G$25,$M690))</f>
        <v/>
      </c>
      <c r="L690" s="23" t="str">
        <f aca="false">IF(OR($M690="",$F690="",$G690=""),"",IF($H690="Разминка","Разминка",IF($F690&lt;INDEX('Программа тренировок'!$E$6:$E$25,$M690),"Ниже диапазона",IF(AND($F690&gt;=INDEX('Программа тренировок'!$F$6:$F$25,$M690),$G690&gt;=INDEX('Программа тренировок'!$L$6:$L$25,$M690)),"Верх диапазона: пора добавлять вес",IF($G690&lt;INDEX('Программа тренировок'!$L$6:$L$25,$M690),"RIR ниже цели","В диапазоне")))))</f>
        <v/>
      </c>
      <c r="M690" s="23" t="str">
        <f aca="false">IF($C690="","",IFERROR(MATCH($C690,'Программа тренировок'!$C$6:$C$25,0),""))</f>
        <v/>
      </c>
    </row>
    <row r="691" customFormat="false" ht="15" hidden="false" customHeight="true" outlineLevel="0" collapsed="false">
      <c r="A691" s="20"/>
      <c r="B691" s="21"/>
      <c r="C691" s="19"/>
      <c r="D691" s="18"/>
      <c r="E691" s="17"/>
      <c r="F691" s="18"/>
      <c r="G691" s="18"/>
      <c r="H691" s="21"/>
      <c r="I691" s="19"/>
      <c r="J691" s="8" t="str">
        <f aca="false">IF(OR(E691="",F691=""),"",E691*F691)</f>
        <v/>
      </c>
      <c r="K691" s="22" t="str">
        <f aca="false">IF($M691="","",INDEX('Программа тренировок'!$G$6:$G$25,$M691))</f>
        <v/>
      </c>
      <c r="L691" s="23" t="str">
        <f aca="false">IF(OR($M691="",$F691="",$G691=""),"",IF($H691="Разминка","Разминка",IF($F691&lt;INDEX('Программа тренировок'!$E$6:$E$25,$M691),"Ниже диапазона",IF(AND($F691&gt;=INDEX('Программа тренировок'!$F$6:$F$25,$M691),$G691&gt;=INDEX('Программа тренировок'!$L$6:$L$25,$M691)),"Верх диапазона: пора добавлять вес",IF($G691&lt;INDEX('Программа тренировок'!$L$6:$L$25,$M691),"RIR ниже цели","В диапазоне")))))</f>
        <v/>
      </c>
      <c r="M691" s="23" t="str">
        <f aca="false">IF($C691="","",IFERROR(MATCH($C691,'Программа тренировок'!$C$6:$C$25,0),""))</f>
        <v/>
      </c>
    </row>
    <row r="692" customFormat="false" ht="15" hidden="false" customHeight="true" outlineLevel="0" collapsed="false">
      <c r="A692" s="20"/>
      <c r="B692" s="21"/>
      <c r="C692" s="19"/>
      <c r="D692" s="18"/>
      <c r="E692" s="17"/>
      <c r="F692" s="18"/>
      <c r="G692" s="18"/>
      <c r="H692" s="21"/>
      <c r="I692" s="19"/>
      <c r="J692" s="8" t="str">
        <f aca="false">IF(OR(E692="",F692=""),"",E692*F692)</f>
        <v/>
      </c>
      <c r="K692" s="22" t="str">
        <f aca="false">IF($M692="","",INDEX('Программа тренировок'!$G$6:$G$25,$M692))</f>
        <v/>
      </c>
      <c r="L692" s="23" t="str">
        <f aca="false">IF(OR($M692="",$F692="",$G692=""),"",IF($H692="Разминка","Разминка",IF($F692&lt;INDEX('Программа тренировок'!$E$6:$E$25,$M692),"Ниже диапазона",IF(AND($F692&gt;=INDEX('Программа тренировок'!$F$6:$F$25,$M692),$G692&gt;=INDEX('Программа тренировок'!$L$6:$L$25,$M692)),"Верх диапазона: пора добавлять вес",IF($G692&lt;INDEX('Программа тренировок'!$L$6:$L$25,$M692),"RIR ниже цели","В диапазоне")))))</f>
        <v/>
      </c>
      <c r="M692" s="23" t="str">
        <f aca="false">IF($C692="","",IFERROR(MATCH($C692,'Программа тренировок'!$C$6:$C$25,0),""))</f>
        <v/>
      </c>
    </row>
    <row r="693" customFormat="false" ht="15" hidden="false" customHeight="true" outlineLevel="0" collapsed="false">
      <c r="A693" s="20"/>
      <c r="B693" s="21"/>
      <c r="C693" s="19"/>
      <c r="D693" s="18"/>
      <c r="E693" s="17"/>
      <c r="F693" s="18"/>
      <c r="G693" s="18"/>
      <c r="H693" s="21"/>
      <c r="I693" s="19"/>
      <c r="J693" s="8" t="str">
        <f aca="false">IF(OR(E693="",F693=""),"",E693*F693)</f>
        <v/>
      </c>
      <c r="K693" s="22" t="str">
        <f aca="false">IF($M693="","",INDEX('Программа тренировок'!$G$6:$G$25,$M693))</f>
        <v/>
      </c>
      <c r="L693" s="23" t="str">
        <f aca="false">IF(OR($M693="",$F693="",$G693=""),"",IF($H693="Разминка","Разминка",IF($F693&lt;INDEX('Программа тренировок'!$E$6:$E$25,$M693),"Ниже диапазона",IF(AND($F693&gt;=INDEX('Программа тренировок'!$F$6:$F$25,$M693),$G693&gt;=INDEX('Программа тренировок'!$L$6:$L$25,$M693)),"Верх диапазона: пора добавлять вес",IF($G693&lt;INDEX('Программа тренировок'!$L$6:$L$25,$M693),"RIR ниже цели","В диапазоне")))))</f>
        <v/>
      </c>
      <c r="M693" s="23" t="str">
        <f aca="false">IF($C693="","",IFERROR(MATCH($C693,'Программа тренировок'!$C$6:$C$25,0),""))</f>
        <v/>
      </c>
    </row>
    <row r="694" customFormat="false" ht="15" hidden="false" customHeight="true" outlineLevel="0" collapsed="false">
      <c r="A694" s="20"/>
      <c r="B694" s="21"/>
      <c r="C694" s="19"/>
      <c r="D694" s="18"/>
      <c r="E694" s="17"/>
      <c r="F694" s="18"/>
      <c r="G694" s="18"/>
      <c r="H694" s="21"/>
      <c r="I694" s="19"/>
      <c r="J694" s="8" t="str">
        <f aca="false">IF(OR(E694="",F694=""),"",E694*F694)</f>
        <v/>
      </c>
      <c r="K694" s="22" t="str">
        <f aca="false">IF($M694="","",INDEX('Программа тренировок'!$G$6:$G$25,$M694))</f>
        <v/>
      </c>
      <c r="L694" s="23" t="str">
        <f aca="false">IF(OR($M694="",$F694="",$G694=""),"",IF($H694="Разминка","Разминка",IF($F694&lt;INDEX('Программа тренировок'!$E$6:$E$25,$M694),"Ниже диапазона",IF(AND($F694&gt;=INDEX('Программа тренировок'!$F$6:$F$25,$M694),$G694&gt;=INDEX('Программа тренировок'!$L$6:$L$25,$M694)),"Верх диапазона: пора добавлять вес",IF($G694&lt;INDEX('Программа тренировок'!$L$6:$L$25,$M694),"RIR ниже цели","В диапазоне")))))</f>
        <v/>
      </c>
      <c r="M694" s="23" t="str">
        <f aca="false">IF($C694="","",IFERROR(MATCH($C694,'Программа тренировок'!$C$6:$C$25,0),""))</f>
        <v/>
      </c>
    </row>
    <row r="695" customFormat="false" ht="15" hidden="false" customHeight="true" outlineLevel="0" collapsed="false">
      <c r="A695" s="20"/>
      <c r="B695" s="21"/>
      <c r="C695" s="19"/>
      <c r="D695" s="18"/>
      <c r="E695" s="17"/>
      <c r="F695" s="18"/>
      <c r="G695" s="18"/>
      <c r="H695" s="21"/>
      <c r="I695" s="19"/>
      <c r="J695" s="8" t="str">
        <f aca="false">IF(OR(E695="",F695=""),"",E695*F695)</f>
        <v/>
      </c>
      <c r="K695" s="22" t="str">
        <f aca="false">IF($M695="","",INDEX('Программа тренировок'!$G$6:$G$25,$M695))</f>
        <v/>
      </c>
      <c r="L695" s="23" t="str">
        <f aca="false">IF(OR($M695="",$F695="",$G695=""),"",IF($H695="Разминка","Разминка",IF($F695&lt;INDEX('Программа тренировок'!$E$6:$E$25,$M695),"Ниже диапазона",IF(AND($F695&gt;=INDEX('Программа тренировок'!$F$6:$F$25,$M695),$G695&gt;=INDEX('Программа тренировок'!$L$6:$L$25,$M695)),"Верх диапазона: пора добавлять вес",IF($G695&lt;INDEX('Программа тренировок'!$L$6:$L$25,$M695),"RIR ниже цели","В диапазоне")))))</f>
        <v/>
      </c>
      <c r="M695" s="23" t="str">
        <f aca="false">IF($C695="","",IFERROR(MATCH($C695,'Программа тренировок'!$C$6:$C$25,0),""))</f>
        <v/>
      </c>
    </row>
    <row r="696" customFormat="false" ht="15" hidden="false" customHeight="true" outlineLevel="0" collapsed="false">
      <c r="A696" s="20"/>
      <c r="B696" s="21"/>
      <c r="C696" s="19"/>
      <c r="D696" s="18"/>
      <c r="E696" s="17"/>
      <c r="F696" s="18"/>
      <c r="G696" s="18"/>
      <c r="H696" s="21"/>
      <c r="I696" s="19"/>
      <c r="J696" s="8" t="str">
        <f aca="false">IF(OR(E696="",F696=""),"",E696*F696)</f>
        <v/>
      </c>
      <c r="K696" s="22" t="str">
        <f aca="false">IF($M696="","",INDEX('Программа тренировок'!$G$6:$G$25,$M696))</f>
        <v/>
      </c>
      <c r="L696" s="23" t="str">
        <f aca="false">IF(OR($M696="",$F696="",$G696=""),"",IF($H696="Разминка","Разминка",IF($F696&lt;INDEX('Программа тренировок'!$E$6:$E$25,$M696),"Ниже диапазона",IF(AND($F696&gt;=INDEX('Программа тренировок'!$F$6:$F$25,$M696),$G696&gt;=INDEX('Программа тренировок'!$L$6:$L$25,$M696)),"Верх диапазона: пора добавлять вес",IF($G696&lt;INDEX('Программа тренировок'!$L$6:$L$25,$M696),"RIR ниже цели","В диапазоне")))))</f>
        <v/>
      </c>
      <c r="M696" s="23" t="str">
        <f aca="false">IF($C696="","",IFERROR(MATCH($C696,'Программа тренировок'!$C$6:$C$25,0),""))</f>
        <v/>
      </c>
    </row>
    <row r="697" customFormat="false" ht="15" hidden="false" customHeight="true" outlineLevel="0" collapsed="false">
      <c r="A697" s="20"/>
      <c r="B697" s="21"/>
      <c r="C697" s="19"/>
      <c r="D697" s="18"/>
      <c r="E697" s="17"/>
      <c r="F697" s="18"/>
      <c r="G697" s="18"/>
      <c r="H697" s="21"/>
      <c r="I697" s="19"/>
      <c r="J697" s="8" t="str">
        <f aca="false">IF(OR(E697="",F697=""),"",E697*F697)</f>
        <v/>
      </c>
      <c r="K697" s="22" t="str">
        <f aca="false">IF($M697="","",INDEX('Программа тренировок'!$G$6:$G$25,$M697))</f>
        <v/>
      </c>
      <c r="L697" s="23" t="str">
        <f aca="false">IF(OR($M697="",$F697="",$G697=""),"",IF($H697="Разминка","Разминка",IF($F697&lt;INDEX('Программа тренировок'!$E$6:$E$25,$M697),"Ниже диапазона",IF(AND($F697&gt;=INDEX('Программа тренировок'!$F$6:$F$25,$M697),$G697&gt;=INDEX('Программа тренировок'!$L$6:$L$25,$M697)),"Верх диапазона: пора добавлять вес",IF($G697&lt;INDEX('Программа тренировок'!$L$6:$L$25,$M697),"RIR ниже цели","В диапазоне")))))</f>
        <v/>
      </c>
      <c r="M697" s="23" t="str">
        <f aca="false">IF($C697="","",IFERROR(MATCH($C697,'Программа тренировок'!$C$6:$C$25,0),""))</f>
        <v/>
      </c>
    </row>
    <row r="698" customFormat="false" ht="15" hidden="false" customHeight="true" outlineLevel="0" collapsed="false">
      <c r="A698" s="20"/>
      <c r="B698" s="21"/>
      <c r="C698" s="19"/>
      <c r="D698" s="18"/>
      <c r="E698" s="17"/>
      <c r="F698" s="18"/>
      <c r="G698" s="18"/>
      <c r="H698" s="21"/>
      <c r="I698" s="19"/>
      <c r="J698" s="8" t="str">
        <f aca="false">IF(OR(E698="",F698=""),"",E698*F698)</f>
        <v/>
      </c>
      <c r="K698" s="22" t="str">
        <f aca="false">IF($M698="","",INDEX('Программа тренировок'!$G$6:$G$25,$M698))</f>
        <v/>
      </c>
      <c r="L698" s="23" t="str">
        <f aca="false">IF(OR($M698="",$F698="",$G698=""),"",IF($H698="Разминка","Разминка",IF($F698&lt;INDEX('Программа тренировок'!$E$6:$E$25,$M698),"Ниже диапазона",IF(AND($F698&gt;=INDEX('Программа тренировок'!$F$6:$F$25,$M698),$G698&gt;=INDEX('Программа тренировок'!$L$6:$L$25,$M698)),"Верх диапазона: пора добавлять вес",IF($G698&lt;INDEX('Программа тренировок'!$L$6:$L$25,$M698),"RIR ниже цели","В диапазоне")))))</f>
        <v/>
      </c>
      <c r="M698" s="23" t="str">
        <f aca="false">IF($C698="","",IFERROR(MATCH($C698,'Программа тренировок'!$C$6:$C$25,0),""))</f>
        <v/>
      </c>
    </row>
    <row r="699" customFormat="false" ht="15" hidden="false" customHeight="true" outlineLevel="0" collapsed="false">
      <c r="A699" s="20"/>
      <c r="B699" s="21"/>
      <c r="C699" s="19"/>
      <c r="D699" s="18"/>
      <c r="E699" s="17"/>
      <c r="F699" s="18"/>
      <c r="G699" s="18"/>
      <c r="H699" s="21"/>
      <c r="I699" s="19"/>
      <c r="J699" s="8" t="str">
        <f aca="false">IF(OR(E699="",F699=""),"",E699*F699)</f>
        <v/>
      </c>
      <c r="K699" s="22" t="str">
        <f aca="false">IF($M699="","",INDEX('Программа тренировок'!$G$6:$G$25,$M699))</f>
        <v/>
      </c>
      <c r="L699" s="23" t="str">
        <f aca="false">IF(OR($M699="",$F699="",$G699=""),"",IF($H699="Разминка","Разминка",IF($F699&lt;INDEX('Программа тренировок'!$E$6:$E$25,$M699),"Ниже диапазона",IF(AND($F699&gt;=INDEX('Программа тренировок'!$F$6:$F$25,$M699),$G699&gt;=INDEX('Программа тренировок'!$L$6:$L$25,$M699)),"Верх диапазона: пора добавлять вес",IF($G699&lt;INDEX('Программа тренировок'!$L$6:$L$25,$M699),"RIR ниже цели","В диапазоне")))))</f>
        <v/>
      </c>
      <c r="M699" s="23" t="str">
        <f aca="false">IF($C699="","",IFERROR(MATCH($C699,'Программа тренировок'!$C$6:$C$25,0),""))</f>
        <v/>
      </c>
    </row>
    <row r="700" customFormat="false" ht="15" hidden="false" customHeight="true" outlineLevel="0" collapsed="false">
      <c r="A700" s="20"/>
      <c r="B700" s="21"/>
      <c r="C700" s="19"/>
      <c r="D700" s="18"/>
      <c r="E700" s="17"/>
      <c r="F700" s="18"/>
      <c r="G700" s="18"/>
      <c r="H700" s="21"/>
      <c r="I700" s="19"/>
      <c r="J700" s="8" t="str">
        <f aca="false">IF(OR(E700="",F700=""),"",E700*F700)</f>
        <v/>
      </c>
      <c r="K700" s="22" t="str">
        <f aca="false">IF($M700="","",INDEX('Программа тренировок'!$G$6:$G$25,$M700))</f>
        <v/>
      </c>
      <c r="L700" s="23" t="str">
        <f aca="false">IF(OR($M700="",$F700="",$G700=""),"",IF($H700="Разминка","Разминка",IF($F700&lt;INDEX('Программа тренировок'!$E$6:$E$25,$M700),"Ниже диапазона",IF(AND($F700&gt;=INDEX('Программа тренировок'!$F$6:$F$25,$M700),$G700&gt;=INDEX('Программа тренировок'!$L$6:$L$25,$M700)),"Верх диапазона: пора добавлять вес",IF($G700&lt;INDEX('Программа тренировок'!$L$6:$L$25,$M700),"RIR ниже цели","В диапазоне")))))</f>
        <v/>
      </c>
      <c r="M700" s="23" t="str">
        <f aca="false">IF($C700="","",IFERROR(MATCH($C700,'Программа тренировок'!$C$6:$C$25,0),""))</f>
        <v/>
      </c>
    </row>
    <row r="701" customFormat="false" ht="15" hidden="false" customHeight="true" outlineLevel="0" collapsed="false">
      <c r="A701" s="20"/>
      <c r="B701" s="21"/>
      <c r="C701" s="19"/>
      <c r="D701" s="18"/>
      <c r="E701" s="17"/>
      <c r="F701" s="18"/>
      <c r="G701" s="18"/>
      <c r="H701" s="21"/>
      <c r="I701" s="19"/>
      <c r="J701" s="8" t="str">
        <f aca="false">IF(OR(E701="",F701=""),"",E701*F701)</f>
        <v/>
      </c>
      <c r="K701" s="22" t="str">
        <f aca="false">IF($M701="","",INDEX('Программа тренировок'!$G$6:$G$25,$M701))</f>
        <v/>
      </c>
      <c r="L701" s="23" t="str">
        <f aca="false">IF(OR($M701="",$F701="",$G701=""),"",IF($H701="Разминка","Разминка",IF($F701&lt;INDEX('Программа тренировок'!$E$6:$E$25,$M701),"Ниже диапазона",IF(AND($F701&gt;=INDEX('Программа тренировок'!$F$6:$F$25,$M701),$G701&gt;=INDEX('Программа тренировок'!$L$6:$L$25,$M701)),"Верх диапазона: пора добавлять вес",IF($G701&lt;INDEX('Программа тренировок'!$L$6:$L$25,$M701),"RIR ниже цели","В диапазоне")))))</f>
        <v/>
      </c>
      <c r="M701" s="23" t="str">
        <f aca="false">IF($C701="","",IFERROR(MATCH($C701,'Программа тренировок'!$C$6:$C$25,0),""))</f>
        <v/>
      </c>
    </row>
    <row r="702" customFormat="false" ht="15" hidden="false" customHeight="true" outlineLevel="0" collapsed="false">
      <c r="A702" s="20"/>
      <c r="B702" s="21"/>
      <c r="C702" s="19"/>
      <c r="D702" s="18"/>
      <c r="E702" s="17"/>
      <c r="F702" s="18"/>
      <c r="G702" s="18"/>
      <c r="H702" s="21"/>
      <c r="I702" s="19"/>
      <c r="J702" s="8" t="str">
        <f aca="false">IF(OR(E702="",F702=""),"",E702*F702)</f>
        <v/>
      </c>
      <c r="K702" s="22" t="str">
        <f aca="false">IF($M702="","",INDEX('Программа тренировок'!$G$6:$G$25,$M702))</f>
        <v/>
      </c>
      <c r="L702" s="23" t="str">
        <f aca="false">IF(OR($M702="",$F702="",$G702=""),"",IF($H702="Разминка","Разминка",IF($F702&lt;INDEX('Программа тренировок'!$E$6:$E$25,$M702),"Ниже диапазона",IF(AND($F702&gt;=INDEX('Программа тренировок'!$F$6:$F$25,$M702),$G702&gt;=INDEX('Программа тренировок'!$L$6:$L$25,$M702)),"Верх диапазона: пора добавлять вес",IF($G702&lt;INDEX('Программа тренировок'!$L$6:$L$25,$M702),"RIR ниже цели","В диапазоне")))))</f>
        <v/>
      </c>
      <c r="M702" s="23" t="str">
        <f aca="false">IF($C702="","",IFERROR(MATCH($C702,'Программа тренировок'!$C$6:$C$25,0),""))</f>
        <v/>
      </c>
    </row>
    <row r="703" customFormat="false" ht="15" hidden="false" customHeight="true" outlineLevel="0" collapsed="false">
      <c r="A703" s="20"/>
      <c r="B703" s="21"/>
      <c r="C703" s="19"/>
      <c r="D703" s="18"/>
      <c r="E703" s="17"/>
      <c r="F703" s="18"/>
      <c r="G703" s="18"/>
      <c r="H703" s="21"/>
      <c r="I703" s="19"/>
      <c r="J703" s="8" t="str">
        <f aca="false">IF(OR(E703="",F703=""),"",E703*F703)</f>
        <v/>
      </c>
      <c r="K703" s="22" t="str">
        <f aca="false">IF($M703="","",INDEX('Программа тренировок'!$G$6:$G$25,$M703))</f>
        <v/>
      </c>
      <c r="L703" s="23" t="str">
        <f aca="false">IF(OR($M703="",$F703="",$G703=""),"",IF($H703="Разминка","Разминка",IF($F703&lt;INDEX('Программа тренировок'!$E$6:$E$25,$M703),"Ниже диапазона",IF(AND($F703&gt;=INDEX('Программа тренировок'!$F$6:$F$25,$M703),$G703&gt;=INDEX('Программа тренировок'!$L$6:$L$25,$M703)),"Верх диапазона: пора добавлять вес",IF($G703&lt;INDEX('Программа тренировок'!$L$6:$L$25,$M703),"RIR ниже цели","В диапазоне")))))</f>
        <v/>
      </c>
      <c r="M703" s="23" t="str">
        <f aca="false">IF($C703="","",IFERROR(MATCH($C703,'Программа тренировок'!$C$6:$C$25,0),""))</f>
        <v/>
      </c>
    </row>
    <row r="704" customFormat="false" ht="15" hidden="false" customHeight="true" outlineLevel="0" collapsed="false">
      <c r="A704" s="20"/>
      <c r="B704" s="21"/>
      <c r="C704" s="19"/>
      <c r="D704" s="18"/>
      <c r="E704" s="17"/>
      <c r="F704" s="18"/>
      <c r="G704" s="18"/>
      <c r="H704" s="21"/>
      <c r="I704" s="19"/>
      <c r="J704" s="8" t="str">
        <f aca="false">IF(OR(E704="",F704=""),"",E704*F704)</f>
        <v/>
      </c>
      <c r="K704" s="22" t="str">
        <f aca="false">IF($M704="","",INDEX('Программа тренировок'!$G$6:$G$25,$M704))</f>
        <v/>
      </c>
      <c r="L704" s="23" t="str">
        <f aca="false">IF(OR($M704="",$F704="",$G704=""),"",IF($H704="Разминка","Разминка",IF($F704&lt;INDEX('Программа тренировок'!$E$6:$E$25,$M704),"Ниже диапазона",IF(AND($F704&gt;=INDEX('Программа тренировок'!$F$6:$F$25,$M704),$G704&gt;=INDEX('Программа тренировок'!$L$6:$L$25,$M704)),"Верх диапазона: пора добавлять вес",IF($G704&lt;INDEX('Программа тренировок'!$L$6:$L$25,$M704),"RIR ниже цели","В диапазоне")))))</f>
        <v/>
      </c>
      <c r="M704" s="23" t="str">
        <f aca="false">IF($C704="","",IFERROR(MATCH($C704,'Программа тренировок'!$C$6:$C$25,0),""))</f>
        <v/>
      </c>
    </row>
    <row r="705" customFormat="false" ht="15" hidden="false" customHeight="true" outlineLevel="0" collapsed="false">
      <c r="A705" s="20"/>
      <c r="B705" s="21"/>
      <c r="C705" s="19"/>
      <c r="D705" s="18"/>
      <c r="E705" s="17"/>
      <c r="F705" s="18"/>
      <c r="G705" s="18"/>
      <c r="H705" s="21"/>
      <c r="I705" s="19"/>
      <c r="J705" s="8" t="str">
        <f aca="false">IF(OR(E705="",F705=""),"",E705*F705)</f>
        <v/>
      </c>
      <c r="K705" s="22" t="str">
        <f aca="false">IF($M705="","",INDEX('Программа тренировок'!$G$6:$G$25,$M705))</f>
        <v/>
      </c>
      <c r="L705" s="23" t="str">
        <f aca="false">IF(OR($M705="",$F705="",$G705=""),"",IF($H705="Разминка","Разминка",IF($F705&lt;INDEX('Программа тренировок'!$E$6:$E$25,$M705),"Ниже диапазона",IF(AND($F705&gt;=INDEX('Программа тренировок'!$F$6:$F$25,$M705),$G705&gt;=INDEX('Программа тренировок'!$L$6:$L$25,$M705)),"Верх диапазона: пора добавлять вес",IF($G705&lt;INDEX('Программа тренировок'!$L$6:$L$25,$M705),"RIR ниже цели","В диапазоне")))))</f>
        <v/>
      </c>
      <c r="M705" s="23" t="str">
        <f aca="false">IF($C705="","",IFERROR(MATCH($C705,'Программа тренировок'!$C$6:$C$25,0),""))</f>
        <v/>
      </c>
    </row>
    <row r="706" customFormat="false" ht="15" hidden="false" customHeight="true" outlineLevel="0" collapsed="false">
      <c r="A706" s="20"/>
      <c r="B706" s="21"/>
      <c r="C706" s="19"/>
      <c r="D706" s="18"/>
      <c r="E706" s="17"/>
      <c r="F706" s="18"/>
      <c r="G706" s="18"/>
      <c r="H706" s="21"/>
      <c r="I706" s="19"/>
      <c r="J706" s="8" t="str">
        <f aca="false">IF(OR(E706="",F706=""),"",E706*F706)</f>
        <v/>
      </c>
      <c r="K706" s="22" t="str">
        <f aca="false">IF($M706="","",INDEX('Программа тренировок'!$G$6:$G$25,$M706))</f>
        <v/>
      </c>
      <c r="L706" s="23" t="str">
        <f aca="false">IF(OR($M706="",$F706="",$G706=""),"",IF($H706="Разминка","Разминка",IF($F706&lt;INDEX('Программа тренировок'!$E$6:$E$25,$M706),"Ниже диапазона",IF(AND($F706&gt;=INDEX('Программа тренировок'!$F$6:$F$25,$M706),$G706&gt;=INDEX('Программа тренировок'!$L$6:$L$25,$M706)),"Верх диапазона: пора добавлять вес",IF($G706&lt;INDEX('Программа тренировок'!$L$6:$L$25,$M706),"RIR ниже цели","В диапазоне")))))</f>
        <v/>
      </c>
      <c r="M706" s="23" t="str">
        <f aca="false">IF($C706="","",IFERROR(MATCH($C706,'Программа тренировок'!$C$6:$C$25,0),""))</f>
        <v/>
      </c>
    </row>
    <row r="707" customFormat="false" ht="15" hidden="false" customHeight="true" outlineLevel="0" collapsed="false">
      <c r="A707" s="20"/>
      <c r="B707" s="21"/>
      <c r="C707" s="19"/>
      <c r="D707" s="18"/>
      <c r="E707" s="17"/>
      <c r="F707" s="18"/>
      <c r="G707" s="18"/>
      <c r="H707" s="21"/>
      <c r="I707" s="19"/>
      <c r="J707" s="8" t="str">
        <f aca="false">IF(OR(E707="",F707=""),"",E707*F707)</f>
        <v/>
      </c>
      <c r="K707" s="22" t="str">
        <f aca="false">IF($M707="","",INDEX('Программа тренировок'!$G$6:$G$25,$M707))</f>
        <v/>
      </c>
      <c r="L707" s="23" t="str">
        <f aca="false">IF(OR($M707="",$F707="",$G707=""),"",IF($H707="Разминка","Разминка",IF($F707&lt;INDEX('Программа тренировок'!$E$6:$E$25,$M707),"Ниже диапазона",IF(AND($F707&gt;=INDEX('Программа тренировок'!$F$6:$F$25,$M707),$G707&gt;=INDEX('Программа тренировок'!$L$6:$L$25,$M707)),"Верх диапазона: пора добавлять вес",IF($G707&lt;INDEX('Программа тренировок'!$L$6:$L$25,$M707),"RIR ниже цели","В диапазоне")))))</f>
        <v/>
      </c>
      <c r="M707" s="23" t="str">
        <f aca="false">IF($C707="","",IFERROR(MATCH($C707,'Программа тренировок'!$C$6:$C$25,0),""))</f>
        <v/>
      </c>
    </row>
    <row r="708" customFormat="false" ht="15" hidden="false" customHeight="true" outlineLevel="0" collapsed="false">
      <c r="A708" s="20"/>
      <c r="B708" s="21"/>
      <c r="C708" s="19"/>
      <c r="D708" s="18"/>
      <c r="E708" s="17"/>
      <c r="F708" s="18"/>
      <c r="G708" s="18"/>
      <c r="H708" s="21"/>
      <c r="I708" s="19"/>
      <c r="J708" s="8" t="str">
        <f aca="false">IF(OR(E708="",F708=""),"",E708*F708)</f>
        <v/>
      </c>
      <c r="K708" s="22" t="str">
        <f aca="false">IF($M708="","",INDEX('Программа тренировок'!$G$6:$G$25,$M708))</f>
        <v/>
      </c>
      <c r="L708" s="23" t="str">
        <f aca="false">IF(OR($M708="",$F708="",$G708=""),"",IF($H708="Разминка","Разминка",IF($F708&lt;INDEX('Программа тренировок'!$E$6:$E$25,$M708),"Ниже диапазона",IF(AND($F708&gt;=INDEX('Программа тренировок'!$F$6:$F$25,$M708),$G708&gt;=INDEX('Программа тренировок'!$L$6:$L$25,$M708)),"Верх диапазона: пора добавлять вес",IF($G708&lt;INDEX('Программа тренировок'!$L$6:$L$25,$M708),"RIR ниже цели","В диапазоне")))))</f>
        <v/>
      </c>
      <c r="M708" s="23" t="str">
        <f aca="false">IF($C708="","",IFERROR(MATCH($C708,'Программа тренировок'!$C$6:$C$25,0),""))</f>
        <v/>
      </c>
    </row>
    <row r="709" customFormat="false" ht="15" hidden="false" customHeight="true" outlineLevel="0" collapsed="false">
      <c r="A709" s="20"/>
      <c r="B709" s="21"/>
      <c r="C709" s="19"/>
      <c r="D709" s="18"/>
      <c r="E709" s="17"/>
      <c r="F709" s="18"/>
      <c r="G709" s="18"/>
      <c r="H709" s="21"/>
      <c r="I709" s="19"/>
      <c r="J709" s="8" t="str">
        <f aca="false">IF(OR(E709="",F709=""),"",E709*F709)</f>
        <v/>
      </c>
      <c r="K709" s="22" t="str">
        <f aca="false">IF($M709="","",INDEX('Программа тренировок'!$G$6:$G$25,$M709))</f>
        <v/>
      </c>
      <c r="L709" s="23" t="str">
        <f aca="false">IF(OR($M709="",$F709="",$G709=""),"",IF($H709="Разминка","Разминка",IF($F709&lt;INDEX('Программа тренировок'!$E$6:$E$25,$M709),"Ниже диапазона",IF(AND($F709&gt;=INDEX('Программа тренировок'!$F$6:$F$25,$M709),$G709&gt;=INDEX('Программа тренировок'!$L$6:$L$25,$M709)),"Верх диапазона: пора добавлять вес",IF($G709&lt;INDEX('Программа тренировок'!$L$6:$L$25,$M709),"RIR ниже цели","В диапазоне")))))</f>
        <v/>
      </c>
      <c r="M709" s="23" t="str">
        <f aca="false">IF($C709="","",IFERROR(MATCH($C709,'Программа тренировок'!$C$6:$C$25,0),""))</f>
        <v/>
      </c>
    </row>
    <row r="710" customFormat="false" ht="15" hidden="false" customHeight="true" outlineLevel="0" collapsed="false">
      <c r="A710" s="20"/>
      <c r="B710" s="21"/>
      <c r="C710" s="19"/>
      <c r="D710" s="18"/>
      <c r="E710" s="17"/>
      <c r="F710" s="18"/>
      <c r="G710" s="18"/>
      <c r="H710" s="21"/>
      <c r="I710" s="19"/>
      <c r="J710" s="8" t="str">
        <f aca="false">IF(OR(E710="",F710=""),"",E710*F710)</f>
        <v/>
      </c>
      <c r="K710" s="22" t="str">
        <f aca="false">IF($M710="","",INDEX('Программа тренировок'!$G$6:$G$25,$M710))</f>
        <v/>
      </c>
      <c r="L710" s="23" t="str">
        <f aca="false">IF(OR($M710="",$F710="",$G710=""),"",IF($H710="Разминка","Разминка",IF($F710&lt;INDEX('Программа тренировок'!$E$6:$E$25,$M710),"Ниже диапазона",IF(AND($F710&gt;=INDEX('Программа тренировок'!$F$6:$F$25,$M710),$G710&gt;=INDEX('Программа тренировок'!$L$6:$L$25,$M710)),"Верх диапазона: пора добавлять вес",IF($G710&lt;INDEX('Программа тренировок'!$L$6:$L$25,$M710),"RIR ниже цели","В диапазоне")))))</f>
        <v/>
      </c>
      <c r="M710" s="23" t="str">
        <f aca="false">IF($C710="","",IFERROR(MATCH($C710,'Программа тренировок'!$C$6:$C$25,0),""))</f>
        <v/>
      </c>
    </row>
    <row r="711" customFormat="false" ht="15" hidden="false" customHeight="true" outlineLevel="0" collapsed="false">
      <c r="A711" s="20"/>
      <c r="B711" s="21"/>
      <c r="C711" s="19"/>
      <c r="D711" s="18"/>
      <c r="E711" s="17"/>
      <c r="F711" s="18"/>
      <c r="G711" s="18"/>
      <c r="H711" s="21"/>
      <c r="I711" s="19"/>
      <c r="J711" s="8" t="str">
        <f aca="false">IF(OR(E711="",F711=""),"",E711*F711)</f>
        <v/>
      </c>
      <c r="K711" s="22" t="str">
        <f aca="false">IF($M711="","",INDEX('Программа тренировок'!$G$6:$G$25,$M711))</f>
        <v/>
      </c>
      <c r="L711" s="23" t="str">
        <f aca="false">IF(OR($M711="",$F711="",$G711=""),"",IF($H711="Разминка","Разминка",IF($F711&lt;INDEX('Программа тренировок'!$E$6:$E$25,$M711),"Ниже диапазона",IF(AND($F711&gt;=INDEX('Программа тренировок'!$F$6:$F$25,$M711),$G711&gt;=INDEX('Программа тренировок'!$L$6:$L$25,$M711)),"Верх диапазона: пора добавлять вес",IF($G711&lt;INDEX('Программа тренировок'!$L$6:$L$25,$M711),"RIR ниже цели","В диапазоне")))))</f>
        <v/>
      </c>
      <c r="M711" s="23" t="str">
        <f aca="false">IF($C711="","",IFERROR(MATCH($C711,'Программа тренировок'!$C$6:$C$25,0),""))</f>
        <v/>
      </c>
    </row>
    <row r="712" customFormat="false" ht="15" hidden="false" customHeight="true" outlineLevel="0" collapsed="false">
      <c r="A712" s="20"/>
      <c r="B712" s="21"/>
      <c r="C712" s="19"/>
      <c r="D712" s="18"/>
      <c r="E712" s="17"/>
      <c r="F712" s="18"/>
      <c r="G712" s="18"/>
      <c r="H712" s="21"/>
      <c r="I712" s="19"/>
      <c r="J712" s="8" t="str">
        <f aca="false">IF(OR(E712="",F712=""),"",E712*F712)</f>
        <v/>
      </c>
      <c r="K712" s="22" t="str">
        <f aca="false">IF($M712="","",INDEX('Программа тренировок'!$G$6:$G$25,$M712))</f>
        <v/>
      </c>
      <c r="L712" s="23" t="str">
        <f aca="false">IF(OR($M712="",$F712="",$G712=""),"",IF($H712="Разминка","Разминка",IF($F712&lt;INDEX('Программа тренировок'!$E$6:$E$25,$M712),"Ниже диапазона",IF(AND($F712&gt;=INDEX('Программа тренировок'!$F$6:$F$25,$M712),$G712&gt;=INDEX('Программа тренировок'!$L$6:$L$25,$M712)),"Верх диапазона: пора добавлять вес",IF($G712&lt;INDEX('Программа тренировок'!$L$6:$L$25,$M712),"RIR ниже цели","В диапазоне")))))</f>
        <v/>
      </c>
      <c r="M712" s="23" t="str">
        <f aca="false">IF($C712="","",IFERROR(MATCH($C712,'Программа тренировок'!$C$6:$C$25,0),""))</f>
        <v/>
      </c>
    </row>
    <row r="713" customFormat="false" ht="15" hidden="false" customHeight="true" outlineLevel="0" collapsed="false">
      <c r="A713" s="20"/>
      <c r="B713" s="21"/>
      <c r="C713" s="19"/>
      <c r="D713" s="18"/>
      <c r="E713" s="17"/>
      <c r="F713" s="18"/>
      <c r="G713" s="18"/>
      <c r="H713" s="21"/>
      <c r="I713" s="19"/>
      <c r="J713" s="8" t="str">
        <f aca="false">IF(OR(E713="",F713=""),"",E713*F713)</f>
        <v/>
      </c>
      <c r="K713" s="22" t="str">
        <f aca="false">IF($M713="","",INDEX('Программа тренировок'!$G$6:$G$25,$M713))</f>
        <v/>
      </c>
      <c r="L713" s="23" t="str">
        <f aca="false">IF(OR($M713="",$F713="",$G713=""),"",IF($H713="Разминка","Разминка",IF($F713&lt;INDEX('Программа тренировок'!$E$6:$E$25,$M713),"Ниже диапазона",IF(AND($F713&gt;=INDEX('Программа тренировок'!$F$6:$F$25,$M713),$G713&gt;=INDEX('Программа тренировок'!$L$6:$L$25,$M713)),"Верх диапазона: пора добавлять вес",IF($G713&lt;INDEX('Программа тренировок'!$L$6:$L$25,$M713),"RIR ниже цели","В диапазоне")))))</f>
        <v/>
      </c>
      <c r="M713" s="23" t="str">
        <f aca="false">IF($C713="","",IFERROR(MATCH($C713,'Программа тренировок'!$C$6:$C$25,0),""))</f>
        <v/>
      </c>
    </row>
    <row r="714" customFormat="false" ht="15" hidden="false" customHeight="true" outlineLevel="0" collapsed="false">
      <c r="A714" s="20"/>
      <c r="B714" s="21"/>
      <c r="C714" s="19"/>
      <c r="D714" s="18"/>
      <c r="E714" s="17"/>
      <c r="F714" s="18"/>
      <c r="G714" s="18"/>
      <c r="H714" s="21"/>
      <c r="I714" s="19"/>
      <c r="J714" s="8" t="str">
        <f aca="false">IF(OR(E714="",F714=""),"",E714*F714)</f>
        <v/>
      </c>
      <c r="K714" s="22" t="str">
        <f aca="false">IF($M714="","",INDEX('Программа тренировок'!$G$6:$G$25,$M714))</f>
        <v/>
      </c>
      <c r="L714" s="23" t="str">
        <f aca="false">IF(OR($M714="",$F714="",$G714=""),"",IF($H714="Разминка","Разминка",IF($F714&lt;INDEX('Программа тренировок'!$E$6:$E$25,$M714),"Ниже диапазона",IF(AND($F714&gt;=INDEX('Программа тренировок'!$F$6:$F$25,$M714),$G714&gt;=INDEX('Программа тренировок'!$L$6:$L$25,$M714)),"Верх диапазона: пора добавлять вес",IF($G714&lt;INDEX('Программа тренировок'!$L$6:$L$25,$M714),"RIR ниже цели","В диапазоне")))))</f>
        <v/>
      </c>
      <c r="M714" s="23" t="str">
        <f aca="false">IF($C714="","",IFERROR(MATCH($C714,'Программа тренировок'!$C$6:$C$25,0),""))</f>
        <v/>
      </c>
    </row>
    <row r="715" customFormat="false" ht="15" hidden="false" customHeight="true" outlineLevel="0" collapsed="false">
      <c r="A715" s="20"/>
      <c r="B715" s="21"/>
      <c r="C715" s="19"/>
      <c r="D715" s="18"/>
      <c r="E715" s="17"/>
      <c r="F715" s="18"/>
      <c r="G715" s="18"/>
      <c r="H715" s="21"/>
      <c r="I715" s="19"/>
      <c r="J715" s="8" t="str">
        <f aca="false">IF(OR(E715="",F715=""),"",E715*F715)</f>
        <v/>
      </c>
      <c r="K715" s="22" t="str">
        <f aca="false">IF($M715="","",INDEX('Программа тренировок'!$G$6:$G$25,$M715))</f>
        <v/>
      </c>
      <c r="L715" s="23" t="str">
        <f aca="false">IF(OR($M715="",$F715="",$G715=""),"",IF($H715="Разминка","Разминка",IF($F715&lt;INDEX('Программа тренировок'!$E$6:$E$25,$M715),"Ниже диапазона",IF(AND($F715&gt;=INDEX('Программа тренировок'!$F$6:$F$25,$M715),$G715&gt;=INDEX('Программа тренировок'!$L$6:$L$25,$M715)),"Верх диапазона: пора добавлять вес",IF($G715&lt;INDEX('Программа тренировок'!$L$6:$L$25,$M715),"RIR ниже цели","В диапазоне")))))</f>
        <v/>
      </c>
      <c r="M715" s="23" t="str">
        <f aca="false">IF($C715="","",IFERROR(MATCH($C715,'Программа тренировок'!$C$6:$C$25,0),""))</f>
        <v/>
      </c>
    </row>
    <row r="716" customFormat="false" ht="15" hidden="false" customHeight="true" outlineLevel="0" collapsed="false">
      <c r="A716" s="20"/>
      <c r="B716" s="21"/>
      <c r="C716" s="19"/>
      <c r="D716" s="18"/>
      <c r="E716" s="17"/>
      <c r="F716" s="18"/>
      <c r="G716" s="18"/>
      <c r="H716" s="21"/>
      <c r="I716" s="19"/>
      <c r="J716" s="8" t="str">
        <f aca="false">IF(OR(E716="",F716=""),"",E716*F716)</f>
        <v/>
      </c>
      <c r="K716" s="22" t="str">
        <f aca="false">IF($M716="","",INDEX('Программа тренировок'!$G$6:$G$25,$M716))</f>
        <v/>
      </c>
      <c r="L716" s="23" t="str">
        <f aca="false">IF(OR($M716="",$F716="",$G716=""),"",IF($H716="Разминка","Разминка",IF($F716&lt;INDEX('Программа тренировок'!$E$6:$E$25,$M716),"Ниже диапазона",IF(AND($F716&gt;=INDEX('Программа тренировок'!$F$6:$F$25,$M716),$G716&gt;=INDEX('Программа тренировок'!$L$6:$L$25,$M716)),"Верх диапазона: пора добавлять вес",IF($G716&lt;INDEX('Программа тренировок'!$L$6:$L$25,$M716),"RIR ниже цели","В диапазоне")))))</f>
        <v/>
      </c>
      <c r="M716" s="23" t="str">
        <f aca="false">IF($C716="","",IFERROR(MATCH($C716,'Программа тренировок'!$C$6:$C$25,0),""))</f>
        <v/>
      </c>
    </row>
    <row r="717" customFormat="false" ht="15" hidden="false" customHeight="true" outlineLevel="0" collapsed="false">
      <c r="A717" s="20"/>
      <c r="B717" s="21"/>
      <c r="C717" s="19"/>
      <c r="D717" s="18"/>
      <c r="E717" s="17"/>
      <c r="F717" s="18"/>
      <c r="G717" s="18"/>
      <c r="H717" s="21"/>
      <c r="I717" s="19"/>
      <c r="J717" s="8" t="str">
        <f aca="false">IF(OR(E717="",F717=""),"",E717*F717)</f>
        <v/>
      </c>
      <c r="K717" s="22" t="str">
        <f aca="false">IF($M717="","",INDEX('Программа тренировок'!$G$6:$G$25,$M717))</f>
        <v/>
      </c>
      <c r="L717" s="23" t="str">
        <f aca="false">IF(OR($M717="",$F717="",$G717=""),"",IF($H717="Разминка","Разминка",IF($F717&lt;INDEX('Программа тренировок'!$E$6:$E$25,$M717),"Ниже диапазона",IF(AND($F717&gt;=INDEX('Программа тренировок'!$F$6:$F$25,$M717),$G717&gt;=INDEX('Программа тренировок'!$L$6:$L$25,$M717)),"Верх диапазона: пора добавлять вес",IF($G717&lt;INDEX('Программа тренировок'!$L$6:$L$25,$M717),"RIR ниже цели","В диапазоне")))))</f>
        <v/>
      </c>
      <c r="M717" s="23" t="str">
        <f aca="false">IF($C717="","",IFERROR(MATCH($C717,'Программа тренировок'!$C$6:$C$25,0),""))</f>
        <v/>
      </c>
    </row>
    <row r="718" customFormat="false" ht="15" hidden="false" customHeight="true" outlineLevel="0" collapsed="false">
      <c r="A718" s="20"/>
      <c r="B718" s="21"/>
      <c r="C718" s="19"/>
      <c r="D718" s="18"/>
      <c r="E718" s="17"/>
      <c r="F718" s="18"/>
      <c r="G718" s="18"/>
      <c r="H718" s="21"/>
      <c r="I718" s="19"/>
      <c r="J718" s="8" t="str">
        <f aca="false">IF(OR(E718="",F718=""),"",E718*F718)</f>
        <v/>
      </c>
      <c r="K718" s="22" t="str">
        <f aca="false">IF($M718="","",INDEX('Программа тренировок'!$G$6:$G$25,$M718))</f>
        <v/>
      </c>
      <c r="L718" s="23" t="str">
        <f aca="false">IF(OR($M718="",$F718="",$G718=""),"",IF($H718="Разминка","Разминка",IF($F718&lt;INDEX('Программа тренировок'!$E$6:$E$25,$M718),"Ниже диапазона",IF(AND($F718&gt;=INDEX('Программа тренировок'!$F$6:$F$25,$M718),$G718&gt;=INDEX('Программа тренировок'!$L$6:$L$25,$M718)),"Верх диапазона: пора добавлять вес",IF($G718&lt;INDEX('Программа тренировок'!$L$6:$L$25,$M718),"RIR ниже цели","В диапазоне")))))</f>
        <v/>
      </c>
      <c r="M718" s="23" t="str">
        <f aca="false">IF($C718="","",IFERROR(MATCH($C718,'Программа тренировок'!$C$6:$C$25,0),""))</f>
        <v/>
      </c>
    </row>
    <row r="719" customFormat="false" ht="15" hidden="false" customHeight="true" outlineLevel="0" collapsed="false">
      <c r="A719" s="20"/>
      <c r="B719" s="21"/>
      <c r="C719" s="19"/>
      <c r="D719" s="18"/>
      <c r="E719" s="17"/>
      <c r="F719" s="18"/>
      <c r="G719" s="18"/>
      <c r="H719" s="21"/>
      <c r="I719" s="19"/>
      <c r="J719" s="8" t="str">
        <f aca="false">IF(OR(E719="",F719=""),"",E719*F719)</f>
        <v/>
      </c>
      <c r="K719" s="22" t="str">
        <f aca="false">IF($M719="","",INDEX('Программа тренировок'!$G$6:$G$25,$M719))</f>
        <v/>
      </c>
      <c r="L719" s="23" t="str">
        <f aca="false">IF(OR($M719="",$F719="",$G719=""),"",IF($H719="Разминка","Разминка",IF($F719&lt;INDEX('Программа тренировок'!$E$6:$E$25,$M719),"Ниже диапазона",IF(AND($F719&gt;=INDEX('Программа тренировок'!$F$6:$F$25,$M719),$G719&gt;=INDEX('Программа тренировок'!$L$6:$L$25,$M719)),"Верх диапазона: пора добавлять вес",IF($G719&lt;INDEX('Программа тренировок'!$L$6:$L$25,$M719),"RIR ниже цели","В диапазоне")))))</f>
        <v/>
      </c>
      <c r="M719" s="23" t="str">
        <f aca="false">IF($C719="","",IFERROR(MATCH($C719,'Программа тренировок'!$C$6:$C$25,0),""))</f>
        <v/>
      </c>
    </row>
    <row r="720" customFormat="false" ht="15" hidden="false" customHeight="true" outlineLevel="0" collapsed="false">
      <c r="A720" s="20"/>
      <c r="B720" s="21"/>
      <c r="C720" s="19"/>
      <c r="D720" s="18"/>
      <c r="E720" s="17"/>
      <c r="F720" s="18"/>
      <c r="G720" s="18"/>
      <c r="H720" s="21"/>
      <c r="I720" s="19"/>
      <c r="J720" s="8" t="str">
        <f aca="false">IF(OR(E720="",F720=""),"",E720*F720)</f>
        <v/>
      </c>
      <c r="K720" s="22" t="str">
        <f aca="false">IF($M720="","",INDEX('Программа тренировок'!$G$6:$G$25,$M720))</f>
        <v/>
      </c>
      <c r="L720" s="23" t="str">
        <f aca="false">IF(OR($M720="",$F720="",$G720=""),"",IF($H720="Разминка","Разминка",IF($F720&lt;INDEX('Программа тренировок'!$E$6:$E$25,$M720),"Ниже диапазона",IF(AND($F720&gt;=INDEX('Программа тренировок'!$F$6:$F$25,$M720),$G720&gt;=INDEX('Программа тренировок'!$L$6:$L$25,$M720)),"Верх диапазона: пора добавлять вес",IF($G720&lt;INDEX('Программа тренировок'!$L$6:$L$25,$M720),"RIR ниже цели","В диапазоне")))))</f>
        <v/>
      </c>
      <c r="M720" s="23" t="str">
        <f aca="false">IF($C720="","",IFERROR(MATCH($C720,'Программа тренировок'!$C$6:$C$25,0),""))</f>
        <v/>
      </c>
    </row>
    <row r="721" customFormat="false" ht="15" hidden="false" customHeight="true" outlineLevel="0" collapsed="false">
      <c r="A721" s="20"/>
      <c r="B721" s="21"/>
      <c r="C721" s="19"/>
      <c r="D721" s="18"/>
      <c r="E721" s="17"/>
      <c r="F721" s="18"/>
      <c r="G721" s="18"/>
      <c r="H721" s="21"/>
      <c r="I721" s="19"/>
      <c r="J721" s="8" t="str">
        <f aca="false">IF(OR(E721="",F721=""),"",E721*F721)</f>
        <v/>
      </c>
      <c r="K721" s="22" t="str">
        <f aca="false">IF($M721="","",INDEX('Программа тренировок'!$G$6:$G$25,$M721))</f>
        <v/>
      </c>
      <c r="L721" s="23" t="str">
        <f aca="false">IF(OR($M721="",$F721="",$G721=""),"",IF($H721="Разминка","Разминка",IF($F721&lt;INDEX('Программа тренировок'!$E$6:$E$25,$M721),"Ниже диапазона",IF(AND($F721&gt;=INDEX('Программа тренировок'!$F$6:$F$25,$M721),$G721&gt;=INDEX('Программа тренировок'!$L$6:$L$25,$M721)),"Верх диапазона: пора добавлять вес",IF($G721&lt;INDEX('Программа тренировок'!$L$6:$L$25,$M721),"RIR ниже цели","В диапазоне")))))</f>
        <v/>
      </c>
      <c r="M721" s="23" t="str">
        <f aca="false">IF($C721="","",IFERROR(MATCH($C721,'Программа тренировок'!$C$6:$C$25,0),""))</f>
        <v/>
      </c>
    </row>
    <row r="722" customFormat="false" ht="15" hidden="false" customHeight="true" outlineLevel="0" collapsed="false">
      <c r="A722" s="20"/>
      <c r="B722" s="21"/>
      <c r="C722" s="19"/>
      <c r="D722" s="18"/>
      <c r="E722" s="17"/>
      <c r="F722" s="18"/>
      <c r="G722" s="18"/>
      <c r="H722" s="21"/>
      <c r="I722" s="19"/>
      <c r="J722" s="8" t="str">
        <f aca="false">IF(OR(E722="",F722=""),"",E722*F722)</f>
        <v/>
      </c>
      <c r="K722" s="22" t="str">
        <f aca="false">IF($M722="","",INDEX('Программа тренировок'!$G$6:$G$25,$M722))</f>
        <v/>
      </c>
      <c r="L722" s="23" t="str">
        <f aca="false">IF(OR($M722="",$F722="",$G722=""),"",IF($H722="Разминка","Разминка",IF($F722&lt;INDEX('Программа тренировок'!$E$6:$E$25,$M722),"Ниже диапазона",IF(AND($F722&gt;=INDEX('Программа тренировок'!$F$6:$F$25,$M722),$G722&gt;=INDEX('Программа тренировок'!$L$6:$L$25,$M722)),"Верх диапазона: пора добавлять вес",IF($G722&lt;INDEX('Программа тренировок'!$L$6:$L$25,$M722),"RIR ниже цели","В диапазоне")))))</f>
        <v/>
      </c>
      <c r="M722" s="23" t="str">
        <f aca="false">IF($C722="","",IFERROR(MATCH($C722,'Программа тренировок'!$C$6:$C$25,0),""))</f>
        <v/>
      </c>
    </row>
    <row r="723" customFormat="false" ht="15" hidden="false" customHeight="true" outlineLevel="0" collapsed="false">
      <c r="A723" s="20"/>
      <c r="B723" s="21"/>
      <c r="C723" s="19"/>
      <c r="D723" s="18"/>
      <c r="E723" s="17"/>
      <c r="F723" s="18"/>
      <c r="G723" s="18"/>
      <c r="H723" s="21"/>
      <c r="I723" s="19"/>
      <c r="J723" s="8" t="str">
        <f aca="false">IF(OR(E723="",F723=""),"",E723*F723)</f>
        <v/>
      </c>
      <c r="K723" s="22" t="str">
        <f aca="false">IF($M723="","",INDEX('Программа тренировок'!$G$6:$G$25,$M723))</f>
        <v/>
      </c>
      <c r="L723" s="23" t="str">
        <f aca="false">IF(OR($M723="",$F723="",$G723=""),"",IF($H723="Разминка","Разминка",IF($F723&lt;INDEX('Программа тренировок'!$E$6:$E$25,$M723),"Ниже диапазона",IF(AND($F723&gt;=INDEX('Программа тренировок'!$F$6:$F$25,$M723),$G723&gt;=INDEX('Программа тренировок'!$L$6:$L$25,$M723)),"Верх диапазона: пора добавлять вес",IF($G723&lt;INDEX('Программа тренировок'!$L$6:$L$25,$M723),"RIR ниже цели","В диапазоне")))))</f>
        <v/>
      </c>
      <c r="M723" s="23" t="str">
        <f aca="false">IF($C723="","",IFERROR(MATCH($C723,'Программа тренировок'!$C$6:$C$25,0),""))</f>
        <v/>
      </c>
    </row>
    <row r="724" customFormat="false" ht="15" hidden="false" customHeight="true" outlineLevel="0" collapsed="false">
      <c r="A724" s="20"/>
      <c r="B724" s="21"/>
      <c r="C724" s="19"/>
      <c r="D724" s="18"/>
      <c r="E724" s="17"/>
      <c r="F724" s="18"/>
      <c r="G724" s="18"/>
      <c r="H724" s="21"/>
      <c r="I724" s="19"/>
      <c r="J724" s="8" t="str">
        <f aca="false">IF(OR(E724="",F724=""),"",E724*F724)</f>
        <v/>
      </c>
      <c r="K724" s="22" t="str">
        <f aca="false">IF($M724="","",INDEX('Программа тренировок'!$G$6:$G$25,$M724))</f>
        <v/>
      </c>
      <c r="L724" s="23" t="str">
        <f aca="false">IF(OR($M724="",$F724="",$G724=""),"",IF($H724="Разминка","Разминка",IF($F724&lt;INDEX('Программа тренировок'!$E$6:$E$25,$M724),"Ниже диапазона",IF(AND($F724&gt;=INDEX('Программа тренировок'!$F$6:$F$25,$M724),$G724&gt;=INDEX('Программа тренировок'!$L$6:$L$25,$M724)),"Верх диапазона: пора добавлять вес",IF($G724&lt;INDEX('Программа тренировок'!$L$6:$L$25,$M724),"RIR ниже цели","В диапазоне")))))</f>
        <v/>
      </c>
      <c r="M724" s="23" t="str">
        <f aca="false">IF($C724="","",IFERROR(MATCH($C724,'Программа тренировок'!$C$6:$C$25,0),""))</f>
        <v/>
      </c>
    </row>
    <row r="725" customFormat="false" ht="15" hidden="false" customHeight="true" outlineLevel="0" collapsed="false">
      <c r="A725" s="20"/>
      <c r="B725" s="21"/>
      <c r="C725" s="19"/>
      <c r="D725" s="18"/>
      <c r="E725" s="17"/>
      <c r="F725" s="18"/>
      <c r="G725" s="18"/>
      <c r="H725" s="21"/>
      <c r="I725" s="19"/>
      <c r="J725" s="8" t="str">
        <f aca="false">IF(OR(E725="",F725=""),"",E725*F725)</f>
        <v/>
      </c>
      <c r="K725" s="22" t="str">
        <f aca="false">IF($M725="","",INDEX('Программа тренировок'!$G$6:$G$25,$M725))</f>
        <v/>
      </c>
      <c r="L725" s="23" t="str">
        <f aca="false">IF(OR($M725="",$F725="",$G725=""),"",IF($H725="Разминка","Разминка",IF($F725&lt;INDEX('Программа тренировок'!$E$6:$E$25,$M725),"Ниже диапазона",IF(AND($F725&gt;=INDEX('Программа тренировок'!$F$6:$F$25,$M725),$G725&gt;=INDEX('Программа тренировок'!$L$6:$L$25,$M725)),"Верх диапазона: пора добавлять вес",IF($G725&lt;INDEX('Программа тренировок'!$L$6:$L$25,$M725),"RIR ниже цели","В диапазоне")))))</f>
        <v/>
      </c>
      <c r="M725" s="23" t="str">
        <f aca="false">IF($C725="","",IFERROR(MATCH($C725,'Программа тренировок'!$C$6:$C$25,0),""))</f>
        <v/>
      </c>
    </row>
    <row r="726" customFormat="false" ht="15" hidden="false" customHeight="true" outlineLevel="0" collapsed="false">
      <c r="A726" s="20"/>
      <c r="B726" s="21"/>
      <c r="C726" s="19"/>
      <c r="D726" s="18"/>
      <c r="E726" s="17"/>
      <c r="F726" s="18"/>
      <c r="G726" s="18"/>
      <c r="H726" s="21"/>
      <c r="I726" s="19"/>
      <c r="J726" s="8" t="str">
        <f aca="false">IF(OR(E726="",F726=""),"",E726*F726)</f>
        <v/>
      </c>
      <c r="K726" s="22" t="str">
        <f aca="false">IF($M726="","",INDEX('Программа тренировок'!$G$6:$G$25,$M726))</f>
        <v/>
      </c>
      <c r="L726" s="23" t="str">
        <f aca="false">IF(OR($M726="",$F726="",$G726=""),"",IF($H726="Разминка","Разминка",IF($F726&lt;INDEX('Программа тренировок'!$E$6:$E$25,$M726),"Ниже диапазона",IF(AND($F726&gt;=INDEX('Программа тренировок'!$F$6:$F$25,$M726),$G726&gt;=INDEX('Программа тренировок'!$L$6:$L$25,$M726)),"Верх диапазона: пора добавлять вес",IF($G726&lt;INDEX('Программа тренировок'!$L$6:$L$25,$M726),"RIR ниже цели","В диапазоне")))))</f>
        <v/>
      </c>
      <c r="M726" s="23" t="str">
        <f aca="false">IF($C726="","",IFERROR(MATCH($C726,'Программа тренировок'!$C$6:$C$25,0),""))</f>
        <v/>
      </c>
    </row>
    <row r="727" customFormat="false" ht="15" hidden="false" customHeight="true" outlineLevel="0" collapsed="false">
      <c r="A727" s="20"/>
      <c r="B727" s="21"/>
      <c r="C727" s="19"/>
      <c r="D727" s="18"/>
      <c r="E727" s="17"/>
      <c r="F727" s="18"/>
      <c r="G727" s="18"/>
      <c r="H727" s="21"/>
      <c r="I727" s="19"/>
      <c r="J727" s="8" t="str">
        <f aca="false">IF(OR(E727="",F727=""),"",E727*F727)</f>
        <v/>
      </c>
      <c r="K727" s="22" t="str">
        <f aca="false">IF($M727="","",INDEX('Программа тренировок'!$G$6:$G$25,$M727))</f>
        <v/>
      </c>
      <c r="L727" s="23" t="str">
        <f aca="false">IF(OR($M727="",$F727="",$G727=""),"",IF($H727="Разминка","Разминка",IF($F727&lt;INDEX('Программа тренировок'!$E$6:$E$25,$M727),"Ниже диапазона",IF(AND($F727&gt;=INDEX('Программа тренировок'!$F$6:$F$25,$M727),$G727&gt;=INDEX('Программа тренировок'!$L$6:$L$25,$M727)),"Верх диапазона: пора добавлять вес",IF($G727&lt;INDEX('Программа тренировок'!$L$6:$L$25,$M727),"RIR ниже цели","В диапазоне")))))</f>
        <v/>
      </c>
      <c r="M727" s="23" t="str">
        <f aca="false">IF($C727="","",IFERROR(MATCH($C727,'Программа тренировок'!$C$6:$C$25,0),""))</f>
        <v/>
      </c>
    </row>
    <row r="728" customFormat="false" ht="15" hidden="false" customHeight="true" outlineLevel="0" collapsed="false">
      <c r="A728" s="20"/>
      <c r="B728" s="21"/>
      <c r="C728" s="19"/>
      <c r="D728" s="18"/>
      <c r="E728" s="17"/>
      <c r="F728" s="18"/>
      <c r="G728" s="18"/>
      <c r="H728" s="21"/>
      <c r="I728" s="19"/>
      <c r="J728" s="8" t="str">
        <f aca="false">IF(OR(E728="",F728=""),"",E728*F728)</f>
        <v/>
      </c>
      <c r="K728" s="22" t="str">
        <f aca="false">IF($M728="","",INDEX('Программа тренировок'!$G$6:$G$25,$M728))</f>
        <v/>
      </c>
      <c r="L728" s="23" t="str">
        <f aca="false">IF(OR($M728="",$F728="",$G728=""),"",IF($H728="Разминка","Разминка",IF($F728&lt;INDEX('Программа тренировок'!$E$6:$E$25,$M728),"Ниже диапазона",IF(AND($F728&gt;=INDEX('Программа тренировок'!$F$6:$F$25,$M728),$G728&gt;=INDEX('Программа тренировок'!$L$6:$L$25,$M728)),"Верх диапазона: пора добавлять вес",IF($G728&lt;INDEX('Программа тренировок'!$L$6:$L$25,$M728),"RIR ниже цели","В диапазоне")))))</f>
        <v/>
      </c>
      <c r="M728" s="23" t="str">
        <f aca="false">IF($C728="","",IFERROR(MATCH($C728,'Программа тренировок'!$C$6:$C$25,0),""))</f>
        <v/>
      </c>
    </row>
    <row r="729" customFormat="false" ht="15" hidden="false" customHeight="true" outlineLevel="0" collapsed="false">
      <c r="A729" s="20"/>
      <c r="B729" s="21"/>
      <c r="C729" s="19"/>
      <c r="D729" s="18"/>
      <c r="E729" s="17"/>
      <c r="F729" s="18"/>
      <c r="G729" s="18"/>
      <c r="H729" s="21"/>
      <c r="I729" s="19"/>
      <c r="J729" s="8" t="str">
        <f aca="false">IF(OR(E729="",F729=""),"",E729*F729)</f>
        <v/>
      </c>
      <c r="K729" s="22" t="str">
        <f aca="false">IF($M729="","",INDEX('Программа тренировок'!$G$6:$G$25,$M729))</f>
        <v/>
      </c>
      <c r="L729" s="23" t="str">
        <f aca="false">IF(OR($M729="",$F729="",$G729=""),"",IF($H729="Разминка","Разминка",IF($F729&lt;INDEX('Программа тренировок'!$E$6:$E$25,$M729),"Ниже диапазона",IF(AND($F729&gt;=INDEX('Программа тренировок'!$F$6:$F$25,$M729),$G729&gt;=INDEX('Программа тренировок'!$L$6:$L$25,$M729)),"Верх диапазона: пора добавлять вес",IF($G729&lt;INDEX('Программа тренировок'!$L$6:$L$25,$M729),"RIR ниже цели","В диапазоне")))))</f>
        <v/>
      </c>
      <c r="M729" s="23" t="str">
        <f aca="false">IF($C729="","",IFERROR(MATCH($C729,'Программа тренировок'!$C$6:$C$25,0),""))</f>
        <v/>
      </c>
    </row>
    <row r="730" customFormat="false" ht="15" hidden="false" customHeight="true" outlineLevel="0" collapsed="false">
      <c r="A730" s="20"/>
      <c r="B730" s="21"/>
      <c r="C730" s="19"/>
      <c r="D730" s="18"/>
      <c r="E730" s="17"/>
      <c r="F730" s="18"/>
      <c r="G730" s="18"/>
      <c r="H730" s="21"/>
      <c r="I730" s="19"/>
      <c r="J730" s="8" t="str">
        <f aca="false">IF(OR(E730="",F730=""),"",E730*F730)</f>
        <v/>
      </c>
      <c r="K730" s="22" t="str">
        <f aca="false">IF($M730="","",INDEX('Программа тренировок'!$G$6:$G$25,$M730))</f>
        <v/>
      </c>
      <c r="L730" s="23" t="str">
        <f aca="false">IF(OR($M730="",$F730="",$G730=""),"",IF($H730="Разминка","Разминка",IF($F730&lt;INDEX('Программа тренировок'!$E$6:$E$25,$M730),"Ниже диапазона",IF(AND($F730&gt;=INDEX('Программа тренировок'!$F$6:$F$25,$M730),$G730&gt;=INDEX('Программа тренировок'!$L$6:$L$25,$M730)),"Верх диапазона: пора добавлять вес",IF($G730&lt;INDEX('Программа тренировок'!$L$6:$L$25,$M730),"RIR ниже цели","В диапазоне")))))</f>
        <v/>
      </c>
      <c r="M730" s="23" t="str">
        <f aca="false">IF($C730="","",IFERROR(MATCH($C730,'Программа тренировок'!$C$6:$C$25,0),""))</f>
        <v/>
      </c>
    </row>
    <row r="731" customFormat="false" ht="15" hidden="false" customHeight="true" outlineLevel="0" collapsed="false">
      <c r="A731" s="20"/>
      <c r="B731" s="21"/>
      <c r="C731" s="19"/>
      <c r="D731" s="18"/>
      <c r="E731" s="17"/>
      <c r="F731" s="18"/>
      <c r="G731" s="18"/>
      <c r="H731" s="21"/>
      <c r="I731" s="19"/>
      <c r="J731" s="8" t="str">
        <f aca="false">IF(OR(E731="",F731=""),"",E731*F731)</f>
        <v/>
      </c>
      <c r="K731" s="22" t="str">
        <f aca="false">IF($M731="","",INDEX('Программа тренировок'!$G$6:$G$25,$M731))</f>
        <v/>
      </c>
      <c r="L731" s="23" t="str">
        <f aca="false">IF(OR($M731="",$F731="",$G731=""),"",IF($H731="Разминка","Разминка",IF($F731&lt;INDEX('Программа тренировок'!$E$6:$E$25,$M731),"Ниже диапазона",IF(AND($F731&gt;=INDEX('Программа тренировок'!$F$6:$F$25,$M731),$G731&gt;=INDEX('Программа тренировок'!$L$6:$L$25,$M731)),"Верх диапазона: пора добавлять вес",IF($G731&lt;INDEX('Программа тренировок'!$L$6:$L$25,$M731),"RIR ниже цели","В диапазоне")))))</f>
        <v/>
      </c>
      <c r="M731" s="23" t="str">
        <f aca="false">IF($C731="","",IFERROR(MATCH($C731,'Программа тренировок'!$C$6:$C$25,0),""))</f>
        <v/>
      </c>
    </row>
    <row r="732" customFormat="false" ht="15" hidden="false" customHeight="true" outlineLevel="0" collapsed="false">
      <c r="A732" s="20"/>
      <c r="B732" s="21"/>
      <c r="C732" s="19"/>
      <c r="D732" s="18"/>
      <c r="E732" s="17"/>
      <c r="F732" s="18"/>
      <c r="G732" s="18"/>
      <c r="H732" s="21"/>
      <c r="I732" s="19"/>
      <c r="J732" s="8" t="str">
        <f aca="false">IF(OR(E732="",F732=""),"",E732*F732)</f>
        <v/>
      </c>
      <c r="K732" s="22" t="str">
        <f aca="false">IF($M732="","",INDEX('Программа тренировок'!$G$6:$G$25,$M732))</f>
        <v/>
      </c>
      <c r="L732" s="23" t="str">
        <f aca="false">IF(OR($M732="",$F732="",$G732=""),"",IF($H732="Разминка","Разминка",IF($F732&lt;INDEX('Программа тренировок'!$E$6:$E$25,$M732),"Ниже диапазона",IF(AND($F732&gt;=INDEX('Программа тренировок'!$F$6:$F$25,$M732),$G732&gt;=INDEX('Программа тренировок'!$L$6:$L$25,$M732)),"Верх диапазона: пора добавлять вес",IF($G732&lt;INDEX('Программа тренировок'!$L$6:$L$25,$M732),"RIR ниже цели","В диапазоне")))))</f>
        <v/>
      </c>
      <c r="M732" s="23" t="str">
        <f aca="false">IF($C732="","",IFERROR(MATCH($C732,'Программа тренировок'!$C$6:$C$25,0),""))</f>
        <v/>
      </c>
    </row>
    <row r="733" customFormat="false" ht="15" hidden="false" customHeight="true" outlineLevel="0" collapsed="false">
      <c r="A733" s="20"/>
      <c r="B733" s="21"/>
      <c r="C733" s="19"/>
      <c r="D733" s="18"/>
      <c r="E733" s="17"/>
      <c r="F733" s="18"/>
      <c r="G733" s="18"/>
      <c r="H733" s="21"/>
      <c r="I733" s="19"/>
      <c r="J733" s="8" t="str">
        <f aca="false">IF(OR(E733="",F733=""),"",E733*F733)</f>
        <v/>
      </c>
      <c r="K733" s="22" t="str">
        <f aca="false">IF($M733="","",INDEX('Программа тренировок'!$G$6:$G$25,$M733))</f>
        <v/>
      </c>
      <c r="L733" s="23" t="str">
        <f aca="false">IF(OR($M733="",$F733="",$G733=""),"",IF($H733="Разминка","Разминка",IF($F733&lt;INDEX('Программа тренировок'!$E$6:$E$25,$M733),"Ниже диапазона",IF(AND($F733&gt;=INDEX('Программа тренировок'!$F$6:$F$25,$M733),$G733&gt;=INDEX('Программа тренировок'!$L$6:$L$25,$M733)),"Верх диапазона: пора добавлять вес",IF($G733&lt;INDEX('Программа тренировок'!$L$6:$L$25,$M733),"RIR ниже цели","В диапазоне")))))</f>
        <v/>
      </c>
      <c r="M733" s="23" t="str">
        <f aca="false">IF($C733="","",IFERROR(MATCH($C733,'Программа тренировок'!$C$6:$C$25,0),""))</f>
        <v/>
      </c>
    </row>
    <row r="734" customFormat="false" ht="15" hidden="false" customHeight="true" outlineLevel="0" collapsed="false">
      <c r="A734" s="20"/>
      <c r="B734" s="21"/>
      <c r="C734" s="19"/>
      <c r="D734" s="18"/>
      <c r="E734" s="17"/>
      <c r="F734" s="18"/>
      <c r="G734" s="18"/>
      <c r="H734" s="21"/>
      <c r="I734" s="19"/>
      <c r="J734" s="8" t="str">
        <f aca="false">IF(OR(E734="",F734=""),"",E734*F734)</f>
        <v/>
      </c>
      <c r="K734" s="22" t="str">
        <f aca="false">IF($M734="","",INDEX('Программа тренировок'!$G$6:$G$25,$M734))</f>
        <v/>
      </c>
      <c r="L734" s="23" t="str">
        <f aca="false">IF(OR($M734="",$F734="",$G734=""),"",IF($H734="Разминка","Разминка",IF($F734&lt;INDEX('Программа тренировок'!$E$6:$E$25,$M734),"Ниже диапазона",IF(AND($F734&gt;=INDEX('Программа тренировок'!$F$6:$F$25,$M734),$G734&gt;=INDEX('Программа тренировок'!$L$6:$L$25,$M734)),"Верх диапазона: пора добавлять вес",IF($G734&lt;INDEX('Программа тренировок'!$L$6:$L$25,$M734),"RIR ниже цели","В диапазоне")))))</f>
        <v/>
      </c>
      <c r="M734" s="23" t="str">
        <f aca="false">IF($C734="","",IFERROR(MATCH($C734,'Программа тренировок'!$C$6:$C$25,0),""))</f>
        <v/>
      </c>
    </row>
    <row r="735" customFormat="false" ht="15" hidden="false" customHeight="true" outlineLevel="0" collapsed="false">
      <c r="A735" s="20"/>
      <c r="B735" s="21"/>
      <c r="C735" s="19"/>
      <c r="D735" s="18"/>
      <c r="E735" s="17"/>
      <c r="F735" s="18"/>
      <c r="G735" s="18"/>
      <c r="H735" s="21"/>
      <c r="I735" s="19"/>
      <c r="J735" s="8" t="str">
        <f aca="false">IF(OR(E735="",F735=""),"",E735*F735)</f>
        <v/>
      </c>
      <c r="K735" s="22" t="str">
        <f aca="false">IF($M735="","",INDEX('Программа тренировок'!$G$6:$G$25,$M735))</f>
        <v/>
      </c>
      <c r="L735" s="23" t="str">
        <f aca="false">IF(OR($M735="",$F735="",$G735=""),"",IF($H735="Разминка","Разминка",IF($F735&lt;INDEX('Программа тренировок'!$E$6:$E$25,$M735),"Ниже диапазона",IF(AND($F735&gt;=INDEX('Программа тренировок'!$F$6:$F$25,$M735),$G735&gt;=INDEX('Программа тренировок'!$L$6:$L$25,$M735)),"Верх диапазона: пора добавлять вес",IF($G735&lt;INDEX('Программа тренировок'!$L$6:$L$25,$M735),"RIR ниже цели","В диапазоне")))))</f>
        <v/>
      </c>
      <c r="M735" s="23" t="str">
        <f aca="false">IF($C735="","",IFERROR(MATCH($C735,'Программа тренировок'!$C$6:$C$25,0),""))</f>
        <v/>
      </c>
    </row>
    <row r="736" customFormat="false" ht="15" hidden="false" customHeight="true" outlineLevel="0" collapsed="false">
      <c r="A736" s="20"/>
      <c r="B736" s="21"/>
      <c r="C736" s="19"/>
      <c r="D736" s="18"/>
      <c r="E736" s="17"/>
      <c r="F736" s="18"/>
      <c r="G736" s="18"/>
      <c r="H736" s="21"/>
      <c r="I736" s="19"/>
      <c r="J736" s="8" t="str">
        <f aca="false">IF(OR(E736="",F736=""),"",E736*F736)</f>
        <v/>
      </c>
      <c r="K736" s="22" t="str">
        <f aca="false">IF($M736="","",INDEX('Программа тренировок'!$G$6:$G$25,$M736))</f>
        <v/>
      </c>
      <c r="L736" s="23" t="str">
        <f aca="false">IF(OR($M736="",$F736="",$G736=""),"",IF($H736="Разминка","Разминка",IF($F736&lt;INDEX('Программа тренировок'!$E$6:$E$25,$M736),"Ниже диапазона",IF(AND($F736&gt;=INDEX('Программа тренировок'!$F$6:$F$25,$M736),$G736&gt;=INDEX('Программа тренировок'!$L$6:$L$25,$M736)),"Верх диапазона: пора добавлять вес",IF($G736&lt;INDEX('Программа тренировок'!$L$6:$L$25,$M736),"RIR ниже цели","В диапазоне")))))</f>
        <v/>
      </c>
      <c r="M736" s="23" t="str">
        <f aca="false">IF($C736="","",IFERROR(MATCH($C736,'Программа тренировок'!$C$6:$C$25,0),""))</f>
        <v/>
      </c>
    </row>
    <row r="737" customFormat="false" ht="15" hidden="false" customHeight="true" outlineLevel="0" collapsed="false">
      <c r="A737" s="20"/>
      <c r="B737" s="21"/>
      <c r="C737" s="19"/>
      <c r="D737" s="18"/>
      <c r="E737" s="17"/>
      <c r="F737" s="18"/>
      <c r="G737" s="18"/>
      <c r="H737" s="21"/>
      <c r="I737" s="19"/>
      <c r="J737" s="8" t="str">
        <f aca="false">IF(OR(E737="",F737=""),"",E737*F737)</f>
        <v/>
      </c>
      <c r="K737" s="22" t="str">
        <f aca="false">IF($M737="","",INDEX('Программа тренировок'!$G$6:$G$25,$M737))</f>
        <v/>
      </c>
      <c r="L737" s="23" t="str">
        <f aca="false">IF(OR($M737="",$F737="",$G737=""),"",IF($H737="Разминка","Разминка",IF($F737&lt;INDEX('Программа тренировок'!$E$6:$E$25,$M737),"Ниже диапазона",IF(AND($F737&gt;=INDEX('Программа тренировок'!$F$6:$F$25,$M737),$G737&gt;=INDEX('Программа тренировок'!$L$6:$L$25,$M737)),"Верх диапазона: пора добавлять вес",IF($G737&lt;INDEX('Программа тренировок'!$L$6:$L$25,$M737),"RIR ниже цели","В диапазоне")))))</f>
        <v/>
      </c>
      <c r="M737" s="23" t="str">
        <f aca="false">IF($C737="","",IFERROR(MATCH($C737,'Программа тренировок'!$C$6:$C$25,0),""))</f>
        <v/>
      </c>
    </row>
    <row r="738" customFormat="false" ht="15" hidden="false" customHeight="true" outlineLevel="0" collapsed="false">
      <c r="A738" s="20"/>
      <c r="B738" s="21"/>
      <c r="C738" s="19"/>
      <c r="D738" s="18"/>
      <c r="E738" s="17"/>
      <c r="F738" s="18"/>
      <c r="G738" s="18"/>
      <c r="H738" s="21"/>
      <c r="I738" s="19"/>
      <c r="J738" s="8" t="str">
        <f aca="false">IF(OR(E738="",F738=""),"",E738*F738)</f>
        <v/>
      </c>
      <c r="K738" s="22" t="str">
        <f aca="false">IF($M738="","",INDEX('Программа тренировок'!$G$6:$G$25,$M738))</f>
        <v/>
      </c>
      <c r="L738" s="23" t="str">
        <f aca="false">IF(OR($M738="",$F738="",$G738=""),"",IF($H738="Разминка","Разминка",IF($F738&lt;INDEX('Программа тренировок'!$E$6:$E$25,$M738),"Ниже диапазона",IF(AND($F738&gt;=INDEX('Программа тренировок'!$F$6:$F$25,$M738),$G738&gt;=INDEX('Программа тренировок'!$L$6:$L$25,$M738)),"Верх диапазона: пора добавлять вес",IF($G738&lt;INDEX('Программа тренировок'!$L$6:$L$25,$M738),"RIR ниже цели","В диапазоне")))))</f>
        <v/>
      </c>
      <c r="M738" s="23" t="str">
        <f aca="false">IF($C738="","",IFERROR(MATCH($C738,'Программа тренировок'!$C$6:$C$25,0),""))</f>
        <v/>
      </c>
    </row>
    <row r="739" customFormat="false" ht="15" hidden="false" customHeight="true" outlineLevel="0" collapsed="false">
      <c r="A739" s="20"/>
      <c r="B739" s="21"/>
      <c r="C739" s="19"/>
      <c r="D739" s="18"/>
      <c r="E739" s="17"/>
      <c r="F739" s="18"/>
      <c r="G739" s="18"/>
      <c r="H739" s="21"/>
      <c r="I739" s="19"/>
      <c r="J739" s="8" t="str">
        <f aca="false">IF(OR(E739="",F739=""),"",E739*F739)</f>
        <v/>
      </c>
      <c r="K739" s="22" t="str">
        <f aca="false">IF($M739="","",INDEX('Программа тренировок'!$G$6:$G$25,$M739))</f>
        <v/>
      </c>
      <c r="L739" s="23" t="str">
        <f aca="false">IF(OR($M739="",$F739="",$G739=""),"",IF($H739="Разминка","Разминка",IF($F739&lt;INDEX('Программа тренировок'!$E$6:$E$25,$M739),"Ниже диапазона",IF(AND($F739&gt;=INDEX('Программа тренировок'!$F$6:$F$25,$M739),$G739&gt;=INDEX('Программа тренировок'!$L$6:$L$25,$M739)),"Верх диапазона: пора добавлять вес",IF($G739&lt;INDEX('Программа тренировок'!$L$6:$L$25,$M739),"RIR ниже цели","В диапазоне")))))</f>
        <v/>
      </c>
      <c r="M739" s="23" t="str">
        <f aca="false">IF($C739="","",IFERROR(MATCH($C739,'Программа тренировок'!$C$6:$C$25,0),""))</f>
        <v/>
      </c>
    </row>
    <row r="740" customFormat="false" ht="15" hidden="false" customHeight="true" outlineLevel="0" collapsed="false">
      <c r="A740" s="20"/>
      <c r="B740" s="21"/>
      <c r="C740" s="19"/>
      <c r="D740" s="18"/>
      <c r="E740" s="17"/>
      <c r="F740" s="18"/>
      <c r="G740" s="18"/>
      <c r="H740" s="21"/>
      <c r="I740" s="19"/>
      <c r="J740" s="8" t="str">
        <f aca="false">IF(OR(E740="",F740=""),"",E740*F740)</f>
        <v/>
      </c>
      <c r="K740" s="22" t="str">
        <f aca="false">IF($M740="","",INDEX('Программа тренировок'!$G$6:$G$25,$M740))</f>
        <v/>
      </c>
      <c r="L740" s="23" t="str">
        <f aca="false">IF(OR($M740="",$F740="",$G740=""),"",IF($H740="Разминка","Разминка",IF($F740&lt;INDEX('Программа тренировок'!$E$6:$E$25,$M740),"Ниже диапазона",IF(AND($F740&gt;=INDEX('Программа тренировок'!$F$6:$F$25,$M740),$G740&gt;=INDEX('Программа тренировок'!$L$6:$L$25,$M740)),"Верх диапазона: пора добавлять вес",IF($G740&lt;INDEX('Программа тренировок'!$L$6:$L$25,$M740),"RIR ниже цели","В диапазоне")))))</f>
        <v/>
      </c>
      <c r="M740" s="23" t="str">
        <f aca="false">IF($C740="","",IFERROR(MATCH($C740,'Программа тренировок'!$C$6:$C$25,0),""))</f>
        <v/>
      </c>
    </row>
    <row r="741" customFormat="false" ht="15" hidden="false" customHeight="true" outlineLevel="0" collapsed="false">
      <c r="A741" s="20"/>
      <c r="B741" s="21"/>
      <c r="C741" s="19"/>
      <c r="D741" s="18"/>
      <c r="E741" s="17"/>
      <c r="F741" s="18"/>
      <c r="G741" s="18"/>
      <c r="H741" s="21"/>
      <c r="I741" s="19"/>
      <c r="J741" s="8" t="str">
        <f aca="false">IF(OR(E741="",F741=""),"",E741*F741)</f>
        <v/>
      </c>
      <c r="K741" s="22" t="str">
        <f aca="false">IF($M741="","",INDEX('Программа тренировок'!$G$6:$G$25,$M741))</f>
        <v/>
      </c>
      <c r="L741" s="23" t="str">
        <f aca="false">IF(OR($M741="",$F741="",$G741=""),"",IF($H741="Разминка","Разминка",IF($F741&lt;INDEX('Программа тренировок'!$E$6:$E$25,$M741),"Ниже диапазона",IF(AND($F741&gt;=INDEX('Программа тренировок'!$F$6:$F$25,$M741),$G741&gt;=INDEX('Программа тренировок'!$L$6:$L$25,$M741)),"Верх диапазона: пора добавлять вес",IF($G741&lt;INDEX('Программа тренировок'!$L$6:$L$25,$M741),"RIR ниже цели","В диапазоне")))))</f>
        <v/>
      </c>
      <c r="M741" s="23" t="str">
        <f aca="false">IF($C741="","",IFERROR(MATCH($C741,'Программа тренировок'!$C$6:$C$25,0),""))</f>
        <v/>
      </c>
    </row>
    <row r="742" customFormat="false" ht="15" hidden="false" customHeight="true" outlineLevel="0" collapsed="false">
      <c r="A742" s="20"/>
      <c r="B742" s="21"/>
      <c r="C742" s="19"/>
      <c r="D742" s="18"/>
      <c r="E742" s="17"/>
      <c r="F742" s="18"/>
      <c r="G742" s="18"/>
      <c r="H742" s="21"/>
      <c r="I742" s="19"/>
      <c r="J742" s="8" t="str">
        <f aca="false">IF(OR(E742="",F742=""),"",E742*F742)</f>
        <v/>
      </c>
      <c r="K742" s="22" t="str">
        <f aca="false">IF($M742="","",INDEX('Программа тренировок'!$G$6:$G$25,$M742))</f>
        <v/>
      </c>
      <c r="L742" s="23" t="str">
        <f aca="false">IF(OR($M742="",$F742="",$G742=""),"",IF($H742="Разминка","Разминка",IF($F742&lt;INDEX('Программа тренировок'!$E$6:$E$25,$M742),"Ниже диапазона",IF(AND($F742&gt;=INDEX('Программа тренировок'!$F$6:$F$25,$M742),$G742&gt;=INDEX('Программа тренировок'!$L$6:$L$25,$M742)),"Верх диапазона: пора добавлять вес",IF($G742&lt;INDEX('Программа тренировок'!$L$6:$L$25,$M742),"RIR ниже цели","В диапазоне")))))</f>
        <v/>
      </c>
      <c r="M742" s="23" t="str">
        <f aca="false">IF($C742="","",IFERROR(MATCH($C742,'Программа тренировок'!$C$6:$C$25,0),""))</f>
        <v/>
      </c>
    </row>
    <row r="743" customFormat="false" ht="15" hidden="false" customHeight="true" outlineLevel="0" collapsed="false">
      <c r="A743" s="20"/>
      <c r="B743" s="21"/>
      <c r="C743" s="19"/>
      <c r="D743" s="18"/>
      <c r="E743" s="17"/>
      <c r="F743" s="18"/>
      <c r="G743" s="18"/>
      <c r="H743" s="21"/>
      <c r="I743" s="19"/>
      <c r="J743" s="8" t="str">
        <f aca="false">IF(OR(E743="",F743=""),"",E743*F743)</f>
        <v/>
      </c>
      <c r="K743" s="22" t="str">
        <f aca="false">IF($M743="","",INDEX('Программа тренировок'!$G$6:$G$25,$M743))</f>
        <v/>
      </c>
      <c r="L743" s="23" t="str">
        <f aca="false">IF(OR($M743="",$F743="",$G743=""),"",IF($H743="Разминка","Разминка",IF($F743&lt;INDEX('Программа тренировок'!$E$6:$E$25,$M743),"Ниже диапазона",IF(AND($F743&gt;=INDEX('Программа тренировок'!$F$6:$F$25,$M743),$G743&gt;=INDEX('Программа тренировок'!$L$6:$L$25,$M743)),"Верх диапазона: пора добавлять вес",IF($G743&lt;INDEX('Программа тренировок'!$L$6:$L$25,$M743),"RIR ниже цели","В диапазоне")))))</f>
        <v/>
      </c>
      <c r="M743" s="23" t="str">
        <f aca="false">IF($C743="","",IFERROR(MATCH($C743,'Программа тренировок'!$C$6:$C$25,0),""))</f>
        <v/>
      </c>
    </row>
    <row r="744" customFormat="false" ht="15" hidden="false" customHeight="true" outlineLevel="0" collapsed="false">
      <c r="A744" s="20"/>
      <c r="B744" s="21"/>
      <c r="C744" s="19"/>
      <c r="D744" s="18"/>
      <c r="E744" s="17"/>
      <c r="F744" s="18"/>
      <c r="G744" s="18"/>
      <c r="H744" s="21"/>
      <c r="I744" s="19"/>
      <c r="J744" s="8" t="str">
        <f aca="false">IF(OR(E744="",F744=""),"",E744*F744)</f>
        <v/>
      </c>
      <c r="K744" s="22" t="str">
        <f aca="false">IF($M744="","",INDEX('Программа тренировок'!$G$6:$G$25,$M744))</f>
        <v/>
      </c>
      <c r="L744" s="23" t="str">
        <f aca="false">IF(OR($M744="",$F744="",$G744=""),"",IF($H744="Разминка","Разминка",IF($F744&lt;INDEX('Программа тренировок'!$E$6:$E$25,$M744),"Ниже диапазона",IF(AND($F744&gt;=INDEX('Программа тренировок'!$F$6:$F$25,$M744),$G744&gt;=INDEX('Программа тренировок'!$L$6:$L$25,$M744)),"Верх диапазона: пора добавлять вес",IF($G744&lt;INDEX('Программа тренировок'!$L$6:$L$25,$M744),"RIR ниже цели","В диапазоне")))))</f>
        <v/>
      </c>
      <c r="M744" s="23" t="str">
        <f aca="false">IF($C744="","",IFERROR(MATCH($C744,'Программа тренировок'!$C$6:$C$25,0),""))</f>
        <v/>
      </c>
    </row>
    <row r="745" customFormat="false" ht="15" hidden="false" customHeight="true" outlineLevel="0" collapsed="false">
      <c r="A745" s="20"/>
      <c r="B745" s="21"/>
      <c r="C745" s="19"/>
      <c r="D745" s="18"/>
      <c r="E745" s="17"/>
      <c r="F745" s="18"/>
      <c r="G745" s="18"/>
      <c r="H745" s="21"/>
      <c r="I745" s="19"/>
      <c r="J745" s="8" t="str">
        <f aca="false">IF(OR(E745="",F745=""),"",E745*F745)</f>
        <v/>
      </c>
      <c r="K745" s="22" t="str">
        <f aca="false">IF($M745="","",INDEX('Программа тренировок'!$G$6:$G$25,$M745))</f>
        <v/>
      </c>
      <c r="L745" s="23" t="str">
        <f aca="false">IF(OR($M745="",$F745="",$G745=""),"",IF($H745="Разминка","Разминка",IF($F745&lt;INDEX('Программа тренировок'!$E$6:$E$25,$M745),"Ниже диапазона",IF(AND($F745&gt;=INDEX('Программа тренировок'!$F$6:$F$25,$M745),$G745&gt;=INDEX('Программа тренировок'!$L$6:$L$25,$M745)),"Верх диапазона: пора добавлять вес",IF($G745&lt;INDEX('Программа тренировок'!$L$6:$L$25,$M745),"RIR ниже цели","В диапазоне")))))</f>
        <v/>
      </c>
      <c r="M745" s="23" t="str">
        <f aca="false">IF($C745="","",IFERROR(MATCH($C745,'Программа тренировок'!$C$6:$C$25,0),""))</f>
        <v/>
      </c>
    </row>
    <row r="746" customFormat="false" ht="15" hidden="false" customHeight="true" outlineLevel="0" collapsed="false">
      <c r="A746" s="20"/>
      <c r="B746" s="21"/>
      <c r="C746" s="19"/>
      <c r="D746" s="18"/>
      <c r="E746" s="17"/>
      <c r="F746" s="18"/>
      <c r="G746" s="18"/>
      <c r="H746" s="21"/>
      <c r="I746" s="19"/>
      <c r="J746" s="8" t="str">
        <f aca="false">IF(OR(E746="",F746=""),"",E746*F746)</f>
        <v/>
      </c>
      <c r="K746" s="22" t="str">
        <f aca="false">IF($M746="","",INDEX('Программа тренировок'!$G$6:$G$25,$M746))</f>
        <v/>
      </c>
      <c r="L746" s="23" t="str">
        <f aca="false">IF(OR($M746="",$F746="",$G746=""),"",IF($H746="Разминка","Разминка",IF($F746&lt;INDEX('Программа тренировок'!$E$6:$E$25,$M746),"Ниже диапазона",IF(AND($F746&gt;=INDEX('Программа тренировок'!$F$6:$F$25,$M746),$G746&gt;=INDEX('Программа тренировок'!$L$6:$L$25,$M746)),"Верх диапазона: пора добавлять вес",IF($G746&lt;INDEX('Программа тренировок'!$L$6:$L$25,$M746),"RIR ниже цели","В диапазоне")))))</f>
        <v/>
      </c>
      <c r="M746" s="23" t="str">
        <f aca="false">IF($C746="","",IFERROR(MATCH($C746,'Программа тренировок'!$C$6:$C$25,0),""))</f>
        <v/>
      </c>
    </row>
    <row r="747" customFormat="false" ht="15" hidden="false" customHeight="true" outlineLevel="0" collapsed="false">
      <c r="A747" s="20"/>
      <c r="B747" s="21"/>
      <c r="C747" s="19"/>
      <c r="D747" s="18"/>
      <c r="E747" s="17"/>
      <c r="F747" s="18"/>
      <c r="G747" s="18"/>
      <c r="H747" s="21"/>
      <c r="I747" s="19"/>
      <c r="J747" s="8" t="str">
        <f aca="false">IF(OR(E747="",F747=""),"",E747*F747)</f>
        <v/>
      </c>
      <c r="K747" s="22" t="str">
        <f aca="false">IF($M747="","",INDEX('Программа тренировок'!$G$6:$G$25,$M747))</f>
        <v/>
      </c>
      <c r="L747" s="23" t="str">
        <f aca="false">IF(OR($M747="",$F747="",$G747=""),"",IF($H747="Разминка","Разминка",IF($F747&lt;INDEX('Программа тренировок'!$E$6:$E$25,$M747),"Ниже диапазона",IF(AND($F747&gt;=INDEX('Программа тренировок'!$F$6:$F$25,$M747),$G747&gt;=INDEX('Программа тренировок'!$L$6:$L$25,$M747)),"Верх диапазона: пора добавлять вес",IF($G747&lt;INDEX('Программа тренировок'!$L$6:$L$25,$M747),"RIR ниже цели","В диапазоне")))))</f>
        <v/>
      </c>
      <c r="M747" s="23" t="str">
        <f aca="false">IF($C747="","",IFERROR(MATCH($C747,'Программа тренировок'!$C$6:$C$25,0),""))</f>
        <v/>
      </c>
    </row>
    <row r="748" customFormat="false" ht="15" hidden="false" customHeight="true" outlineLevel="0" collapsed="false">
      <c r="A748" s="20"/>
      <c r="B748" s="21"/>
      <c r="C748" s="19"/>
      <c r="D748" s="18"/>
      <c r="E748" s="17"/>
      <c r="F748" s="18"/>
      <c r="G748" s="18"/>
      <c r="H748" s="21"/>
      <c r="I748" s="19"/>
      <c r="J748" s="8" t="str">
        <f aca="false">IF(OR(E748="",F748=""),"",E748*F748)</f>
        <v/>
      </c>
      <c r="K748" s="22" t="str">
        <f aca="false">IF($M748="","",INDEX('Программа тренировок'!$G$6:$G$25,$M748))</f>
        <v/>
      </c>
      <c r="L748" s="23" t="str">
        <f aca="false">IF(OR($M748="",$F748="",$G748=""),"",IF($H748="Разминка","Разминка",IF($F748&lt;INDEX('Программа тренировок'!$E$6:$E$25,$M748),"Ниже диапазона",IF(AND($F748&gt;=INDEX('Программа тренировок'!$F$6:$F$25,$M748),$G748&gt;=INDEX('Программа тренировок'!$L$6:$L$25,$M748)),"Верх диапазона: пора добавлять вес",IF($G748&lt;INDEX('Программа тренировок'!$L$6:$L$25,$M748),"RIR ниже цели","В диапазоне")))))</f>
        <v/>
      </c>
      <c r="M748" s="23" t="str">
        <f aca="false">IF($C748="","",IFERROR(MATCH($C748,'Программа тренировок'!$C$6:$C$25,0),""))</f>
        <v/>
      </c>
    </row>
    <row r="749" customFormat="false" ht="15" hidden="false" customHeight="true" outlineLevel="0" collapsed="false">
      <c r="A749" s="20"/>
      <c r="B749" s="21"/>
      <c r="C749" s="19"/>
      <c r="D749" s="18"/>
      <c r="E749" s="17"/>
      <c r="F749" s="18"/>
      <c r="G749" s="18"/>
      <c r="H749" s="21"/>
      <c r="I749" s="19"/>
      <c r="J749" s="8" t="str">
        <f aca="false">IF(OR(E749="",F749=""),"",E749*F749)</f>
        <v/>
      </c>
      <c r="K749" s="22" t="str">
        <f aca="false">IF($M749="","",INDEX('Программа тренировок'!$G$6:$G$25,$M749))</f>
        <v/>
      </c>
      <c r="L749" s="23" t="str">
        <f aca="false">IF(OR($M749="",$F749="",$G749=""),"",IF($H749="Разминка","Разминка",IF($F749&lt;INDEX('Программа тренировок'!$E$6:$E$25,$M749),"Ниже диапазона",IF(AND($F749&gt;=INDEX('Программа тренировок'!$F$6:$F$25,$M749),$G749&gt;=INDEX('Программа тренировок'!$L$6:$L$25,$M749)),"Верх диапазона: пора добавлять вес",IF($G749&lt;INDEX('Программа тренировок'!$L$6:$L$25,$M749),"RIR ниже цели","В диапазоне")))))</f>
        <v/>
      </c>
      <c r="M749" s="23" t="str">
        <f aca="false">IF($C749="","",IFERROR(MATCH($C749,'Программа тренировок'!$C$6:$C$25,0),""))</f>
        <v/>
      </c>
    </row>
    <row r="750" customFormat="false" ht="15" hidden="false" customHeight="true" outlineLevel="0" collapsed="false">
      <c r="A750" s="20"/>
      <c r="B750" s="21"/>
      <c r="C750" s="19"/>
      <c r="D750" s="18"/>
      <c r="E750" s="17"/>
      <c r="F750" s="18"/>
      <c r="G750" s="18"/>
      <c r="H750" s="21"/>
      <c r="I750" s="19"/>
      <c r="J750" s="8" t="str">
        <f aca="false">IF(OR(E750="",F750=""),"",E750*F750)</f>
        <v/>
      </c>
      <c r="K750" s="22" t="str">
        <f aca="false">IF($M750="","",INDEX('Программа тренировок'!$G$6:$G$25,$M750))</f>
        <v/>
      </c>
      <c r="L750" s="23" t="str">
        <f aca="false">IF(OR($M750="",$F750="",$G750=""),"",IF($H750="Разминка","Разминка",IF($F750&lt;INDEX('Программа тренировок'!$E$6:$E$25,$M750),"Ниже диапазона",IF(AND($F750&gt;=INDEX('Программа тренировок'!$F$6:$F$25,$M750),$G750&gt;=INDEX('Программа тренировок'!$L$6:$L$25,$M750)),"Верх диапазона: пора добавлять вес",IF($G750&lt;INDEX('Программа тренировок'!$L$6:$L$25,$M750),"RIR ниже цели","В диапазоне")))))</f>
        <v/>
      </c>
      <c r="M750" s="23" t="str">
        <f aca="false">IF($C750="","",IFERROR(MATCH($C750,'Программа тренировок'!$C$6:$C$25,0),""))</f>
        <v/>
      </c>
    </row>
    <row r="751" customFormat="false" ht="15" hidden="false" customHeight="true" outlineLevel="0" collapsed="false">
      <c r="A751" s="20"/>
      <c r="B751" s="21"/>
      <c r="C751" s="19"/>
      <c r="D751" s="18"/>
      <c r="E751" s="17"/>
      <c r="F751" s="18"/>
      <c r="G751" s="18"/>
      <c r="H751" s="21"/>
      <c r="I751" s="19"/>
      <c r="J751" s="8" t="str">
        <f aca="false">IF(OR(E751="",F751=""),"",E751*F751)</f>
        <v/>
      </c>
      <c r="K751" s="22" t="str">
        <f aca="false">IF($M751="","",INDEX('Программа тренировок'!$G$6:$G$25,$M751))</f>
        <v/>
      </c>
      <c r="L751" s="23" t="str">
        <f aca="false">IF(OR($M751="",$F751="",$G751=""),"",IF($H751="Разминка","Разминка",IF($F751&lt;INDEX('Программа тренировок'!$E$6:$E$25,$M751),"Ниже диапазона",IF(AND($F751&gt;=INDEX('Программа тренировок'!$F$6:$F$25,$M751),$G751&gt;=INDEX('Программа тренировок'!$L$6:$L$25,$M751)),"Верх диапазона: пора добавлять вес",IF($G751&lt;INDEX('Программа тренировок'!$L$6:$L$25,$M751),"RIR ниже цели","В диапазоне")))))</f>
        <v/>
      </c>
      <c r="M751" s="23" t="str">
        <f aca="false">IF($C751="","",IFERROR(MATCH($C751,'Программа тренировок'!$C$6:$C$25,0),""))</f>
        <v/>
      </c>
    </row>
    <row r="752" customFormat="false" ht="15" hidden="false" customHeight="true" outlineLevel="0" collapsed="false">
      <c r="A752" s="20"/>
      <c r="B752" s="21"/>
      <c r="C752" s="19"/>
      <c r="D752" s="18"/>
      <c r="E752" s="17"/>
      <c r="F752" s="18"/>
      <c r="G752" s="18"/>
      <c r="H752" s="21"/>
      <c r="I752" s="19"/>
      <c r="J752" s="8" t="str">
        <f aca="false">IF(OR(E752="",F752=""),"",E752*F752)</f>
        <v/>
      </c>
      <c r="K752" s="22" t="str">
        <f aca="false">IF($M752="","",INDEX('Программа тренировок'!$G$6:$G$25,$M752))</f>
        <v/>
      </c>
      <c r="L752" s="23" t="str">
        <f aca="false">IF(OR($M752="",$F752="",$G752=""),"",IF($H752="Разминка","Разминка",IF($F752&lt;INDEX('Программа тренировок'!$E$6:$E$25,$M752),"Ниже диапазона",IF(AND($F752&gt;=INDEX('Программа тренировок'!$F$6:$F$25,$M752),$G752&gt;=INDEX('Программа тренировок'!$L$6:$L$25,$M752)),"Верх диапазона: пора добавлять вес",IF($G752&lt;INDEX('Программа тренировок'!$L$6:$L$25,$M752),"RIR ниже цели","В диапазоне")))))</f>
        <v/>
      </c>
      <c r="M752" s="23" t="str">
        <f aca="false">IF($C752="","",IFERROR(MATCH($C752,'Программа тренировок'!$C$6:$C$25,0),""))</f>
        <v/>
      </c>
    </row>
    <row r="753" customFormat="false" ht="15" hidden="false" customHeight="true" outlineLevel="0" collapsed="false">
      <c r="A753" s="20"/>
      <c r="B753" s="21"/>
      <c r="C753" s="19"/>
      <c r="D753" s="18"/>
      <c r="E753" s="17"/>
      <c r="F753" s="18"/>
      <c r="G753" s="18"/>
      <c r="H753" s="21"/>
      <c r="I753" s="19"/>
      <c r="J753" s="8" t="str">
        <f aca="false">IF(OR(E753="",F753=""),"",E753*F753)</f>
        <v/>
      </c>
      <c r="K753" s="22" t="str">
        <f aca="false">IF($M753="","",INDEX('Программа тренировок'!$G$6:$G$25,$M753))</f>
        <v/>
      </c>
      <c r="L753" s="23" t="str">
        <f aca="false">IF(OR($M753="",$F753="",$G753=""),"",IF($H753="Разминка","Разминка",IF($F753&lt;INDEX('Программа тренировок'!$E$6:$E$25,$M753),"Ниже диапазона",IF(AND($F753&gt;=INDEX('Программа тренировок'!$F$6:$F$25,$M753),$G753&gt;=INDEX('Программа тренировок'!$L$6:$L$25,$M753)),"Верх диапазона: пора добавлять вес",IF($G753&lt;INDEX('Программа тренировок'!$L$6:$L$25,$M753),"RIR ниже цели","В диапазоне")))))</f>
        <v/>
      </c>
      <c r="M753" s="23" t="str">
        <f aca="false">IF($C753="","",IFERROR(MATCH($C753,'Программа тренировок'!$C$6:$C$25,0),""))</f>
        <v/>
      </c>
    </row>
    <row r="754" customFormat="false" ht="15" hidden="false" customHeight="true" outlineLevel="0" collapsed="false">
      <c r="A754" s="20"/>
      <c r="B754" s="21"/>
      <c r="C754" s="19"/>
      <c r="D754" s="18"/>
      <c r="E754" s="17"/>
      <c r="F754" s="18"/>
      <c r="G754" s="18"/>
      <c r="H754" s="21"/>
      <c r="I754" s="19"/>
      <c r="J754" s="8" t="str">
        <f aca="false">IF(OR(E754="",F754=""),"",E754*F754)</f>
        <v/>
      </c>
      <c r="K754" s="22" t="str">
        <f aca="false">IF($M754="","",INDEX('Программа тренировок'!$G$6:$G$25,$M754))</f>
        <v/>
      </c>
      <c r="L754" s="23" t="str">
        <f aca="false">IF(OR($M754="",$F754="",$G754=""),"",IF($H754="Разминка","Разминка",IF($F754&lt;INDEX('Программа тренировок'!$E$6:$E$25,$M754),"Ниже диапазона",IF(AND($F754&gt;=INDEX('Программа тренировок'!$F$6:$F$25,$M754),$G754&gt;=INDEX('Программа тренировок'!$L$6:$L$25,$M754)),"Верх диапазона: пора добавлять вес",IF($G754&lt;INDEX('Программа тренировок'!$L$6:$L$25,$M754),"RIR ниже цели","В диапазоне")))))</f>
        <v/>
      </c>
      <c r="M754" s="23" t="str">
        <f aca="false">IF($C754="","",IFERROR(MATCH($C754,'Программа тренировок'!$C$6:$C$25,0),""))</f>
        <v/>
      </c>
    </row>
    <row r="755" customFormat="false" ht="15" hidden="false" customHeight="true" outlineLevel="0" collapsed="false">
      <c r="A755" s="20"/>
      <c r="B755" s="21"/>
      <c r="C755" s="19"/>
      <c r="D755" s="18"/>
      <c r="E755" s="17"/>
      <c r="F755" s="18"/>
      <c r="G755" s="18"/>
      <c r="H755" s="21"/>
      <c r="I755" s="19"/>
      <c r="J755" s="8" t="str">
        <f aca="false">IF(OR(E755="",F755=""),"",E755*F755)</f>
        <v/>
      </c>
      <c r="K755" s="22" t="str">
        <f aca="false">IF($M755="","",INDEX('Программа тренировок'!$G$6:$G$25,$M755))</f>
        <v/>
      </c>
      <c r="L755" s="23" t="str">
        <f aca="false">IF(OR($M755="",$F755="",$G755=""),"",IF($H755="Разминка","Разминка",IF($F755&lt;INDEX('Программа тренировок'!$E$6:$E$25,$M755),"Ниже диапазона",IF(AND($F755&gt;=INDEX('Программа тренировок'!$F$6:$F$25,$M755),$G755&gt;=INDEX('Программа тренировок'!$L$6:$L$25,$M755)),"Верх диапазона: пора добавлять вес",IF($G755&lt;INDEX('Программа тренировок'!$L$6:$L$25,$M755),"RIR ниже цели","В диапазоне")))))</f>
        <v/>
      </c>
      <c r="M755" s="23" t="str">
        <f aca="false">IF($C755="","",IFERROR(MATCH($C755,'Программа тренировок'!$C$6:$C$25,0),""))</f>
        <v/>
      </c>
    </row>
    <row r="756" customFormat="false" ht="15" hidden="false" customHeight="true" outlineLevel="0" collapsed="false">
      <c r="A756" s="20"/>
      <c r="B756" s="21"/>
      <c r="C756" s="19"/>
      <c r="D756" s="18"/>
      <c r="E756" s="17"/>
      <c r="F756" s="18"/>
      <c r="G756" s="18"/>
      <c r="H756" s="21"/>
      <c r="I756" s="19"/>
      <c r="J756" s="8" t="str">
        <f aca="false">IF(OR(E756="",F756=""),"",E756*F756)</f>
        <v/>
      </c>
      <c r="K756" s="22" t="str">
        <f aca="false">IF($M756="","",INDEX('Программа тренировок'!$G$6:$G$25,$M756))</f>
        <v/>
      </c>
      <c r="L756" s="23" t="str">
        <f aca="false">IF(OR($M756="",$F756="",$G756=""),"",IF($H756="Разминка","Разминка",IF($F756&lt;INDEX('Программа тренировок'!$E$6:$E$25,$M756),"Ниже диапазона",IF(AND($F756&gt;=INDEX('Программа тренировок'!$F$6:$F$25,$M756),$G756&gt;=INDEX('Программа тренировок'!$L$6:$L$25,$M756)),"Верх диапазона: пора добавлять вес",IF($G756&lt;INDEX('Программа тренировок'!$L$6:$L$25,$M756),"RIR ниже цели","В диапазоне")))))</f>
        <v/>
      </c>
      <c r="M756" s="23" t="str">
        <f aca="false">IF($C756="","",IFERROR(MATCH($C756,'Программа тренировок'!$C$6:$C$25,0),""))</f>
        <v/>
      </c>
    </row>
    <row r="757" customFormat="false" ht="15" hidden="false" customHeight="true" outlineLevel="0" collapsed="false">
      <c r="A757" s="20"/>
      <c r="B757" s="21"/>
      <c r="C757" s="19"/>
      <c r="D757" s="18"/>
      <c r="E757" s="17"/>
      <c r="F757" s="18"/>
      <c r="G757" s="18"/>
      <c r="H757" s="21"/>
      <c r="I757" s="19"/>
      <c r="J757" s="8" t="str">
        <f aca="false">IF(OR(E757="",F757=""),"",E757*F757)</f>
        <v/>
      </c>
      <c r="K757" s="22" t="str">
        <f aca="false">IF($M757="","",INDEX('Программа тренировок'!$G$6:$G$25,$M757))</f>
        <v/>
      </c>
      <c r="L757" s="23" t="str">
        <f aca="false">IF(OR($M757="",$F757="",$G757=""),"",IF($H757="Разминка","Разминка",IF($F757&lt;INDEX('Программа тренировок'!$E$6:$E$25,$M757),"Ниже диапазона",IF(AND($F757&gt;=INDEX('Программа тренировок'!$F$6:$F$25,$M757),$G757&gt;=INDEX('Программа тренировок'!$L$6:$L$25,$M757)),"Верх диапазона: пора добавлять вес",IF($G757&lt;INDEX('Программа тренировок'!$L$6:$L$25,$M757),"RIR ниже цели","В диапазоне")))))</f>
        <v/>
      </c>
      <c r="M757" s="23" t="str">
        <f aca="false">IF($C757="","",IFERROR(MATCH($C757,'Программа тренировок'!$C$6:$C$25,0),""))</f>
        <v/>
      </c>
    </row>
    <row r="758" customFormat="false" ht="15" hidden="false" customHeight="true" outlineLevel="0" collapsed="false">
      <c r="A758" s="20"/>
      <c r="B758" s="21"/>
      <c r="C758" s="19"/>
      <c r="D758" s="18"/>
      <c r="E758" s="17"/>
      <c r="F758" s="18"/>
      <c r="G758" s="18"/>
      <c r="H758" s="21"/>
      <c r="I758" s="19"/>
      <c r="J758" s="8" t="str">
        <f aca="false">IF(OR(E758="",F758=""),"",E758*F758)</f>
        <v/>
      </c>
      <c r="K758" s="22" t="str">
        <f aca="false">IF($M758="","",INDEX('Программа тренировок'!$G$6:$G$25,$M758))</f>
        <v/>
      </c>
      <c r="L758" s="23" t="str">
        <f aca="false">IF(OR($M758="",$F758="",$G758=""),"",IF($H758="Разминка","Разминка",IF($F758&lt;INDEX('Программа тренировок'!$E$6:$E$25,$M758),"Ниже диапазона",IF(AND($F758&gt;=INDEX('Программа тренировок'!$F$6:$F$25,$M758),$G758&gt;=INDEX('Программа тренировок'!$L$6:$L$25,$M758)),"Верх диапазона: пора добавлять вес",IF($G758&lt;INDEX('Программа тренировок'!$L$6:$L$25,$M758),"RIR ниже цели","В диапазоне")))))</f>
        <v/>
      </c>
      <c r="M758" s="23" t="str">
        <f aca="false">IF($C758="","",IFERROR(MATCH($C758,'Программа тренировок'!$C$6:$C$25,0),""))</f>
        <v/>
      </c>
    </row>
    <row r="759" customFormat="false" ht="15" hidden="false" customHeight="true" outlineLevel="0" collapsed="false">
      <c r="A759" s="20"/>
      <c r="B759" s="21"/>
      <c r="C759" s="19"/>
      <c r="D759" s="18"/>
      <c r="E759" s="17"/>
      <c r="F759" s="18"/>
      <c r="G759" s="18"/>
      <c r="H759" s="21"/>
      <c r="I759" s="19"/>
      <c r="J759" s="8" t="str">
        <f aca="false">IF(OR(E759="",F759=""),"",E759*F759)</f>
        <v/>
      </c>
      <c r="K759" s="22" t="str">
        <f aca="false">IF($M759="","",INDEX('Программа тренировок'!$G$6:$G$25,$M759))</f>
        <v/>
      </c>
      <c r="L759" s="23" t="str">
        <f aca="false">IF(OR($M759="",$F759="",$G759=""),"",IF($H759="Разминка","Разминка",IF($F759&lt;INDEX('Программа тренировок'!$E$6:$E$25,$M759),"Ниже диапазона",IF(AND($F759&gt;=INDEX('Программа тренировок'!$F$6:$F$25,$M759),$G759&gt;=INDEX('Программа тренировок'!$L$6:$L$25,$M759)),"Верх диапазона: пора добавлять вес",IF($G759&lt;INDEX('Программа тренировок'!$L$6:$L$25,$M759),"RIR ниже цели","В диапазоне")))))</f>
        <v/>
      </c>
      <c r="M759" s="23" t="str">
        <f aca="false">IF($C759="","",IFERROR(MATCH($C759,'Программа тренировок'!$C$6:$C$25,0),""))</f>
        <v/>
      </c>
    </row>
    <row r="760" customFormat="false" ht="15" hidden="false" customHeight="true" outlineLevel="0" collapsed="false">
      <c r="A760" s="20"/>
      <c r="B760" s="21"/>
      <c r="C760" s="19"/>
      <c r="D760" s="18"/>
      <c r="E760" s="17"/>
      <c r="F760" s="18"/>
      <c r="G760" s="18"/>
      <c r="H760" s="21"/>
      <c r="I760" s="19"/>
      <c r="J760" s="8" t="str">
        <f aca="false">IF(OR(E760="",F760=""),"",E760*F760)</f>
        <v/>
      </c>
      <c r="K760" s="22" t="str">
        <f aca="false">IF($M760="","",INDEX('Программа тренировок'!$G$6:$G$25,$M760))</f>
        <v/>
      </c>
      <c r="L760" s="23" t="str">
        <f aca="false">IF(OR($M760="",$F760="",$G760=""),"",IF($H760="Разминка","Разминка",IF($F760&lt;INDEX('Программа тренировок'!$E$6:$E$25,$M760),"Ниже диапазона",IF(AND($F760&gt;=INDEX('Программа тренировок'!$F$6:$F$25,$M760),$G760&gt;=INDEX('Программа тренировок'!$L$6:$L$25,$M760)),"Верх диапазона: пора добавлять вес",IF($G760&lt;INDEX('Программа тренировок'!$L$6:$L$25,$M760),"RIR ниже цели","В диапазоне")))))</f>
        <v/>
      </c>
      <c r="M760" s="23" t="str">
        <f aca="false">IF($C760="","",IFERROR(MATCH($C760,'Программа тренировок'!$C$6:$C$25,0),""))</f>
        <v/>
      </c>
    </row>
    <row r="761" customFormat="false" ht="15" hidden="false" customHeight="true" outlineLevel="0" collapsed="false">
      <c r="A761" s="20"/>
      <c r="B761" s="21"/>
      <c r="C761" s="19"/>
      <c r="D761" s="18"/>
      <c r="E761" s="17"/>
      <c r="F761" s="18"/>
      <c r="G761" s="18"/>
      <c r="H761" s="21"/>
      <c r="I761" s="19"/>
      <c r="J761" s="8" t="str">
        <f aca="false">IF(OR(E761="",F761=""),"",E761*F761)</f>
        <v/>
      </c>
      <c r="K761" s="22" t="str">
        <f aca="false">IF($M761="","",INDEX('Программа тренировок'!$G$6:$G$25,$M761))</f>
        <v/>
      </c>
      <c r="L761" s="23" t="str">
        <f aca="false">IF(OR($M761="",$F761="",$G761=""),"",IF($H761="Разминка","Разминка",IF($F761&lt;INDEX('Программа тренировок'!$E$6:$E$25,$M761),"Ниже диапазона",IF(AND($F761&gt;=INDEX('Программа тренировок'!$F$6:$F$25,$M761),$G761&gt;=INDEX('Программа тренировок'!$L$6:$L$25,$M761)),"Верх диапазона: пора добавлять вес",IF($G761&lt;INDEX('Программа тренировок'!$L$6:$L$25,$M761),"RIR ниже цели","В диапазоне")))))</f>
        <v/>
      </c>
      <c r="M761" s="23" t="str">
        <f aca="false">IF($C761="","",IFERROR(MATCH($C761,'Программа тренировок'!$C$6:$C$25,0),""))</f>
        <v/>
      </c>
    </row>
    <row r="762" customFormat="false" ht="15" hidden="false" customHeight="true" outlineLevel="0" collapsed="false">
      <c r="A762" s="20"/>
      <c r="B762" s="21"/>
      <c r="C762" s="19"/>
      <c r="D762" s="18"/>
      <c r="E762" s="17"/>
      <c r="F762" s="18"/>
      <c r="G762" s="18"/>
      <c r="H762" s="21"/>
      <c r="I762" s="19"/>
      <c r="J762" s="8" t="str">
        <f aca="false">IF(OR(E762="",F762=""),"",E762*F762)</f>
        <v/>
      </c>
      <c r="K762" s="22" t="str">
        <f aca="false">IF($M762="","",INDEX('Программа тренировок'!$G$6:$G$25,$M762))</f>
        <v/>
      </c>
      <c r="L762" s="23" t="str">
        <f aca="false">IF(OR($M762="",$F762="",$G762=""),"",IF($H762="Разминка","Разминка",IF($F762&lt;INDEX('Программа тренировок'!$E$6:$E$25,$M762),"Ниже диапазона",IF(AND($F762&gt;=INDEX('Программа тренировок'!$F$6:$F$25,$M762),$G762&gt;=INDEX('Программа тренировок'!$L$6:$L$25,$M762)),"Верх диапазона: пора добавлять вес",IF($G762&lt;INDEX('Программа тренировок'!$L$6:$L$25,$M762),"RIR ниже цели","В диапазоне")))))</f>
        <v/>
      </c>
      <c r="M762" s="23" t="str">
        <f aca="false">IF($C762="","",IFERROR(MATCH($C762,'Программа тренировок'!$C$6:$C$25,0),""))</f>
        <v/>
      </c>
    </row>
    <row r="763" customFormat="false" ht="15" hidden="false" customHeight="true" outlineLevel="0" collapsed="false">
      <c r="A763" s="20"/>
      <c r="B763" s="21"/>
      <c r="C763" s="19"/>
      <c r="D763" s="18"/>
      <c r="E763" s="17"/>
      <c r="F763" s="18"/>
      <c r="G763" s="18"/>
      <c r="H763" s="21"/>
      <c r="I763" s="19"/>
      <c r="J763" s="8" t="str">
        <f aca="false">IF(OR(E763="",F763=""),"",E763*F763)</f>
        <v/>
      </c>
      <c r="K763" s="22" t="str">
        <f aca="false">IF($M763="","",INDEX('Программа тренировок'!$G$6:$G$25,$M763))</f>
        <v/>
      </c>
      <c r="L763" s="23" t="str">
        <f aca="false">IF(OR($M763="",$F763="",$G763=""),"",IF($H763="Разминка","Разминка",IF($F763&lt;INDEX('Программа тренировок'!$E$6:$E$25,$M763),"Ниже диапазона",IF(AND($F763&gt;=INDEX('Программа тренировок'!$F$6:$F$25,$M763),$G763&gt;=INDEX('Программа тренировок'!$L$6:$L$25,$M763)),"Верх диапазона: пора добавлять вес",IF($G763&lt;INDEX('Программа тренировок'!$L$6:$L$25,$M763),"RIR ниже цели","В диапазоне")))))</f>
        <v/>
      </c>
      <c r="M763" s="23" t="str">
        <f aca="false">IF($C763="","",IFERROR(MATCH($C763,'Программа тренировок'!$C$6:$C$25,0),""))</f>
        <v/>
      </c>
    </row>
    <row r="764" customFormat="false" ht="15" hidden="false" customHeight="true" outlineLevel="0" collapsed="false">
      <c r="A764" s="20"/>
      <c r="B764" s="21"/>
      <c r="C764" s="19"/>
      <c r="D764" s="18"/>
      <c r="E764" s="17"/>
      <c r="F764" s="18"/>
      <c r="G764" s="18"/>
      <c r="H764" s="21"/>
      <c r="I764" s="19"/>
      <c r="J764" s="8" t="str">
        <f aca="false">IF(OR(E764="",F764=""),"",E764*F764)</f>
        <v/>
      </c>
      <c r="K764" s="22" t="str">
        <f aca="false">IF($M764="","",INDEX('Программа тренировок'!$G$6:$G$25,$M764))</f>
        <v/>
      </c>
      <c r="L764" s="23" t="str">
        <f aca="false">IF(OR($M764="",$F764="",$G764=""),"",IF($H764="Разминка","Разминка",IF($F764&lt;INDEX('Программа тренировок'!$E$6:$E$25,$M764),"Ниже диапазона",IF(AND($F764&gt;=INDEX('Программа тренировок'!$F$6:$F$25,$M764),$G764&gt;=INDEX('Программа тренировок'!$L$6:$L$25,$M764)),"Верх диапазона: пора добавлять вес",IF($G764&lt;INDEX('Программа тренировок'!$L$6:$L$25,$M764),"RIR ниже цели","В диапазоне")))))</f>
        <v/>
      </c>
      <c r="M764" s="23" t="str">
        <f aca="false">IF($C764="","",IFERROR(MATCH($C764,'Программа тренировок'!$C$6:$C$25,0),""))</f>
        <v/>
      </c>
    </row>
    <row r="765" customFormat="false" ht="15" hidden="false" customHeight="true" outlineLevel="0" collapsed="false">
      <c r="A765" s="20"/>
      <c r="B765" s="21"/>
      <c r="C765" s="19"/>
      <c r="D765" s="18"/>
      <c r="E765" s="17"/>
      <c r="F765" s="18"/>
      <c r="G765" s="18"/>
      <c r="H765" s="21"/>
      <c r="I765" s="19"/>
      <c r="J765" s="8" t="str">
        <f aca="false">IF(OR(E765="",F765=""),"",E765*F765)</f>
        <v/>
      </c>
      <c r="K765" s="22" t="str">
        <f aca="false">IF($M765="","",INDEX('Программа тренировок'!$G$6:$G$25,$M765))</f>
        <v/>
      </c>
      <c r="L765" s="23" t="str">
        <f aca="false">IF(OR($M765="",$F765="",$G765=""),"",IF($H765="Разминка","Разминка",IF($F765&lt;INDEX('Программа тренировок'!$E$6:$E$25,$M765),"Ниже диапазона",IF(AND($F765&gt;=INDEX('Программа тренировок'!$F$6:$F$25,$M765),$G765&gt;=INDEX('Программа тренировок'!$L$6:$L$25,$M765)),"Верх диапазона: пора добавлять вес",IF($G765&lt;INDEX('Программа тренировок'!$L$6:$L$25,$M765),"RIR ниже цели","В диапазоне")))))</f>
        <v/>
      </c>
      <c r="M765" s="23" t="str">
        <f aca="false">IF($C765="","",IFERROR(MATCH($C765,'Программа тренировок'!$C$6:$C$25,0),""))</f>
        <v/>
      </c>
    </row>
    <row r="766" customFormat="false" ht="15" hidden="false" customHeight="true" outlineLevel="0" collapsed="false">
      <c r="A766" s="20"/>
      <c r="B766" s="21"/>
      <c r="C766" s="19"/>
      <c r="D766" s="18"/>
      <c r="E766" s="17"/>
      <c r="F766" s="18"/>
      <c r="G766" s="18"/>
      <c r="H766" s="21"/>
      <c r="I766" s="19"/>
      <c r="J766" s="8" t="str">
        <f aca="false">IF(OR(E766="",F766=""),"",E766*F766)</f>
        <v/>
      </c>
      <c r="K766" s="22" t="str">
        <f aca="false">IF($M766="","",INDEX('Программа тренировок'!$G$6:$G$25,$M766))</f>
        <v/>
      </c>
      <c r="L766" s="23" t="str">
        <f aca="false">IF(OR($M766="",$F766="",$G766=""),"",IF($H766="Разминка","Разминка",IF($F766&lt;INDEX('Программа тренировок'!$E$6:$E$25,$M766),"Ниже диапазона",IF(AND($F766&gt;=INDEX('Программа тренировок'!$F$6:$F$25,$M766),$G766&gt;=INDEX('Программа тренировок'!$L$6:$L$25,$M766)),"Верх диапазона: пора добавлять вес",IF($G766&lt;INDEX('Программа тренировок'!$L$6:$L$25,$M766),"RIR ниже цели","В диапазоне")))))</f>
        <v/>
      </c>
      <c r="M766" s="23" t="str">
        <f aca="false">IF($C766="","",IFERROR(MATCH($C766,'Программа тренировок'!$C$6:$C$25,0),""))</f>
        <v/>
      </c>
    </row>
    <row r="767" customFormat="false" ht="15" hidden="false" customHeight="true" outlineLevel="0" collapsed="false">
      <c r="A767" s="20"/>
      <c r="B767" s="21"/>
      <c r="C767" s="19"/>
      <c r="D767" s="18"/>
      <c r="E767" s="17"/>
      <c r="F767" s="18"/>
      <c r="G767" s="18"/>
      <c r="H767" s="21"/>
      <c r="I767" s="19"/>
      <c r="J767" s="8" t="str">
        <f aca="false">IF(OR(E767="",F767=""),"",E767*F767)</f>
        <v/>
      </c>
      <c r="K767" s="22" t="str">
        <f aca="false">IF($M767="","",INDEX('Программа тренировок'!$G$6:$G$25,$M767))</f>
        <v/>
      </c>
      <c r="L767" s="23" t="str">
        <f aca="false">IF(OR($M767="",$F767="",$G767=""),"",IF($H767="Разминка","Разминка",IF($F767&lt;INDEX('Программа тренировок'!$E$6:$E$25,$M767),"Ниже диапазона",IF(AND($F767&gt;=INDEX('Программа тренировок'!$F$6:$F$25,$M767),$G767&gt;=INDEX('Программа тренировок'!$L$6:$L$25,$M767)),"Верх диапазона: пора добавлять вес",IF($G767&lt;INDEX('Программа тренировок'!$L$6:$L$25,$M767),"RIR ниже цели","В диапазоне")))))</f>
        <v/>
      </c>
      <c r="M767" s="23" t="str">
        <f aca="false">IF($C767="","",IFERROR(MATCH($C767,'Программа тренировок'!$C$6:$C$25,0),""))</f>
        <v/>
      </c>
    </row>
    <row r="768" customFormat="false" ht="15" hidden="false" customHeight="true" outlineLevel="0" collapsed="false">
      <c r="A768" s="20"/>
      <c r="B768" s="21"/>
      <c r="C768" s="19"/>
      <c r="D768" s="18"/>
      <c r="E768" s="17"/>
      <c r="F768" s="18"/>
      <c r="G768" s="18"/>
      <c r="H768" s="21"/>
      <c r="I768" s="19"/>
      <c r="J768" s="8" t="str">
        <f aca="false">IF(OR(E768="",F768=""),"",E768*F768)</f>
        <v/>
      </c>
      <c r="K768" s="22" t="str">
        <f aca="false">IF($M768="","",INDEX('Программа тренировок'!$G$6:$G$25,$M768))</f>
        <v/>
      </c>
      <c r="L768" s="23" t="str">
        <f aca="false">IF(OR($M768="",$F768="",$G768=""),"",IF($H768="Разминка","Разминка",IF($F768&lt;INDEX('Программа тренировок'!$E$6:$E$25,$M768),"Ниже диапазона",IF(AND($F768&gt;=INDEX('Программа тренировок'!$F$6:$F$25,$M768),$G768&gt;=INDEX('Программа тренировок'!$L$6:$L$25,$M768)),"Верх диапазона: пора добавлять вес",IF($G768&lt;INDEX('Программа тренировок'!$L$6:$L$25,$M768),"RIR ниже цели","В диапазоне")))))</f>
        <v/>
      </c>
      <c r="M768" s="23" t="str">
        <f aca="false">IF($C768="","",IFERROR(MATCH($C768,'Программа тренировок'!$C$6:$C$25,0),""))</f>
        <v/>
      </c>
    </row>
    <row r="769" customFormat="false" ht="15" hidden="false" customHeight="true" outlineLevel="0" collapsed="false">
      <c r="A769" s="20"/>
      <c r="B769" s="21"/>
      <c r="C769" s="19"/>
      <c r="D769" s="18"/>
      <c r="E769" s="17"/>
      <c r="F769" s="18"/>
      <c r="G769" s="18"/>
      <c r="H769" s="21"/>
      <c r="I769" s="19"/>
      <c r="J769" s="8" t="str">
        <f aca="false">IF(OR(E769="",F769=""),"",E769*F769)</f>
        <v/>
      </c>
      <c r="K769" s="22" t="str">
        <f aca="false">IF($M769="","",INDEX('Программа тренировок'!$G$6:$G$25,$M769))</f>
        <v/>
      </c>
      <c r="L769" s="23" t="str">
        <f aca="false">IF(OR($M769="",$F769="",$G769=""),"",IF($H769="Разминка","Разминка",IF($F769&lt;INDEX('Программа тренировок'!$E$6:$E$25,$M769),"Ниже диапазона",IF(AND($F769&gt;=INDEX('Программа тренировок'!$F$6:$F$25,$M769),$G769&gt;=INDEX('Программа тренировок'!$L$6:$L$25,$M769)),"Верх диапазона: пора добавлять вес",IF($G769&lt;INDEX('Программа тренировок'!$L$6:$L$25,$M769),"RIR ниже цели","В диапазоне")))))</f>
        <v/>
      </c>
      <c r="M769" s="23" t="str">
        <f aca="false">IF($C769="","",IFERROR(MATCH($C769,'Программа тренировок'!$C$6:$C$25,0),""))</f>
        <v/>
      </c>
    </row>
    <row r="770" customFormat="false" ht="15" hidden="false" customHeight="true" outlineLevel="0" collapsed="false">
      <c r="A770" s="20"/>
      <c r="B770" s="21"/>
      <c r="C770" s="19"/>
      <c r="D770" s="18"/>
      <c r="E770" s="17"/>
      <c r="F770" s="18"/>
      <c r="G770" s="18"/>
      <c r="H770" s="21"/>
      <c r="I770" s="19"/>
      <c r="J770" s="8" t="str">
        <f aca="false">IF(OR(E770="",F770=""),"",E770*F770)</f>
        <v/>
      </c>
      <c r="K770" s="22" t="str">
        <f aca="false">IF($M770="","",INDEX('Программа тренировок'!$G$6:$G$25,$M770))</f>
        <v/>
      </c>
      <c r="L770" s="23" t="str">
        <f aca="false">IF(OR($M770="",$F770="",$G770=""),"",IF($H770="Разминка","Разминка",IF($F770&lt;INDEX('Программа тренировок'!$E$6:$E$25,$M770),"Ниже диапазона",IF(AND($F770&gt;=INDEX('Программа тренировок'!$F$6:$F$25,$M770),$G770&gt;=INDEX('Программа тренировок'!$L$6:$L$25,$M770)),"Верх диапазона: пора добавлять вес",IF($G770&lt;INDEX('Программа тренировок'!$L$6:$L$25,$M770),"RIR ниже цели","В диапазоне")))))</f>
        <v/>
      </c>
      <c r="M770" s="23" t="str">
        <f aca="false">IF($C770="","",IFERROR(MATCH($C770,'Программа тренировок'!$C$6:$C$25,0),""))</f>
        <v/>
      </c>
    </row>
    <row r="771" customFormat="false" ht="15" hidden="false" customHeight="true" outlineLevel="0" collapsed="false">
      <c r="A771" s="20"/>
      <c r="B771" s="21"/>
      <c r="C771" s="19"/>
      <c r="D771" s="18"/>
      <c r="E771" s="17"/>
      <c r="F771" s="18"/>
      <c r="G771" s="18"/>
      <c r="H771" s="21"/>
      <c r="I771" s="19"/>
      <c r="J771" s="8" t="str">
        <f aca="false">IF(OR(E771="",F771=""),"",E771*F771)</f>
        <v/>
      </c>
      <c r="K771" s="22" t="str">
        <f aca="false">IF($M771="","",INDEX('Программа тренировок'!$G$6:$G$25,$M771))</f>
        <v/>
      </c>
      <c r="L771" s="23" t="str">
        <f aca="false">IF(OR($M771="",$F771="",$G771=""),"",IF($H771="Разминка","Разминка",IF($F771&lt;INDEX('Программа тренировок'!$E$6:$E$25,$M771),"Ниже диапазона",IF(AND($F771&gt;=INDEX('Программа тренировок'!$F$6:$F$25,$M771),$G771&gt;=INDEX('Программа тренировок'!$L$6:$L$25,$M771)),"Верх диапазона: пора добавлять вес",IF($G771&lt;INDEX('Программа тренировок'!$L$6:$L$25,$M771),"RIR ниже цели","В диапазоне")))))</f>
        <v/>
      </c>
      <c r="M771" s="23" t="str">
        <f aca="false">IF($C771="","",IFERROR(MATCH($C771,'Программа тренировок'!$C$6:$C$25,0),""))</f>
        <v/>
      </c>
    </row>
    <row r="772" customFormat="false" ht="15" hidden="false" customHeight="true" outlineLevel="0" collapsed="false">
      <c r="A772" s="20"/>
      <c r="B772" s="21"/>
      <c r="C772" s="19"/>
      <c r="D772" s="18"/>
      <c r="E772" s="17"/>
      <c r="F772" s="18"/>
      <c r="G772" s="18"/>
      <c r="H772" s="21"/>
      <c r="I772" s="19"/>
      <c r="J772" s="8" t="str">
        <f aca="false">IF(OR(E772="",F772=""),"",E772*F772)</f>
        <v/>
      </c>
      <c r="K772" s="22" t="str">
        <f aca="false">IF($M772="","",INDEX('Программа тренировок'!$G$6:$G$25,$M772))</f>
        <v/>
      </c>
      <c r="L772" s="23" t="str">
        <f aca="false">IF(OR($M772="",$F772="",$G772=""),"",IF($H772="Разминка","Разминка",IF($F772&lt;INDEX('Программа тренировок'!$E$6:$E$25,$M772),"Ниже диапазона",IF(AND($F772&gt;=INDEX('Программа тренировок'!$F$6:$F$25,$M772),$G772&gt;=INDEX('Программа тренировок'!$L$6:$L$25,$M772)),"Верх диапазона: пора добавлять вес",IF($G772&lt;INDEX('Программа тренировок'!$L$6:$L$25,$M772),"RIR ниже цели","В диапазоне")))))</f>
        <v/>
      </c>
      <c r="M772" s="23" t="str">
        <f aca="false">IF($C772="","",IFERROR(MATCH($C772,'Программа тренировок'!$C$6:$C$25,0),""))</f>
        <v/>
      </c>
    </row>
    <row r="773" customFormat="false" ht="15" hidden="false" customHeight="true" outlineLevel="0" collapsed="false">
      <c r="A773" s="20"/>
      <c r="B773" s="21"/>
      <c r="C773" s="19"/>
      <c r="D773" s="18"/>
      <c r="E773" s="17"/>
      <c r="F773" s="18"/>
      <c r="G773" s="18"/>
      <c r="H773" s="21"/>
      <c r="I773" s="19"/>
      <c r="J773" s="8" t="str">
        <f aca="false">IF(OR(E773="",F773=""),"",E773*F773)</f>
        <v/>
      </c>
      <c r="K773" s="22" t="str">
        <f aca="false">IF($M773="","",INDEX('Программа тренировок'!$G$6:$G$25,$M773))</f>
        <v/>
      </c>
      <c r="L773" s="23" t="str">
        <f aca="false">IF(OR($M773="",$F773="",$G773=""),"",IF($H773="Разминка","Разминка",IF($F773&lt;INDEX('Программа тренировок'!$E$6:$E$25,$M773),"Ниже диапазона",IF(AND($F773&gt;=INDEX('Программа тренировок'!$F$6:$F$25,$M773),$G773&gt;=INDEX('Программа тренировок'!$L$6:$L$25,$M773)),"Верх диапазона: пора добавлять вес",IF($G773&lt;INDEX('Программа тренировок'!$L$6:$L$25,$M773),"RIR ниже цели","В диапазоне")))))</f>
        <v/>
      </c>
      <c r="M773" s="23" t="str">
        <f aca="false">IF($C773="","",IFERROR(MATCH($C773,'Программа тренировок'!$C$6:$C$25,0),""))</f>
        <v/>
      </c>
    </row>
    <row r="774" customFormat="false" ht="15" hidden="false" customHeight="true" outlineLevel="0" collapsed="false">
      <c r="A774" s="20"/>
      <c r="B774" s="21"/>
      <c r="C774" s="19"/>
      <c r="D774" s="18"/>
      <c r="E774" s="17"/>
      <c r="F774" s="18"/>
      <c r="G774" s="18"/>
      <c r="H774" s="21"/>
      <c r="I774" s="19"/>
      <c r="J774" s="8" t="str">
        <f aca="false">IF(OR(E774="",F774=""),"",E774*F774)</f>
        <v/>
      </c>
      <c r="K774" s="22" t="str">
        <f aca="false">IF($M774="","",INDEX('Программа тренировок'!$G$6:$G$25,$M774))</f>
        <v/>
      </c>
      <c r="L774" s="23" t="str">
        <f aca="false">IF(OR($M774="",$F774="",$G774=""),"",IF($H774="Разминка","Разминка",IF($F774&lt;INDEX('Программа тренировок'!$E$6:$E$25,$M774),"Ниже диапазона",IF(AND($F774&gt;=INDEX('Программа тренировок'!$F$6:$F$25,$M774),$G774&gt;=INDEX('Программа тренировок'!$L$6:$L$25,$M774)),"Верх диапазона: пора добавлять вес",IF($G774&lt;INDEX('Программа тренировок'!$L$6:$L$25,$M774),"RIR ниже цели","В диапазоне")))))</f>
        <v/>
      </c>
      <c r="M774" s="23" t="str">
        <f aca="false">IF($C774="","",IFERROR(MATCH($C774,'Программа тренировок'!$C$6:$C$25,0),""))</f>
        <v/>
      </c>
    </row>
    <row r="775" customFormat="false" ht="15" hidden="false" customHeight="true" outlineLevel="0" collapsed="false">
      <c r="A775" s="20"/>
      <c r="B775" s="21"/>
      <c r="C775" s="19"/>
      <c r="D775" s="18"/>
      <c r="E775" s="17"/>
      <c r="F775" s="18"/>
      <c r="G775" s="18"/>
      <c r="H775" s="21"/>
      <c r="I775" s="19"/>
      <c r="J775" s="8" t="str">
        <f aca="false">IF(OR(E775="",F775=""),"",E775*F775)</f>
        <v/>
      </c>
      <c r="K775" s="22" t="str">
        <f aca="false">IF($M775="","",INDEX('Программа тренировок'!$G$6:$G$25,$M775))</f>
        <v/>
      </c>
      <c r="L775" s="23" t="str">
        <f aca="false">IF(OR($M775="",$F775="",$G775=""),"",IF($H775="Разминка","Разминка",IF($F775&lt;INDEX('Программа тренировок'!$E$6:$E$25,$M775),"Ниже диапазона",IF(AND($F775&gt;=INDEX('Программа тренировок'!$F$6:$F$25,$M775),$G775&gt;=INDEX('Программа тренировок'!$L$6:$L$25,$M775)),"Верх диапазона: пора добавлять вес",IF($G775&lt;INDEX('Программа тренировок'!$L$6:$L$25,$M775),"RIR ниже цели","В диапазоне")))))</f>
        <v/>
      </c>
      <c r="M775" s="23" t="str">
        <f aca="false">IF($C775="","",IFERROR(MATCH($C775,'Программа тренировок'!$C$6:$C$25,0),""))</f>
        <v/>
      </c>
    </row>
    <row r="776" customFormat="false" ht="15" hidden="false" customHeight="true" outlineLevel="0" collapsed="false">
      <c r="A776" s="20"/>
      <c r="B776" s="21"/>
      <c r="C776" s="19"/>
      <c r="D776" s="18"/>
      <c r="E776" s="17"/>
      <c r="F776" s="18"/>
      <c r="G776" s="18"/>
      <c r="H776" s="21"/>
      <c r="I776" s="19"/>
      <c r="J776" s="8" t="str">
        <f aca="false">IF(OR(E776="",F776=""),"",E776*F776)</f>
        <v/>
      </c>
      <c r="K776" s="22" t="str">
        <f aca="false">IF($M776="","",INDEX('Программа тренировок'!$G$6:$G$25,$M776))</f>
        <v/>
      </c>
      <c r="L776" s="23" t="str">
        <f aca="false">IF(OR($M776="",$F776="",$G776=""),"",IF($H776="Разминка","Разминка",IF($F776&lt;INDEX('Программа тренировок'!$E$6:$E$25,$M776),"Ниже диапазона",IF(AND($F776&gt;=INDEX('Программа тренировок'!$F$6:$F$25,$M776),$G776&gt;=INDEX('Программа тренировок'!$L$6:$L$25,$M776)),"Верх диапазона: пора добавлять вес",IF($G776&lt;INDEX('Программа тренировок'!$L$6:$L$25,$M776),"RIR ниже цели","В диапазоне")))))</f>
        <v/>
      </c>
      <c r="M776" s="23" t="str">
        <f aca="false">IF($C776="","",IFERROR(MATCH($C776,'Программа тренировок'!$C$6:$C$25,0),""))</f>
        <v/>
      </c>
    </row>
    <row r="777" customFormat="false" ht="15" hidden="false" customHeight="true" outlineLevel="0" collapsed="false">
      <c r="A777" s="20"/>
      <c r="B777" s="21"/>
      <c r="C777" s="19"/>
      <c r="D777" s="18"/>
      <c r="E777" s="17"/>
      <c r="F777" s="18"/>
      <c r="G777" s="18"/>
      <c r="H777" s="21"/>
      <c r="I777" s="19"/>
      <c r="J777" s="8" t="str">
        <f aca="false">IF(OR(E777="",F777=""),"",E777*F777)</f>
        <v/>
      </c>
      <c r="K777" s="22" t="str">
        <f aca="false">IF($M777="","",INDEX('Программа тренировок'!$G$6:$G$25,$M777))</f>
        <v/>
      </c>
      <c r="L777" s="23" t="str">
        <f aca="false">IF(OR($M777="",$F777="",$G777=""),"",IF($H777="Разминка","Разминка",IF($F777&lt;INDEX('Программа тренировок'!$E$6:$E$25,$M777),"Ниже диапазона",IF(AND($F777&gt;=INDEX('Программа тренировок'!$F$6:$F$25,$M777),$G777&gt;=INDEX('Программа тренировок'!$L$6:$L$25,$M777)),"Верх диапазона: пора добавлять вес",IF($G777&lt;INDEX('Программа тренировок'!$L$6:$L$25,$M777),"RIR ниже цели","В диапазоне")))))</f>
        <v/>
      </c>
      <c r="M777" s="23" t="str">
        <f aca="false">IF($C777="","",IFERROR(MATCH($C777,'Программа тренировок'!$C$6:$C$25,0),""))</f>
        <v/>
      </c>
    </row>
    <row r="778" customFormat="false" ht="15" hidden="false" customHeight="true" outlineLevel="0" collapsed="false">
      <c r="A778" s="20"/>
      <c r="B778" s="21"/>
      <c r="C778" s="19"/>
      <c r="D778" s="18"/>
      <c r="E778" s="17"/>
      <c r="F778" s="18"/>
      <c r="G778" s="18"/>
      <c r="H778" s="21"/>
      <c r="I778" s="19"/>
      <c r="J778" s="8" t="str">
        <f aca="false">IF(OR(E778="",F778=""),"",E778*F778)</f>
        <v/>
      </c>
      <c r="K778" s="22" t="str">
        <f aca="false">IF($M778="","",INDEX('Программа тренировок'!$G$6:$G$25,$M778))</f>
        <v/>
      </c>
      <c r="L778" s="23" t="str">
        <f aca="false">IF(OR($M778="",$F778="",$G778=""),"",IF($H778="Разминка","Разминка",IF($F778&lt;INDEX('Программа тренировок'!$E$6:$E$25,$M778),"Ниже диапазона",IF(AND($F778&gt;=INDEX('Программа тренировок'!$F$6:$F$25,$M778),$G778&gt;=INDEX('Программа тренировок'!$L$6:$L$25,$M778)),"Верх диапазона: пора добавлять вес",IF($G778&lt;INDEX('Программа тренировок'!$L$6:$L$25,$M778),"RIR ниже цели","В диапазоне")))))</f>
        <v/>
      </c>
      <c r="M778" s="23" t="str">
        <f aca="false">IF($C778="","",IFERROR(MATCH($C778,'Программа тренировок'!$C$6:$C$25,0),""))</f>
        <v/>
      </c>
    </row>
    <row r="779" customFormat="false" ht="15" hidden="false" customHeight="true" outlineLevel="0" collapsed="false">
      <c r="A779" s="20"/>
      <c r="B779" s="21"/>
      <c r="C779" s="19"/>
      <c r="D779" s="18"/>
      <c r="E779" s="17"/>
      <c r="F779" s="18"/>
      <c r="G779" s="18"/>
      <c r="H779" s="21"/>
      <c r="I779" s="19"/>
      <c r="J779" s="8" t="str">
        <f aca="false">IF(OR(E779="",F779=""),"",E779*F779)</f>
        <v/>
      </c>
      <c r="K779" s="22" t="str">
        <f aca="false">IF($M779="","",INDEX('Программа тренировок'!$G$6:$G$25,$M779))</f>
        <v/>
      </c>
      <c r="L779" s="23" t="str">
        <f aca="false">IF(OR($M779="",$F779="",$G779=""),"",IF($H779="Разминка","Разминка",IF($F779&lt;INDEX('Программа тренировок'!$E$6:$E$25,$M779),"Ниже диапазона",IF(AND($F779&gt;=INDEX('Программа тренировок'!$F$6:$F$25,$M779),$G779&gt;=INDEX('Программа тренировок'!$L$6:$L$25,$M779)),"Верх диапазона: пора добавлять вес",IF($G779&lt;INDEX('Программа тренировок'!$L$6:$L$25,$M779),"RIR ниже цели","В диапазоне")))))</f>
        <v/>
      </c>
      <c r="M779" s="23" t="str">
        <f aca="false">IF($C779="","",IFERROR(MATCH($C779,'Программа тренировок'!$C$6:$C$25,0),""))</f>
        <v/>
      </c>
    </row>
    <row r="780" customFormat="false" ht="15" hidden="false" customHeight="true" outlineLevel="0" collapsed="false">
      <c r="A780" s="20"/>
      <c r="B780" s="21"/>
      <c r="C780" s="19"/>
      <c r="D780" s="18"/>
      <c r="E780" s="17"/>
      <c r="F780" s="18"/>
      <c r="G780" s="18"/>
      <c r="H780" s="21"/>
      <c r="I780" s="19"/>
      <c r="J780" s="8" t="str">
        <f aca="false">IF(OR(E780="",F780=""),"",E780*F780)</f>
        <v/>
      </c>
      <c r="K780" s="22" t="str">
        <f aca="false">IF($M780="","",INDEX('Программа тренировок'!$G$6:$G$25,$M780))</f>
        <v/>
      </c>
      <c r="L780" s="23" t="str">
        <f aca="false">IF(OR($M780="",$F780="",$G780=""),"",IF($H780="Разминка","Разминка",IF($F780&lt;INDEX('Программа тренировок'!$E$6:$E$25,$M780),"Ниже диапазона",IF(AND($F780&gt;=INDEX('Программа тренировок'!$F$6:$F$25,$M780),$G780&gt;=INDEX('Программа тренировок'!$L$6:$L$25,$M780)),"Верх диапазона: пора добавлять вес",IF($G780&lt;INDEX('Программа тренировок'!$L$6:$L$25,$M780),"RIR ниже цели","В диапазоне")))))</f>
        <v/>
      </c>
      <c r="M780" s="23" t="str">
        <f aca="false">IF($C780="","",IFERROR(MATCH($C780,'Программа тренировок'!$C$6:$C$25,0),""))</f>
        <v/>
      </c>
    </row>
    <row r="781" customFormat="false" ht="15" hidden="false" customHeight="true" outlineLevel="0" collapsed="false">
      <c r="A781" s="20"/>
      <c r="B781" s="21"/>
      <c r="C781" s="19"/>
      <c r="D781" s="18"/>
      <c r="E781" s="17"/>
      <c r="F781" s="18"/>
      <c r="G781" s="18"/>
      <c r="H781" s="21"/>
      <c r="I781" s="19"/>
      <c r="J781" s="8" t="str">
        <f aca="false">IF(OR(E781="",F781=""),"",E781*F781)</f>
        <v/>
      </c>
      <c r="K781" s="22" t="str">
        <f aca="false">IF($M781="","",INDEX('Программа тренировок'!$G$6:$G$25,$M781))</f>
        <v/>
      </c>
      <c r="L781" s="23" t="str">
        <f aca="false">IF(OR($M781="",$F781="",$G781=""),"",IF($H781="Разминка","Разминка",IF($F781&lt;INDEX('Программа тренировок'!$E$6:$E$25,$M781),"Ниже диапазона",IF(AND($F781&gt;=INDEX('Программа тренировок'!$F$6:$F$25,$M781),$G781&gt;=INDEX('Программа тренировок'!$L$6:$L$25,$M781)),"Верх диапазона: пора добавлять вес",IF($G781&lt;INDEX('Программа тренировок'!$L$6:$L$25,$M781),"RIR ниже цели","В диапазоне")))))</f>
        <v/>
      </c>
      <c r="M781" s="23" t="str">
        <f aca="false">IF($C781="","",IFERROR(MATCH($C781,'Программа тренировок'!$C$6:$C$25,0),""))</f>
        <v/>
      </c>
    </row>
    <row r="782" customFormat="false" ht="15" hidden="false" customHeight="true" outlineLevel="0" collapsed="false">
      <c r="A782" s="20"/>
      <c r="B782" s="21"/>
      <c r="C782" s="19"/>
      <c r="D782" s="18"/>
      <c r="E782" s="17"/>
      <c r="F782" s="18"/>
      <c r="G782" s="18"/>
      <c r="H782" s="21"/>
      <c r="I782" s="19"/>
      <c r="J782" s="8" t="str">
        <f aca="false">IF(OR(E782="",F782=""),"",E782*F782)</f>
        <v/>
      </c>
      <c r="K782" s="22" t="str">
        <f aca="false">IF($M782="","",INDEX('Программа тренировок'!$G$6:$G$25,$M782))</f>
        <v/>
      </c>
      <c r="L782" s="23" t="str">
        <f aca="false">IF(OR($M782="",$F782="",$G782=""),"",IF($H782="Разминка","Разминка",IF($F782&lt;INDEX('Программа тренировок'!$E$6:$E$25,$M782),"Ниже диапазона",IF(AND($F782&gt;=INDEX('Программа тренировок'!$F$6:$F$25,$M782),$G782&gt;=INDEX('Программа тренировок'!$L$6:$L$25,$M782)),"Верх диапазона: пора добавлять вес",IF($G782&lt;INDEX('Программа тренировок'!$L$6:$L$25,$M782),"RIR ниже цели","В диапазоне")))))</f>
        <v/>
      </c>
      <c r="M782" s="23" t="str">
        <f aca="false">IF($C782="","",IFERROR(MATCH($C782,'Программа тренировок'!$C$6:$C$25,0),""))</f>
        <v/>
      </c>
    </row>
    <row r="783" customFormat="false" ht="15" hidden="false" customHeight="true" outlineLevel="0" collapsed="false">
      <c r="A783" s="20"/>
      <c r="B783" s="21"/>
      <c r="C783" s="19"/>
      <c r="D783" s="18"/>
      <c r="E783" s="17"/>
      <c r="F783" s="18"/>
      <c r="G783" s="18"/>
      <c r="H783" s="21"/>
      <c r="I783" s="19"/>
      <c r="J783" s="8" t="str">
        <f aca="false">IF(OR(E783="",F783=""),"",E783*F783)</f>
        <v/>
      </c>
      <c r="K783" s="22" t="str">
        <f aca="false">IF($M783="","",INDEX('Программа тренировок'!$G$6:$G$25,$M783))</f>
        <v/>
      </c>
      <c r="L783" s="23" t="str">
        <f aca="false">IF(OR($M783="",$F783="",$G783=""),"",IF($H783="Разминка","Разминка",IF($F783&lt;INDEX('Программа тренировок'!$E$6:$E$25,$M783),"Ниже диапазона",IF(AND($F783&gt;=INDEX('Программа тренировок'!$F$6:$F$25,$M783),$G783&gt;=INDEX('Программа тренировок'!$L$6:$L$25,$M783)),"Верх диапазона: пора добавлять вес",IF($G783&lt;INDEX('Программа тренировок'!$L$6:$L$25,$M783),"RIR ниже цели","В диапазоне")))))</f>
        <v/>
      </c>
      <c r="M783" s="23" t="str">
        <f aca="false">IF($C783="","",IFERROR(MATCH($C783,'Программа тренировок'!$C$6:$C$25,0),""))</f>
        <v/>
      </c>
    </row>
    <row r="784" customFormat="false" ht="15" hidden="false" customHeight="true" outlineLevel="0" collapsed="false">
      <c r="A784" s="20"/>
      <c r="B784" s="21"/>
      <c r="C784" s="19"/>
      <c r="D784" s="18"/>
      <c r="E784" s="17"/>
      <c r="F784" s="18"/>
      <c r="G784" s="18"/>
      <c r="H784" s="21"/>
      <c r="I784" s="19"/>
      <c r="J784" s="8" t="str">
        <f aca="false">IF(OR(E784="",F784=""),"",E784*F784)</f>
        <v/>
      </c>
      <c r="K784" s="22" t="str">
        <f aca="false">IF($M784="","",INDEX('Программа тренировок'!$G$6:$G$25,$M784))</f>
        <v/>
      </c>
      <c r="L784" s="23" t="str">
        <f aca="false">IF(OR($M784="",$F784="",$G784=""),"",IF($H784="Разминка","Разминка",IF($F784&lt;INDEX('Программа тренировок'!$E$6:$E$25,$M784),"Ниже диапазона",IF(AND($F784&gt;=INDEX('Программа тренировок'!$F$6:$F$25,$M784),$G784&gt;=INDEX('Программа тренировок'!$L$6:$L$25,$M784)),"Верх диапазона: пора добавлять вес",IF($G784&lt;INDEX('Программа тренировок'!$L$6:$L$25,$M784),"RIR ниже цели","В диапазоне")))))</f>
        <v/>
      </c>
      <c r="M784" s="23" t="str">
        <f aca="false">IF($C784="","",IFERROR(MATCH($C784,'Программа тренировок'!$C$6:$C$25,0),""))</f>
        <v/>
      </c>
    </row>
    <row r="785" customFormat="false" ht="15" hidden="false" customHeight="true" outlineLevel="0" collapsed="false">
      <c r="A785" s="20"/>
      <c r="B785" s="21"/>
      <c r="C785" s="19"/>
      <c r="D785" s="18"/>
      <c r="E785" s="17"/>
      <c r="F785" s="18"/>
      <c r="G785" s="18"/>
      <c r="H785" s="21"/>
      <c r="I785" s="19"/>
      <c r="J785" s="8" t="str">
        <f aca="false">IF(OR(E785="",F785=""),"",E785*F785)</f>
        <v/>
      </c>
      <c r="K785" s="22" t="str">
        <f aca="false">IF($M785="","",INDEX('Программа тренировок'!$G$6:$G$25,$M785))</f>
        <v/>
      </c>
      <c r="L785" s="23" t="str">
        <f aca="false">IF(OR($M785="",$F785="",$G785=""),"",IF($H785="Разминка","Разминка",IF($F785&lt;INDEX('Программа тренировок'!$E$6:$E$25,$M785),"Ниже диапазона",IF(AND($F785&gt;=INDEX('Программа тренировок'!$F$6:$F$25,$M785),$G785&gt;=INDEX('Программа тренировок'!$L$6:$L$25,$M785)),"Верх диапазона: пора добавлять вес",IF($G785&lt;INDEX('Программа тренировок'!$L$6:$L$25,$M785),"RIR ниже цели","В диапазоне")))))</f>
        <v/>
      </c>
      <c r="M785" s="23" t="str">
        <f aca="false">IF($C785="","",IFERROR(MATCH($C785,'Программа тренировок'!$C$6:$C$25,0),""))</f>
        <v/>
      </c>
    </row>
    <row r="786" customFormat="false" ht="15" hidden="false" customHeight="true" outlineLevel="0" collapsed="false">
      <c r="A786" s="20"/>
      <c r="B786" s="21"/>
      <c r="C786" s="19"/>
      <c r="D786" s="18"/>
      <c r="E786" s="17"/>
      <c r="F786" s="18"/>
      <c r="G786" s="18"/>
      <c r="H786" s="21"/>
      <c r="I786" s="19"/>
      <c r="J786" s="8" t="str">
        <f aca="false">IF(OR(E786="",F786=""),"",E786*F786)</f>
        <v/>
      </c>
      <c r="K786" s="22" t="str">
        <f aca="false">IF($M786="","",INDEX('Программа тренировок'!$G$6:$G$25,$M786))</f>
        <v/>
      </c>
      <c r="L786" s="23" t="str">
        <f aca="false">IF(OR($M786="",$F786="",$G786=""),"",IF($H786="Разминка","Разминка",IF($F786&lt;INDEX('Программа тренировок'!$E$6:$E$25,$M786),"Ниже диапазона",IF(AND($F786&gt;=INDEX('Программа тренировок'!$F$6:$F$25,$M786),$G786&gt;=INDEX('Программа тренировок'!$L$6:$L$25,$M786)),"Верх диапазона: пора добавлять вес",IF($G786&lt;INDEX('Программа тренировок'!$L$6:$L$25,$M786),"RIR ниже цели","В диапазоне")))))</f>
        <v/>
      </c>
      <c r="M786" s="23" t="str">
        <f aca="false">IF($C786="","",IFERROR(MATCH($C786,'Программа тренировок'!$C$6:$C$25,0),""))</f>
        <v/>
      </c>
    </row>
    <row r="787" customFormat="false" ht="15" hidden="false" customHeight="true" outlineLevel="0" collapsed="false">
      <c r="A787" s="20"/>
      <c r="B787" s="21"/>
      <c r="C787" s="19"/>
      <c r="D787" s="18"/>
      <c r="E787" s="17"/>
      <c r="F787" s="18"/>
      <c r="G787" s="18"/>
      <c r="H787" s="21"/>
      <c r="I787" s="19"/>
      <c r="J787" s="8" t="str">
        <f aca="false">IF(OR(E787="",F787=""),"",E787*F787)</f>
        <v/>
      </c>
      <c r="K787" s="22" t="str">
        <f aca="false">IF($M787="","",INDEX('Программа тренировок'!$G$6:$G$25,$M787))</f>
        <v/>
      </c>
      <c r="L787" s="23" t="str">
        <f aca="false">IF(OR($M787="",$F787="",$G787=""),"",IF($H787="Разминка","Разминка",IF($F787&lt;INDEX('Программа тренировок'!$E$6:$E$25,$M787),"Ниже диапазона",IF(AND($F787&gt;=INDEX('Программа тренировок'!$F$6:$F$25,$M787),$G787&gt;=INDEX('Программа тренировок'!$L$6:$L$25,$M787)),"Верх диапазона: пора добавлять вес",IF($G787&lt;INDEX('Программа тренировок'!$L$6:$L$25,$M787),"RIR ниже цели","В диапазоне")))))</f>
        <v/>
      </c>
      <c r="M787" s="23" t="str">
        <f aca="false">IF($C787="","",IFERROR(MATCH($C787,'Программа тренировок'!$C$6:$C$25,0),""))</f>
        <v/>
      </c>
    </row>
    <row r="788" customFormat="false" ht="15" hidden="false" customHeight="true" outlineLevel="0" collapsed="false">
      <c r="A788" s="20"/>
      <c r="B788" s="21"/>
      <c r="C788" s="19"/>
      <c r="D788" s="18"/>
      <c r="E788" s="17"/>
      <c r="F788" s="18"/>
      <c r="G788" s="18"/>
      <c r="H788" s="21"/>
      <c r="I788" s="19"/>
      <c r="J788" s="8" t="str">
        <f aca="false">IF(OR(E788="",F788=""),"",E788*F788)</f>
        <v/>
      </c>
      <c r="K788" s="22" t="str">
        <f aca="false">IF($M788="","",INDEX('Программа тренировок'!$G$6:$G$25,$M788))</f>
        <v/>
      </c>
      <c r="L788" s="23" t="str">
        <f aca="false">IF(OR($M788="",$F788="",$G788=""),"",IF($H788="Разминка","Разминка",IF($F788&lt;INDEX('Программа тренировок'!$E$6:$E$25,$M788),"Ниже диапазона",IF(AND($F788&gt;=INDEX('Программа тренировок'!$F$6:$F$25,$M788),$G788&gt;=INDEX('Программа тренировок'!$L$6:$L$25,$M788)),"Верх диапазона: пора добавлять вес",IF($G788&lt;INDEX('Программа тренировок'!$L$6:$L$25,$M788),"RIR ниже цели","В диапазоне")))))</f>
        <v/>
      </c>
      <c r="M788" s="23" t="str">
        <f aca="false">IF($C788="","",IFERROR(MATCH($C788,'Программа тренировок'!$C$6:$C$25,0),""))</f>
        <v/>
      </c>
    </row>
    <row r="789" customFormat="false" ht="15" hidden="false" customHeight="true" outlineLevel="0" collapsed="false">
      <c r="A789" s="20"/>
      <c r="B789" s="21"/>
      <c r="C789" s="19"/>
      <c r="D789" s="18"/>
      <c r="E789" s="17"/>
      <c r="F789" s="18"/>
      <c r="G789" s="18"/>
      <c r="H789" s="21"/>
      <c r="I789" s="19"/>
      <c r="J789" s="8" t="str">
        <f aca="false">IF(OR(E789="",F789=""),"",E789*F789)</f>
        <v/>
      </c>
      <c r="K789" s="22" t="str">
        <f aca="false">IF($M789="","",INDEX('Программа тренировок'!$G$6:$G$25,$M789))</f>
        <v/>
      </c>
      <c r="L789" s="23" t="str">
        <f aca="false">IF(OR($M789="",$F789="",$G789=""),"",IF($H789="Разминка","Разминка",IF($F789&lt;INDEX('Программа тренировок'!$E$6:$E$25,$M789),"Ниже диапазона",IF(AND($F789&gt;=INDEX('Программа тренировок'!$F$6:$F$25,$M789),$G789&gt;=INDEX('Программа тренировок'!$L$6:$L$25,$M789)),"Верх диапазона: пора добавлять вес",IF($G789&lt;INDEX('Программа тренировок'!$L$6:$L$25,$M789),"RIR ниже цели","В диапазоне")))))</f>
        <v/>
      </c>
      <c r="M789" s="23" t="str">
        <f aca="false">IF($C789="","",IFERROR(MATCH($C789,'Программа тренировок'!$C$6:$C$25,0),""))</f>
        <v/>
      </c>
    </row>
    <row r="790" customFormat="false" ht="15" hidden="false" customHeight="true" outlineLevel="0" collapsed="false">
      <c r="A790" s="20"/>
      <c r="B790" s="21"/>
      <c r="C790" s="19"/>
      <c r="D790" s="18"/>
      <c r="E790" s="17"/>
      <c r="F790" s="18"/>
      <c r="G790" s="18"/>
      <c r="H790" s="21"/>
      <c r="I790" s="19"/>
      <c r="J790" s="8" t="str">
        <f aca="false">IF(OR(E790="",F790=""),"",E790*F790)</f>
        <v/>
      </c>
      <c r="K790" s="22" t="str">
        <f aca="false">IF($M790="","",INDEX('Программа тренировок'!$G$6:$G$25,$M790))</f>
        <v/>
      </c>
      <c r="L790" s="23" t="str">
        <f aca="false">IF(OR($M790="",$F790="",$G790=""),"",IF($H790="Разминка","Разминка",IF($F790&lt;INDEX('Программа тренировок'!$E$6:$E$25,$M790),"Ниже диапазона",IF(AND($F790&gt;=INDEX('Программа тренировок'!$F$6:$F$25,$M790),$G790&gt;=INDEX('Программа тренировок'!$L$6:$L$25,$M790)),"Верх диапазона: пора добавлять вес",IF($G790&lt;INDEX('Программа тренировок'!$L$6:$L$25,$M790),"RIR ниже цели","В диапазоне")))))</f>
        <v/>
      </c>
      <c r="M790" s="23" t="str">
        <f aca="false">IF($C790="","",IFERROR(MATCH($C790,'Программа тренировок'!$C$6:$C$25,0),""))</f>
        <v/>
      </c>
    </row>
    <row r="791" customFormat="false" ht="15" hidden="false" customHeight="true" outlineLevel="0" collapsed="false">
      <c r="A791" s="20"/>
      <c r="B791" s="21"/>
      <c r="C791" s="19"/>
      <c r="D791" s="18"/>
      <c r="E791" s="17"/>
      <c r="F791" s="18"/>
      <c r="G791" s="18"/>
      <c r="H791" s="21"/>
      <c r="I791" s="19"/>
      <c r="J791" s="8" t="str">
        <f aca="false">IF(OR(E791="",F791=""),"",E791*F791)</f>
        <v/>
      </c>
      <c r="K791" s="22" t="str">
        <f aca="false">IF($M791="","",INDEX('Программа тренировок'!$G$6:$G$25,$M791))</f>
        <v/>
      </c>
      <c r="L791" s="23" t="str">
        <f aca="false">IF(OR($M791="",$F791="",$G791=""),"",IF($H791="Разминка","Разминка",IF($F791&lt;INDEX('Программа тренировок'!$E$6:$E$25,$M791),"Ниже диапазона",IF(AND($F791&gt;=INDEX('Программа тренировок'!$F$6:$F$25,$M791),$G791&gt;=INDEX('Программа тренировок'!$L$6:$L$25,$M791)),"Верх диапазона: пора добавлять вес",IF($G791&lt;INDEX('Программа тренировок'!$L$6:$L$25,$M791),"RIR ниже цели","В диапазоне")))))</f>
        <v/>
      </c>
      <c r="M791" s="23" t="str">
        <f aca="false">IF($C791="","",IFERROR(MATCH($C791,'Программа тренировок'!$C$6:$C$25,0),""))</f>
        <v/>
      </c>
    </row>
    <row r="792" customFormat="false" ht="15" hidden="false" customHeight="true" outlineLevel="0" collapsed="false">
      <c r="A792" s="20"/>
      <c r="B792" s="21"/>
      <c r="C792" s="19"/>
      <c r="D792" s="18"/>
      <c r="E792" s="17"/>
      <c r="F792" s="18"/>
      <c r="G792" s="18"/>
      <c r="H792" s="21"/>
      <c r="I792" s="19"/>
      <c r="J792" s="8" t="str">
        <f aca="false">IF(OR(E792="",F792=""),"",E792*F792)</f>
        <v/>
      </c>
      <c r="K792" s="22" t="str">
        <f aca="false">IF($M792="","",INDEX('Программа тренировок'!$G$6:$G$25,$M792))</f>
        <v/>
      </c>
      <c r="L792" s="23" t="str">
        <f aca="false">IF(OR($M792="",$F792="",$G792=""),"",IF($H792="Разминка","Разминка",IF($F792&lt;INDEX('Программа тренировок'!$E$6:$E$25,$M792),"Ниже диапазона",IF(AND($F792&gt;=INDEX('Программа тренировок'!$F$6:$F$25,$M792),$G792&gt;=INDEX('Программа тренировок'!$L$6:$L$25,$M792)),"Верх диапазона: пора добавлять вес",IF($G792&lt;INDEX('Программа тренировок'!$L$6:$L$25,$M792),"RIR ниже цели","В диапазоне")))))</f>
        <v/>
      </c>
      <c r="M792" s="23" t="str">
        <f aca="false">IF($C792="","",IFERROR(MATCH($C792,'Программа тренировок'!$C$6:$C$25,0),""))</f>
        <v/>
      </c>
    </row>
    <row r="793" customFormat="false" ht="15" hidden="false" customHeight="true" outlineLevel="0" collapsed="false">
      <c r="A793" s="20"/>
      <c r="B793" s="21"/>
      <c r="C793" s="19"/>
      <c r="D793" s="18"/>
      <c r="E793" s="17"/>
      <c r="F793" s="18"/>
      <c r="G793" s="18"/>
      <c r="H793" s="21"/>
      <c r="I793" s="19"/>
      <c r="J793" s="8" t="str">
        <f aca="false">IF(OR(E793="",F793=""),"",E793*F793)</f>
        <v/>
      </c>
      <c r="K793" s="22" t="str">
        <f aca="false">IF($M793="","",INDEX('Программа тренировок'!$G$6:$G$25,$M793))</f>
        <v/>
      </c>
      <c r="L793" s="23" t="str">
        <f aca="false">IF(OR($M793="",$F793="",$G793=""),"",IF($H793="Разминка","Разминка",IF($F793&lt;INDEX('Программа тренировок'!$E$6:$E$25,$M793),"Ниже диапазона",IF(AND($F793&gt;=INDEX('Программа тренировок'!$F$6:$F$25,$M793),$G793&gt;=INDEX('Программа тренировок'!$L$6:$L$25,$M793)),"Верх диапазона: пора добавлять вес",IF($G793&lt;INDEX('Программа тренировок'!$L$6:$L$25,$M793),"RIR ниже цели","В диапазоне")))))</f>
        <v/>
      </c>
      <c r="M793" s="23" t="str">
        <f aca="false">IF($C793="","",IFERROR(MATCH($C793,'Программа тренировок'!$C$6:$C$25,0),""))</f>
        <v/>
      </c>
    </row>
    <row r="794" customFormat="false" ht="15" hidden="false" customHeight="true" outlineLevel="0" collapsed="false">
      <c r="A794" s="20"/>
      <c r="B794" s="21"/>
      <c r="C794" s="19"/>
      <c r="D794" s="18"/>
      <c r="E794" s="17"/>
      <c r="F794" s="18"/>
      <c r="G794" s="18"/>
      <c r="H794" s="21"/>
      <c r="I794" s="19"/>
      <c r="J794" s="8" t="str">
        <f aca="false">IF(OR(E794="",F794=""),"",E794*F794)</f>
        <v/>
      </c>
      <c r="K794" s="22" t="str">
        <f aca="false">IF($M794="","",INDEX('Программа тренировок'!$G$6:$G$25,$M794))</f>
        <v/>
      </c>
      <c r="L794" s="23" t="str">
        <f aca="false">IF(OR($M794="",$F794="",$G794=""),"",IF($H794="Разминка","Разминка",IF($F794&lt;INDEX('Программа тренировок'!$E$6:$E$25,$M794),"Ниже диапазона",IF(AND($F794&gt;=INDEX('Программа тренировок'!$F$6:$F$25,$M794),$G794&gt;=INDEX('Программа тренировок'!$L$6:$L$25,$M794)),"Верх диапазона: пора добавлять вес",IF($G794&lt;INDEX('Программа тренировок'!$L$6:$L$25,$M794),"RIR ниже цели","В диапазоне")))))</f>
        <v/>
      </c>
      <c r="M794" s="23" t="str">
        <f aca="false">IF($C794="","",IFERROR(MATCH($C794,'Программа тренировок'!$C$6:$C$25,0),""))</f>
        <v/>
      </c>
    </row>
    <row r="795" customFormat="false" ht="15" hidden="false" customHeight="true" outlineLevel="0" collapsed="false">
      <c r="A795" s="20"/>
      <c r="B795" s="21"/>
      <c r="C795" s="19"/>
      <c r="D795" s="18"/>
      <c r="E795" s="17"/>
      <c r="F795" s="18"/>
      <c r="G795" s="18"/>
      <c r="H795" s="21"/>
      <c r="I795" s="19"/>
      <c r="J795" s="8" t="str">
        <f aca="false">IF(OR(E795="",F795=""),"",E795*F795)</f>
        <v/>
      </c>
      <c r="K795" s="22" t="str">
        <f aca="false">IF($M795="","",INDEX('Программа тренировок'!$G$6:$G$25,$M795))</f>
        <v/>
      </c>
      <c r="L795" s="23" t="str">
        <f aca="false">IF(OR($M795="",$F795="",$G795=""),"",IF($H795="Разминка","Разминка",IF($F795&lt;INDEX('Программа тренировок'!$E$6:$E$25,$M795),"Ниже диапазона",IF(AND($F795&gt;=INDEX('Программа тренировок'!$F$6:$F$25,$M795),$G795&gt;=INDEX('Программа тренировок'!$L$6:$L$25,$M795)),"Верх диапазона: пора добавлять вес",IF($G795&lt;INDEX('Программа тренировок'!$L$6:$L$25,$M795),"RIR ниже цели","В диапазоне")))))</f>
        <v/>
      </c>
      <c r="M795" s="23" t="str">
        <f aca="false">IF($C795="","",IFERROR(MATCH($C795,'Программа тренировок'!$C$6:$C$25,0),""))</f>
        <v/>
      </c>
    </row>
    <row r="796" customFormat="false" ht="15" hidden="false" customHeight="true" outlineLevel="0" collapsed="false">
      <c r="A796" s="20"/>
      <c r="B796" s="21"/>
      <c r="C796" s="19"/>
      <c r="D796" s="18"/>
      <c r="E796" s="17"/>
      <c r="F796" s="18"/>
      <c r="G796" s="18"/>
      <c r="H796" s="21"/>
      <c r="I796" s="19"/>
      <c r="J796" s="8" t="str">
        <f aca="false">IF(OR(E796="",F796=""),"",E796*F796)</f>
        <v/>
      </c>
      <c r="K796" s="22" t="str">
        <f aca="false">IF($M796="","",INDEX('Программа тренировок'!$G$6:$G$25,$M796))</f>
        <v/>
      </c>
      <c r="L796" s="23" t="str">
        <f aca="false">IF(OR($M796="",$F796="",$G796=""),"",IF($H796="Разминка","Разминка",IF($F796&lt;INDEX('Программа тренировок'!$E$6:$E$25,$M796),"Ниже диапазона",IF(AND($F796&gt;=INDEX('Программа тренировок'!$F$6:$F$25,$M796),$G796&gt;=INDEX('Программа тренировок'!$L$6:$L$25,$M796)),"Верх диапазона: пора добавлять вес",IF($G796&lt;INDEX('Программа тренировок'!$L$6:$L$25,$M796),"RIR ниже цели","В диапазоне")))))</f>
        <v/>
      </c>
      <c r="M796" s="23" t="str">
        <f aca="false">IF($C796="","",IFERROR(MATCH($C796,'Программа тренировок'!$C$6:$C$25,0),""))</f>
        <v/>
      </c>
    </row>
    <row r="797" customFormat="false" ht="15" hidden="false" customHeight="true" outlineLevel="0" collapsed="false">
      <c r="A797" s="20"/>
      <c r="B797" s="21"/>
      <c r="C797" s="19"/>
      <c r="D797" s="18"/>
      <c r="E797" s="17"/>
      <c r="F797" s="18"/>
      <c r="G797" s="18"/>
      <c r="H797" s="21"/>
      <c r="I797" s="19"/>
      <c r="J797" s="8" t="str">
        <f aca="false">IF(OR(E797="",F797=""),"",E797*F797)</f>
        <v/>
      </c>
      <c r="K797" s="22" t="str">
        <f aca="false">IF($M797="","",INDEX('Программа тренировок'!$G$6:$G$25,$M797))</f>
        <v/>
      </c>
      <c r="L797" s="23" t="str">
        <f aca="false">IF(OR($M797="",$F797="",$G797=""),"",IF($H797="Разминка","Разминка",IF($F797&lt;INDEX('Программа тренировок'!$E$6:$E$25,$M797),"Ниже диапазона",IF(AND($F797&gt;=INDEX('Программа тренировок'!$F$6:$F$25,$M797),$G797&gt;=INDEX('Программа тренировок'!$L$6:$L$25,$M797)),"Верх диапазона: пора добавлять вес",IF($G797&lt;INDEX('Программа тренировок'!$L$6:$L$25,$M797),"RIR ниже цели","В диапазоне")))))</f>
        <v/>
      </c>
      <c r="M797" s="23" t="str">
        <f aca="false">IF($C797="","",IFERROR(MATCH($C797,'Программа тренировок'!$C$6:$C$25,0),""))</f>
        <v/>
      </c>
    </row>
    <row r="798" customFormat="false" ht="15" hidden="false" customHeight="true" outlineLevel="0" collapsed="false">
      <c r="A798" s="20"/>
      <c r="B798" s="21"/>
      <c r="C798" s="19"/>
      <c r="D798" s="18"/>
      <c r="E798" s="17"/>
      <c r="F798" s="18"/>
      <c r="G798" s="18"/>
      <c r="H798" s="21"/>
      <c r="I798" s="19"/>
      <c r="J798" s="8" t="str">
        <f aca="false">IF(OR(E798="",F798=""),"",E798*F798)</f>
        <v/>
      </c>
      <c r="K798" s="22" t="str">
        <f aca="false">IF($M798="","",INDEX('Программа тренировок'!$G$6:$G$25,$M798))</f>
        <v/>
      </c>
      <c r="L798" s="23" t="str">
        <f aca="false">IF(OR($M798="",$F798="",$G798=""),"",IF($H798="Разминка","Разминка",IF($F798&lt;INDEX('Программа тренировок'!$E$6:$E$25,$M798),"Ниже диапазона",IF(AND($F798&gt;=INDEX('Программа тренировок'!$F$6:$F$25,$M798),$G798&gt;=INDEX('Программа тренировок'!$L$6:$L$25,$M798)),"Верх диапазона: пора добавлять вес",IF($G798&lt;INDEX('Программа тренировок'!$L$6:$L$25,$M798),"RIR ниже цели","В диапазоне")))))</f>
        <v/>
      </c>
      <c r="M798" s="23" t="str">
        <f aca="false">IF($C798="","",IFERROR(MATCH($C798,'Программа тренировок'!$C$6:$C$25,0),""))</f>
        <v/>
      </c>
    </row>
    <row r="799" customFormat="false" ht="15" hidden="false" customHeight="true" outlineLevel="0" collapsed="false">
      <c r="A799" s="20"/>
      <c r="B799" s="21"/>
      <c r="C799" s="19"/>
      <c r="D799" s="18"/>
      <c r="E799" s="17"/>
      <c r="F799" s="18"/>
      <c r="G799" s="18"/>
      <c r="H799" s="21"/>
      <c r="I799" s="19"/>
      <c r="J799" s="8" t="str">
        <f aca="false">IF(OR(E799="",F799=""),"",E799*F799)</f>
        <v/>
      </c>
      <c r="K799" s="22" t="str">
        <f aca="false">IF($M799="","",INDEX('Программа тренировок'!$G$6:$G$25,$M799))</f>
        <v/>
      </c>
      <c r="L799" s="23" t="str">
        <f aca="false">IF(OR($M799="",$F799="",$G799=""),"",IF($H799="Разминка","Разминка",IF($F799&lt;INDEX('Программа тренировок'!$E$6:$E$25,$M799),"Ниже диапазона",IF(AND($F799&gt;=INDEX('Программа тренировок'!$F$6:$F$25,$M799),$G799&gt;=INDEX('Программа тренировок'!$L$6:$L$25,$M799)),"Верх диапазона: пора добавлять вес",IF($G799&lt;INDEX('Программа тренировок'!$L$6:$L$25,$M799),"RIR ниже цели","В диапазоне")))))</f>
        <v/>
      </c>
      <c r="M799" s="23" t="str">
        <f aca="false">IF($C799="","",IFERROR(MATCH($C799,'Программа тренировок'!$C$6:$C$25,0),""))</f>
        <v/>
      </c>
    </row>
    <row r="800" customFormat="false" ht="15" hidden="false" customHeight="true" outlineLevel="0" collapsed="false">
      <c r="A800" s="20"/>
      <c r="B800" s="21"/>
      <c r="C800" s="19"/>
      <c r="D800" s="18"/>
      <c r="E800" s="17"/>
      <c r="F800" s="18"/>
      <c r="G800" s="18"/>
      <c r="H800" s="21"/>
      <c r="I800" s="19"/>
      <c r="J800" s="8" t="str">
        <f aca="false">IF(OR(E800="",F800=""),"",E800*F800)</f>
        <v/>
      </c>
      <c r="K800" s="22" t="str">
        <f aca="false">IF($M800="","",INDEX('Программа тренировок'!$G$6:$G$25,$M800))</f>
        <v/>
      </c>
      <c r="L800" s="23" t="str">
        <f aca="false">IF(OR($M800="",$F800="",$G800=""),"",IF($H800="Разминка","Разминка",IF($F800&lt;INDEX('Программа тренировок'!$E$6:$E$25,$M800),"Ниже диапазона",IF(AND($F800&gt;=INDEX('Программа тренировок'!$F$6:$F$25,$M800),$G800&gt;=INDEX('Программа тренировок'!$L$6:$L$25,$M800)),"Верх диапазона: пора добавлять вес",IF($G800&lt;INDEX('Программа тренировок'!$L$6:$L$25,$M800),"RIR ниже цели","В диапазоне")))))</f>
        <v/>
      </c>
      <c r="M800" s="23" t="str">
        <f aca="false">IF($C800="","",IFERROR(MATCH($C800,'Программа тренировок'!$C$6:$C$25,0),""))</f>
        <v/>
      </c>
    </row>
    <row r="801" customFormat="false" ht="15" hidden="false" customHeight="true" outlineLevel="0" collapsed="false">
      <c r="A801" s="20"/>
      <c r="B801" s="21"/>
      <c r="C801" s="19"/>
      <c r="D801" s="18"/>
      <c r="E801" s="17"/>
      <c r="F801" s="18"/>
      <c r="G801" s="18"/>
      <c r="H801" s="21"/>
      <c r="I801" s="19"/>
      <c r="J801" s="8" t="str">
        <f aca="false">IF(OR(E801="",F801=""),"",E801*F801)</f>
        <v/>
      </c>
      <c r="K801" s="22" t="str">
        <f aca="false">IF($M801="","",INDEX('Программа тренировок'!$G$6:$G$25,$M801))</f>
        <v/>
      </c>
      <c r="L801" s="23" t="str">
        <f aca="false">IF(OR($M801="",$F801="",$G801=""),"",IF($H801="Разминка","Разминка",IF($F801&lt;INDEX('Программа тренировок'!$E$6:$E$25,$M801),"Ниже диапазона",IF(AND($F801&gt;=INDEX('Программа тренировок'!$F$6:$F$25,$M801),$G801&gt;=INDEX('Программа тренировок'!$L$6:$L$25,$M801)),"Верх диапазона: пора добавлять вес",IF($G801&lt;INDEX('Программа тренировок'!$L$6:$L$25,$M801),"RIR ниже цели","В диапазоне")))))</f>
        <v/>
      </c>
      <c r="M801" s="23" t="str">
        <f aca="false">IF($C801="","",IFERROR(MATCH($C801,'Программа тренировок'!$C$6:$C$25,0),""))</f>
        <v/>
      </c>
    </row>
    <row r="802" customFormat="false" ht="15" hidden="false" customHeight="true" outlineLevel="0" collapsed="false">
      <c r="A802" s="20"/>
      <c r="B802" s="21"/>
      <c r="C802" s="19"/>
      <c r="D802" s="18"/>
      <c r="E802" s="17"/>
      <c r="F802" s="18"/>
      <c r="G802" s="18"/>
      <c r="H802" s="21"/>
      <c r="I802" s="19"/>
      <c r="J802" s="8" t="str">
        <f aca="false">IF(OR(E802="",F802=""),"",E802*F802)</f>
        <v/>
      </c>
      <c r="K802" s="22" t="str">
        <f aca="false">IF($M802="","",INDEX('Программа тренировок'!$G$6:$G$25,$M802))</f>
        <v/>
      </c>
      <c r="L802" s="23" t="str">
        <f aca="false">IF(OR($M802="",$F802="",$G802=""),"",IF($H802="Разминка","Разминка",IF($F802&lt;INDEX('Программа тренировок'!$E$6:$E$25,$M802),"Ниже диапазона",IF(AND($F802&gt;=INDEX('Программа тренировок'!$F$6:$F$25,$M802),$G802&gt;=INDEX('Программа тренировок'!$L$6:$L$25,$M802)),"Верх диапазона: пора добавлять вес",IF($G802&lt;INDEX('Программа тренировок'!$L$6:$L$25,$M802),"RIR ниже цели","В диапазоне")))))</f>
        <v/>
      </c>
      <c r="M802" s="23" t="str">
        <f aca="false">IF($C802="","",IFERROR(MATCH($C802,'Программа тренировок'!$C$6:$C$25,0),""))</f>
        <v/>
      </c>
    </row>
    <row r="803" customFormat="false" ht="15" hidden="false" customHeight="true" outlineLevel="0" collapsed="false">
      <c r="A803" s="20"/>
      <c r="B803" s="21"/>
      <c r="C803" s="19"/>
      <c r="D803" s="18"/>
      <c r="E803" s="17"/>
      <c r="F803" s="18"/>
      <c r="G803" s="18"/>
      <c r="H803" s="21"/>
      <c r="I803" s="19"/>
      <c r="J803" s="8" t="str">
        <f aca="false">IF(OR(E803="",F803=""),"",E803*F803)</f>
        <v/>
      </c>
      <c r="K803" s="22" t="str">
        <f aca="false">IF($M803="","",INDEX('Программа тренировок'!$G$6:$G$25,$M803))</f>
        <v/>
      </c>
      <c r="L803" s="23" t="str">
        <f aca="false">IF(OR($M803="",$F803="",$G803=""),"",IF($H803="Разминка","Разминка",IF($F803&lt;INDEX('Программа тренировок'!$E$6:$E$25,$M803),"Ниже диапазона",IF(AND($F803&gt;=INDEX('Программа тренировок'!$F$6:$F$25,$M803),$G803&gt;=INDEX('Программа тренировок'!$L$6:$L$25,$M803)),"Верх диапазона: пора добавлять вес",IF($G803&lt;INDEX('Программа тренировок'!$L$6:$L$25,$M803),"RIR ниже цели","В диапазоне")))))</f>
        <v/>
      </c>
      <c r="M803" s="23" t="str">
        <f aca="false">IF($C803="","",IFERROR(MATCH($C803,'Программа тренировок'!$C$6:$C$25,0),""))</f>
        <v/>
      </c>
    </row>
    <row r="804" customFormat="false" ht="15" hidden="false" customHeight="true" outlineLevel="0" collapsed="false">
      <c r="A804" s="20"/>
      <c r="B804" s="21"/>
      <c r="C804" s="19"/>
      <c r="D804" s="18"/>
      <c r="E804" s="17"/>
      <c r="F804" s="18"/>
      <c r="G804" s="18"/>
      <c r="H804" s="21"/>
      <c r="I804" s="19"/>
      <c r="J804" s="8" t="str">
        <f aca="false">IF(OR(E804="",F804=""),"",E804*F804)</f>
        <v/>
      </c>
      <c r="K804" s="22" t="str">
        <f aca="false">IF($M804="","",INDEX('Программа тренировок'!$G$6:$G$25,$M804))</f>
        <v/>
      </c>
      <c r="L804" s="23" t="str">
        <f aca="false">IF(OR($M804="",$F804="",$G804=""),"",IF($H804="Разминка","Разминка",IF($F804&lt;INDEX('Программа тренировок'!$E$6:$E$25,$M804),"Ниже диапазона",IF(AND($F804&gt;=INDEX('Программа тренировок'!$F$6:$F$25,$M804),$G804&gt;=INDEX('Программа тренировок'!$L$6:$L$25,$M804)),"Верх диапазона: пора добавлять вес",IF($G804&lt;INDEX('Программа тренировок'!$L$6:$L$25,$M804),"RIR ниже цели","В диапазоне")))))</f>
        <v/>
      </c>
      <c r="M804" s="23" t="str">
        <f aca="false">IF($C804="","",IFERROR(MATCH($C804,'Программа тренировок'!$C$6:$C$25,0),""))</f>
        <v/>
      </c>
    </row>
    <row r="805" customFormat="false" ht="15" hidden="false" customHeight="true" outlineLevel="0" collapsed="false">
      <c r="A805" s="20"/>
      <c r="B805" s="21"/>
      <c r="C805" s="19"/>
      <c r="D805" s="18"/>
      <c r="E805" s="17"/>
      <c r="F805" s="18"/>
      <c r="G805" s="18"/>
      <c r="H805" s="21"/>
      <c r="I805" s="19"/>
      <c r="J805" s="8" t="str">
        <f aca="false">IF(OR(E805="",F805=""),"",E805*F805)</f>
        <v/>
      </c>
      <c r="K805" s="22" t="str">
        <f aca="false">IF($M805="","",INDEX('Программа тренировок'!$G$6:$G$25,$M805))</f>
        <v/>
      </c>
      <c r="L805" s="23" t="str">
        <f aca="false">IF(OR($M805="",$F805="",$G805=""),"",IF($H805="Разминка","Разминка",IF($F805&lt;INDEX('Программа тренировок'!$E$6:$E$25,$M805),"Ниже диапазона",IF(AND($F805&gt;=INDEX('Программа тренировок'!$F$6:$F$25,$M805),$G805&gt;=INDEX('Программа тренировок'!$L$6:$L$25,$M805)),"Верх диапазона: пора добавлять вес",IF($G805&lt;INDEX('Программа тренировок'!$L$6:$L$25,$M805),"RIR ниже цели","В диапазоне")))))</f>
        <v/>
      </c>
      <c r="M805" s="23" t="str">
        <f aca="false">IF($C805="","",IFERROR(MATCH($C805,'Программа тренировок'!$C$6:$C$25,0),""))</f>
        <v/>
      </c>
    </row>
    <row r="806" customFormat="false" ht="15" hidden="false" customHeight="true" outlineLevel="0" collapsed="false">
      <c r="A806" s="20"/>
      <c r="B806" s="21"/>
      <c r="C806" s="19"/>
      <c r="D806" s="18"/>
      <c r="E806" s="17"/>
      <c r="F806" s="18"/>
      <c r="G806" s="18"/>
      <c r="H806" s="21"/>
      <c r="I806" s="19"/>
      <c r="J806" s="8" t="str">
        <f aca="false">IF(OR(E806="",F806=""),"",E806*F806)</f>
        <v/>
      </c>
      <c r="K806" s="22" t="str">
        <f aca="false">IF($M806="","",INDEX('Программа тренировок'!$G$6:$G$25,$M806))</f>
        <v/>
      </c>
      <c r="L806" s="23" t="str">
        <f aca="false">IF(OR($M806="",$F806="",$G806=""),"",IF($H806="Разминка","Разминка",IF($F806&lt;INDEX('Программа тренировок'!$E$6:$E$25,$M806),"Ниже диапазона",IF(AND($F806&gt;=INDEX('Программа тренировок'!$F$6:$F$25,$M806),$G806&gt;=INDEX('Программа тренировок'!$L$6:$L$25,$M806)),"Верх диапазона: пора добавлять вес",IF($G806&lt;INDEX('Программа тренировок'!$L$6:$L$25,$M806),"RIR ниже цели","В диапазоне")))))</f>
        <v/>
      </c>
      <c r="M806" s="23" t="str">
        <f aca="false">IF($C806="","",IFERROR(MATCH($C806,'Программа тренировок'!$C$6:$C$25,0),""))</f>
        <v/>
      </c>
    </row>
    <row r="807" customFormat="false" ht="15" hidden="false" customHeight="true" outlineLevel="0" collapsed="false">
      <c r="A807" s="20"/>
      <c r="B807" s="21"/>
      <c r="C807" s="19"/>
      <c r="D807" s="18"/>
      <c r="E807" s="17"/>
      <c r="F807" s="18"/>
      <c r="G807" s="18"/>
      <c r="H807" s="21"/>
      <c r="I807" s="19"/>
      <c r="J807" s="8" t="str">
        <f aca="false">IF(OR(E807="",F807=""),"",E807*F807)</f>
        <v/>
      </c>
      <c r="K807" s="22" t="str">
        <f aca="false">IF($M807="","",INDEX('Программа тренировок'!$G$6:$G$25,$M807))</f>
        <v/>
      </c>
      <c r="L807" s="23" t="str">
        <f aca="false">IF(OR($M807="",$F807="",$G807=""),"",IF($H807="Разминка","Разминка",IF($F807&lt;INDEX('Программа тренировок'!$E$6:$E$25,$M807),"Ниже диапазона",IF(AND($F807&gt;=INDEX('Программа тренировок'!$F$6:$F$25,$M807),$G807&gt;=INDEX('Программа тренировок'!$L$6:$L$25,$M807)),"Верх диапазона: пора добавлять вес",IF($G807&lt;INDEX('Программа тренировок'!$L$6:$L$25,$M807),"RIR ниже цели","В диапазоне")))))</f>
        <v/>
      </c>
      <c r="M807" s="23" t="str">
        <f aca="false">IF($C807="","",IFERROR(MATCH($C807,'Программа тренировок'!$C$6:$C$25,0),""))</f>
        <v/>
      </c>
    </row>
    <row r="808" customFormat="false" ht="15" hidden="false" customHeight="true" outlineLevel="0" collapsed="false">
      <c r="A808" s="20"/>
      <c r="B808" s="21"/>
      <c r="C808" s="19"/>
      <c r="D808" s="18"/>
      <c r="E808" s="17"/>
      <c r="F808" s="18"/>
      <c r="G808" s="18"/>
      <c r="H808" s="21"/>
      <c r="I808" s="19"/>
      <c r="J808" s="8" t="str">
        <f aca="false">IF(OR(E808="",F808=""),"",E808*F808)</f>
        <v/>
      </c>
      <c r="K808" s="22" t="str">
        <f aca="false">IF($M808="","",INDEX('Программа тренировок'!$G$6:$G$25,$M808))</f>
        <v/>
      </c>
      <c r="L808" s="23" t="str">
        <f aca="false">IF(OR($M808="",$F808="",$G808=""),"",IF($H808="Разминка","Разминка",IF($F808&lt;INDEX('Программа тренировок'!$E$6:$E$25,$M808),"Ниже диапазона",IF(AND($F808&gt;=INDEX('Программа тренировок'!$F$6:$F$25,$M808),$G808&gt;=INDEX('Программа тренировок'!$L$6:$L$25,$M808)),"Верх диапазона: пора добавлять вес",IF($G808&lt;INDEX('Программа тренировок'!$L$6:$L$25,$M808),"RIR ниже цели","В диапазоне")))))</f>
        <v/>
      </c>
      <c r="M808" s="23" t="str">
        <f aca="false">IF($C808="","",IFERROR(MATCH($C808,'Программа тренировок'!$C$6:$C$25,0),""))</f>
        <v/>
      </c>
    </row>
    <row r="809" customFormat="false" ht="15" hidden="false" customHeight="true" outlineLevel="0" collapsed="false">
      <c r="A809" s="20"/>
      <c r="B809" s="21"/>
      <c r="C809" s="19"/>
      <c r="D809" s="18"/>
      <c r="E809" s="17"/>
      <c r="F809" s="18"/>
      <c r="G809" s="18"/>
      <c r="H809" s="21"/>
      <c r="I809" s="19"/>
      <c r="J809" s="8" t="str">
        <f aca="false">IF(OR(E809="",F809=""),"",E809*F809)</f>
        <v/>
      </c>
      <c r="K809" s="22" t="str">
        <f aca="false">IF($M809="","",INDEX('Программа тренировок'!$G$6:$G$25,$M809))</f>
        <v/>
      </c>
      <c r="L809" s="23" t="str">
        <f aca="false">IF(OR($M809="",$F809="",$G809=""),"",IF($H809="Разминка","Разминка",IF($F809&lt;INDEX('Программа тренировок'!$E$6:$E$25,$M809),"Ниже диапазона",IF(AND($F809&gt;=INDEX('Программа тренировок'!$F$6:$F$25,$M809),$G809&gt;=INDEX('Программа тренировок'!$L$6:$L$25,$M809)),"Верх диапазона: пора добавлять вес",IF($G809&lt;INDEX('Программа тренировок'!$L$6:$L$25,$M809),"RIR ниже цели","В диапазоне")))))</f>
        <v/>
      </c>
      <c r="M809" s="23" t="str">
        <f aca="false">IF($C809="","",IFERROR(MATCH($C809,'Программа тренировок'!$C$6:$C$25,0),""))</f>
        <v/>
      </c>
    </row>
    <row r="810" customFormat="false" ht="15" hidden="false" customHeight="true" outlineLevel="0" collapsed="false">
      <c r="A810" s="20"/>
      <c r="B810" s="21"/>
      <c r="C810" s="19"/>
      <c r="D810" s="18"/>
      <c r="E810" s="17"/>
      <c r="F810" s="18"/>
      <c r="G810" s="18"/>
      <c r="H810" s="21"/>
      <c r="I810" s="19"/>
      <c r="J810" s="8" t="str">
        <f aca="false">IF(OR(E810="",F810=""),"",E810*F810)</f>
        <v/>
      </c>
      <c r="K810" s="22" t="str">
        <f aca="false">IF($M810="","",INDEX('Программа тренировок'!$G$6:$G$25,$M810))</f>
        <v/>
      </c>
      <c r="L810" s="23" t="str">
        <f aca="false">IF(OR($M810="",$F810="",$G810=""),"",IF($H810="Разминка","Разминка",IF($F810&lt;INDEX('Программа тренировок'!$E$6:$E$25,$M810),"Ниже диапазона",IF(AND($F810&gt;=INDEX('Программа тренировок'!$F$6:$F$25,$M810),$G810&gt;=INDEX('Программа тренировок'!$L$6:$L$25,$M810)),"Верх диапазона: пора добавлять вес",IF($G810&lt;INDEX('Программа тренировок'!$L$6:$L$25,$M810),"RIR ниже цели","В диапазоне")))))</f>
        <v/>
      </c>
      <c r="M810" s="23" t="str">
        <f aca="false">IF($C810="","",IFERROR(MATCH($C810,'Программа тренировок'!$C$6:$C$25,0),""))</f>
        <v/>
      </c>
    </row>
    <row r="811" customFormat="false" ht="15" hidden="false" customHeight="true" outlineLevel="0" collapsed="false">
      <c r="A811" s="20"/>
      <c r="B811" s="21"/>
      <c r="C811" s="19"/>
      <c r="D811" s="18"/>
      <c r="E811" s="17"/>
      <c r="F811" s="18"/>
      <c r="G811" s="18"/>
      <c r="H811" s="21"/>
      <c r="I811" s="19"/>
      <c r="J811" s="8" t="str">
        <f aca="false">IF(OR(E811="",F811=""),"",E811*F811)</f>
        <v/>
      </c>
      <c r="K811" s="22" t="str">
        <f aca="false">IF($M811="","",INDEX('Программа тренировок'!$G$6:$G$25,$M811))</f>
        <v/>
      </c>
      <c r="L811" s="23" t="str">
        <f aca="false">IF(OR($M811="",$F811="",$G811=""),"",IF($H811="Разминка","Разминка",IF($F811&lt;INDEX('Программа тренировок'!$E$6:$E$25,$M811),"Ниже диапазона",IF(AND($F811&gt;=INDEX('Программа тренировок'!$F$6:$F$25,$M811),$G811&gt;=INDEX('Программа тренировок'!$L$6:$L$25,$M811)),"Верх диапазона: пора добавлять вес",IF($G811&lt;INDEX('Программа тренировок'!$L$6:$L$25,$M811),"RIR ниже цели","В диапазоне")))))</f>
        <v/>
      </c>
      <c r="M811" s="23" t="str">
        <f aca="false">IF($C811="","",IFERROR(MATCH($C811,'Программа тренировок'!$C$6:$C$25,0),""))</f>
        <v/>
      </c>
    </row>
    <row r="812" customFormat="false" ht="15" hidden="false" customHeight="true" outlineLevel="0" collapsed="false">
      <c r="A812" s="20"/>
      <c r="B812" s="21"/>
      <c r="C812" s="19"/>
      <c r="D812" s="18"/>
      <c r="E812" s="17"/>
      <c r="F812" s="18"/>
      <c r="G812" s="18"/>
      <c r="H812" s="21"/>
      <c r="I812" s="19"/>
      <c r="J812" s="8" t="str">
        <f aca="false">IF(OR(E812="",F812=""),"",E812*F812)</f>
        <v/>
      </c>
      <c r="K812" s="22" t="str">
        <f aca="false">IF($M812="","",INDEX('Программа тренировок'!$G$6:$G$25,$M812))</f>
        <v/>
      </c>
      <c r="L812" s="23" t="str">
        <f aca="false">IF(OR($M812="",$F812="",$G812=""),"",IF($H812="Разминка","Разминка",IF($F812&lt;INDEX('Программа тренировок'!$E$6:$E$25,$M812),"Ниже диапазона",IF(AND($F812&gt;=INDEX('Программа тренировок'!$F$6:$F$25,$M812),$G812&gt;=INDEX('Программа тренировок'!$L$6:$L$25,$M812)),"Верх диапазона: пора добавлять вес",IF($G812&lt;INDEX('Программа тренировок'!$L$6:$L$25,$M812),"RIR ниже цели","В диапазоне")))))</f>
        <v/>
      </c>
      <c r="M812" s="23" t="str">
        <f aca="false">IF($C812="","",IFERROR(MATCH($C812,'Программа тренировок'!$C$6:$C$25,0),""))</f>
        <v/>
      </c>
    </row>
    <row r="813" customFormat="false" ht="15" hidden="false" customHeight="true" outlineLevel="0" collapsed="false">
      <c r="A813" s="20"/>
      <c r="B813" s="21"/>
      <c r="C813" s="19"/>
      <c r="D813" s="18"/>
      <c r="E813" s="17"/>
      <c r="F813" s="18"/>
      <c r="G813" s="18"/>
      <c r="H813" s="21"/>
      <c r="I813" s="19"/>
      <c r="J813" s="8" t="str">
        <f aca="false">IF(OR(E813="",F813=""),"",E813*F813)</f>
        <v/>
      </c>
      <c r="K813" s="22" t="str">
        <f aca="false">IF($M813="","",INDEX('Программа тренировок'!$G$6:$G$25,$M813))</f>
        <v/>
      </c>
      <c r="L813" s="23" t="str">
        <f aca="false">IF(OR($M813="",$F813="",$G813=""),"",IF($H813="Разминка","Разминка",IF($F813&lt;INDEX('Программа тренировок'!$E$6:$E$25,$M813),"Ниже диапазона",IF(AND($F813&gt;=INDEX('Программа тренировок'!$F$6:$F$25,$M813),$G813&gt;=INDEX('Программа тренировок'!$L$6:$L$25,$M813)),"Верх диапазона: пора добавлять вес",IF($G813&lt;INDEX('Программа тренировок'!$L$6:$L$25,$M813),"RIR ниже цели","В диапазоне")))))</f>
        <v/>
      </c>
      <c r="M813" s="23" t="str">
        <f aca="false">IF($C813="","",IFERROR(MATCH($C813,'Программа тренировок'!$C$6:$C$25,0),""))</f>
        <v/>
      </c>
    </row>
    <row r="814" customFormat="false" ht="15" hidden="false" customHeight="true" outlineLevel="0" collapsed="false">
      <c r="A814" s="20"/>
      <c r="B814" s="21"/>
      <c r="C814" s="19"/>
      <c r="D814" s="18"/>
      <c r="E814" s="17"/>
      <c r="F814" s="18"/>
      <c r="G814" s="18"/>
      <c r="H814" s="21"/>
      <c r="I814" s="19"/>
      <c r="J814" s="8" t="str">
        <f aca="false">IF(OR(E814="",F814=""),"",E814*F814)</f>
        <v/>
      </c>
      <c r="K814" s="22" t="str">
        <f aca="false">IF($M814="","",INDEX('Программа тренировок'!$G$6:$G$25,$M814))</f>
        <v/>
      </c>
      <c r="L814" s="23" t="str">
        <f aca="false">IF(OR($M814="",$F814="",$G814=""),"",IF($H814="Разминка","Разминка",IF($F814&lt;INDEX('Программа тренировок'!$E$6:$E$25,$M814),"Ниже диапазона",IF(AND($F814&gt;=INDEX('Программа тренировок'!$F$6:$F$25,$M814),$G814&gt;=INDEX('Программа тренировок'!$L$6:$L$25,$M814)),"Верх диапазона: пора добавлять вес",IF($G814&lt;INDEX('Программа тренировок'!$L$6:$L$25,$M814),"RIR ниже цели","В диапазоне")))))</f>
        <v/>
      </c>
      <c r="M814" s="23" t="str">
        <f aca="false">IF($C814="","",IFERROR(MATCH($C814,'Программа тренировок'!$C$6:$C$25,0),""))</f>
        <v/>
      </c>
    </row>
    <row r="815" customFormat="false" ht="15" hidden="false" customHeight="true" outlineLevel="0" collapsed="false">
      <c r="A815" s="20"/>
      <c r="B815" s="21"/>
      <c r="C815" s="19"/>
      <c r="D815" s="18"/>
      <c r="E815" s="17"/>
      <c r="F815" s="18"/>
      <c r="G815" s="18"/>
      <c r="H815" s="21"/>
      <c r="I815" s="19"/>
      <c r="J815" s="8" t="str">
        <f aca="false">IF(OR(E815="",F815=""),"",E815*F815)</f>
        <v/>
      </c>
      <c r="K815" s="22" t="str">
        <f aca="false">IF($M815="","",INDEX('Программа тренировок'!$G$6:$G$25,$M815))</f>
        <v/>
      </c>
      <c r="L815" s="23" t="str">
        <f aca="false">IF(OR($M815="",$F815="",$G815=""),"",IF($H815="Разминка","Разминка",IF($F815&lt;INDEX('Программа тренировок'!$E$6:$E$25,$M815),"Ниже диапазона",IF(AND($F815&gt;=INDEX('Программа тренировок'!$F$6:$F$25,$M815),$G815&gt;=INDEX('Программа тренировок'!$L$6:$L$25,$M815)),"Верх диапазона: пора добавлять вес",IF($G815&lt;INDEX('Программа тренировок'!$L$6:$L$25,$M815),"RIR ниже цели","В диапазоне")))))</f>
        <v/>
      </c>
      <c r="M815" s="23" t="str">
        <f aca="false">IF($C815="","",IFERROR(MATCH($C815,'Программа тренировок'!$C$6:$C$25,0),""))</f>
        <v/>
      </c>
    </row>
    <row r="816" customFormat="false" ht="15" hidden="false" customHeight="true" outlineLevel="0" collapsed="false">
      <c r="A816" s="20"/>
      <c r="B816" s="21"/>
      <c r="C816" s="19"/>
      <c r="D816" s="18"/>
      <c r="E816" s="17"/>
      <c r="F816" s="18"/>
      <c r="G816" s="18"/>
      <c r="H816" s="21"/>
      <c r="I816" s="19"/>
      <c r="J816" s="8" t="str">
        <f aca="false">IF(OR(E816="",F816=""),"",E816*F816)</f>
        <v/>
      </c>
      <c r="K816" s="22" t="str">
        <f aca="false">IF($M816="","",INDEX('Программа тренировок'!$G$6:$G$25,$M816))</f>
        <v/>
      </c>
      <c r="L816" s="23" t="str">
        <f aca="false">IF(OR($M816="",$F816="",$G816=""),"",IF($H816="Разминка","Разминка",IF($F816&lt;INDEX('Программа тренировок'!$E$6:$E$25,$M816),"Ниже диапазона",IF(AND($F816&gt;=INDEX('Программа тренировок'!$F$6:$F$25,$M816),$G816&gt;=INDEX('Программа тренировок'!$L$6:$L$25,$M816)),"Верх диапазона: пора добавлять вес",IF($G816&lt;INDEX('Программа тренировок'!$L$6:$L$25,$M816),"RIR ниже цели","В диапазоне")))))</f>
        <v/>
      </c>
      <c r="M816" s="23" t="str">
        <f aca="false">IF($C816="","",IFERROR(MATCH($C816,'Программа тренировок'!$C$6:$C$25,0),""))</f>
        <v/>
      </c>
    </row>
    <row r="817" customFormat="false" ht="15" hidden="false" customHeight="true" outlineLevel="0" collapsed="false">
      <c r="A817" s="20"/>
      <c r="B817" s="21"/>
      <c r="C817" s="19"/>
      <c r="D817" s="18"/>
      <c r="E817" s="17"/>
      <c r="F817" s="18"/>
      <c r="G817" s="18"/>
      <c r="H817" s="21"/>
      <c r="I817" s="19"/>
      <c r="J817" s="8" t="str">
        <f aca="false">IF(OR(E817="",F817=""),"",E817*F817)</f>
        <v/>
      </c>
      <c r="K817" s="22" t="str">
        <f aca="false">IF($M817="","",INDEX('Программа тренировок'!$G$6:$G$25,$M817))</f>
        <v/>
      </c>
      <c r="L817" s="23" t="str">
        <f aca="false">IF(OR($M817="",$F817="",$G817=""),"",IF($H817="Разминка","Разминка",IF($F817&lt;INDEX('Программа тренировок'!$E$6:$E$25,$M817),"Ниже диапазона",IF(AND($F817&gt;=INDEX('Программа тренировок'!$F$6:$F$25,$M817),$G817&gt;=INDEX('Программа тренировок'!$L$6:$L$25,$M817)),"Верх диапазона: пора добавлять вес",IF($G817&lt;INDEX('Программа тренировок'!$L$6:$L$25,$M817),"RIR ниже цели","В диапазоне")))))</f>
        <v/>
      </c>
      <c r="M817" s="23" t="str">
        <f aca="false">IF($C817="","",IFERROR(MATCH($C817,'Программа тренировок'!$C$6:$C$25,0),""))</f>
        <v/>
      </c>
    </row>
    <row r="818" customFormat="false" ht="15" hidden="false" customHeight="true" outlineLevel="0" collapsed="false">
      <c r="A818" s="20"/>
      <c r="B818" s="21"/>
      <c r="C818" s="19"/>
      <c r="D818" s="18"/>
      <c r="E818" s="17"/>
      <c r="F818" s="18"/>
      <c r="G818" s="18"/>
      <c r="H818" s="21"/>
      <c r="I818" s="19"/>
      <c r="J818" s="8" t="str">
        <f aca="false">IF(OR(E818="",F818=""),"",E818*F818)</f>
        <v/>
      </c>
      <c r="K818" s="22" t="str">
        <f aca="false">IF($M818="","",INDEX('Программа тренировок'!$G$6:$G$25,$M818))</f>
        <v/>
      </c>
      <c r="L818" s="23" t="str">
        <f aca="false">IF(OR($M818="",$F818="",$G818=""),"",IF($H818="Разминка","Разминка",IF($F818&lt;INDEX('Программа тренировок'!$E$6:$E$25,$M818),"Ниже диапазона",IF(AND($F818&gt;=INDEX('Программа тренировок'!$F$6:$F$25,$M818),$G818&gt;=INDEX('Программа тренировок'!$L$6:$L$25,$M818)),"Верх диапазона: пора добавлять вес",IF($G818&lt;INDEX('Программа тренировок'!$L$6:$L$25,$M818),"RIR ниже цели","В диапазоне")))))</f>
        <v/>
      </c>
      <c r="M818" s="23" t="str">
        <f aca="false">IF($C818="","",IFERROR(MATCH($C818,'Программа тренировок'!$C$6:$C$25,0),""))</f>
        <v/>
      </c>
    </row>
    <row r="819" customFormat="false" ht="15" hidden="false" customHeight="true" outlineLevel="0" collapsed="false">
      <c r="A819" s="20"/>
      <c r="B819" s="21"/>
      <c r="C819" s="19"/>
      <c r="D819" s="18"/>
      <c r="E819" s="17"/>
      <c r="F819" s="18"/>
      <c r="G819" s="18"/>
      <c r="H819" s="21"/>
      <c r="I819" s="19"/>
      <c r="J819" s="8" t="str">
        <f aca="false">IF(OR(E819="",F819=""),"",E819*F819)</f>
        <v/>
      </c>
      <c r="K819" s="22" t="str">
        <f aca="false">IF($M819="","",INDEX('Программа тренировок'!$G$6:$G$25,$M819))</f>
        <v/>
      </c>
      <c r="L819" s="23" t="str">
        <f aca="false">IF(OR($M819="",$F819="",$G819=""),"",IF($H819="Разминка","Разминка",IF($F819&lt;INDEX('Программа тренировок'!$E$6:$E$25,$M819),"Ниже диапазона",IF(AND($F819&gt;=INDEX('Программа тренировок'!$F$6:$F$25,$M819),$G819&gt;=INDEX('Программа тренировок'!$L$6:$L$25,$M819)),"Верх диапазона: пора добавлять вес",IF($G819&lt;INDEX('Программа тренировок'!$L$6:$L$25,$M819),"RIR ниже цели","В диапазоне")))))</f>
        <v/>
      </c>
      <c r="M819" s="23" t="str">
        <f aca="false">IF($C819="","",IFERROR(MATCH($C819,'Программа тренировок'!$C$6:$C$25,0),""))</f>
        <v/>
      </c>
    </row>
    <row r="820" customFormat="false" ht="15" hidden="false" customHeight="true" outlineLevel="0" collapsed="false">
      <c r="A820" s="20"/>
      <c r="B820" s="21"/>
      <c r="C820" s="19"/>
      <c r="D820" s="18"/>
      <c r="E820" s="17"/>
      <c r="F820" s="18"/>
      <c r="G820" s="18"/>
      <c r="H820" s="21"/>
      <c r="I820" s="19"/>
      <c r="J820" s="8" t="str">
        <f aca="false">IF(OR(E820="",F820=""),"",E820*F820)</f>
        <v/>
      </c>
      <c r="K820" s="22" t="str">
        <f aca="false">IF($M820="","",INDEX('Программа тренировок'!$G$6:$G$25,$M820))</f>
        <v/>
      </c>
      <c r="L820" s="23" t="str">
        <f aca="false">IF(OR($M820="",$F820="",$G820=""),"",IF($H820="Разминка","Разминка",IF($F820&lt;INDEX('Программа тренировок'!$E$6:$E$25,$M820),"Ниже диапазона",IF(AND($F820&gt;=INDEX('Программа тренировок'!$F$6:$F$25,$M820),$G820&gt;=INDEX('Программа тренировок'!$L$6:$L$25,$M820)),"Верх диапазона: пора добавлять вес",IF($G820&lt;INDEX('Программа тренировок'!$L$6:$L$25,$M820),"RIR ниже цели","В диапазоне")))))</f>
        <v/>
      </c>
      <c r="M820" s="23" t="str">
        <f aca="false">IF($C820="","",IFERROR(MATCH($C820,'Программа тренировок'!$C$6:$C$25,0),""))</f>
        <v/>
      </c>
    </row>
    <row r="821" customFormat="false" ht="15" hidden="false" customHeight="true" outlineLevel="0" collapsed="false">
      <c r="A821" s="20"/>
      <c r="B821" s="21"/>
      <c r="C821" s="19"/>
      <c r="D821" s="18"/>
      <c r="E821" s="17"/>
      <c r="F821" s="18"/>
      <c r="G821" s="18"/>
      <c r="H821" s="21"/>
      <c r="I821" s="19"/>
      <c r="J821" s="8" t="str">
        <f aca="false">IF(OR(E821="",F821=""),"",E821*F821)</f>
        <v/>
      </c>
      <c r="K821" s="22" t="str">
        <f aca="false">IF($M821="","",INDEX('Программа тренировок'!$G$6:$G$25,$M821))</f>
        <v/>
      </c>
      <c r="L821" s="23" t="str">
        <f aca="false">IF(OR($M821="",$F821="",$G821=""),"",IF($H821="Разминка","Разминка",IF($F821&lt;INDEX('Программа тренировок'!$E$6:$E$25,$M821),"Ниже диапазона",IF(AND($F821&gt;=INDEX('Программа тренировок'!$F$6:$F$25,$M821),$G821&gt;=INDEX('Программа тренировок'!$L$6:$L$25,$M821)),"Верх диапазона: пора добавлять вес",IF($G821&lt;INDEX('Программа тренировок'!$L$6:$L$25,$M821),"RIR ниже цели","В диапазоне")))))</f>
        <v/>
      </c>
      <c r="M821" s="23" t="str">
        <f aca="false">IF($C821="","",IFERROR(MATCH($C821,'Программа тренировок'!$C$6:$C$25,0),""))</f>
        <v/>
      </c>
    </row>
    <row r="822" customFormat="false" ht="15" hidden="false" customHeight="true" outlineLevel="0" collapsed="false">
      <c r="A822" s="20"/>
      <c r="B822" s="21"/>
      <c r="C822" s="19"/>
      <c r="D822" s="18"/>
      <c r="E822" s="17"/>
      <c r="F822" s="18"/>
      <c r="G822" s="18"/>
      <c r="H822" s="21"/>
      <c r="I822" s="19"/>
      <c r="J822" s="8" t="str">
        <f aca="false">IF(OR(E822="",F822=""),"",E822*F822)</f>
        <v/>
      </c>
      <c r="K822" s="22" t="str">
        <f aca="false">IF($M822="","",INDEX('Программа тренировок'!$G$6:$G$25,$M822))</f>
        <v/>
      </c>
      <c r="L822" s="23" t="str">
        <f aca="false">IF(OR($M822="",$F822="",$G822=""),"",IF($H822="Разминка","Разминка",IF($F822&lt;INDEX('Программа тренировок'!$E$6:$E$25,$M822),"Ниже диапазона",IF(AND($F822&gt;=INDEX('Программа тренировок'!$F$6:$F$25,$M822),$G822&gt;=INDEX('Программа тренировок'!$L$6:$L$25,$M822)),"Верх диапазона: пора добавлять вес",IF($G822&lt;INDEX('Программа тренировок'!$L$6:$L$25,$M822),"RIR ниже цели","В диапазоне")))))</f>
        <v/>
      </c>
      <c r="M822" s="23" t="str">
        <f aca="false">IF($C822="","",IFERROR(MATCH($C822,'Программа тренировок'!$C$6:$C$25,0),""))</f>
        <v/>
      </c>
    </row>
    <row r="823" customFormat="false" ht="15" hidden="false" customHeight="true" outlineLevel="0" collapsed="false">
      <c r="A823" s="20"/>
      <c r="B823" s="21"/>
      <c r="C823" s="19"/>
      <c r="D823" s="18"/>
      <c r="E823" s="17"/>
      <c r="F823" s="18"/>
      <c r="G823" s="18"/>
      <c r="H823" s="21"/>
      <c r="I823" s="19"/>
      <c r="J823" s="8" t="str">
        <f aca="false">IF(OR(E823="",F823=""),"",E823*F823)</f>
        <v/>
      </c>
      <c r="K823" s="22" t="str">
        <f aca="false">IF($M823="","",INDEX('Программа тренировок'!$G$6:$G$25,$M823))</f>
        <v/>
      </c>
      <c r="L823" s="23" t="str">
        <f aca="false">IF(OR($M823="",$F823="",$G823=""),"",IF($H823="Разминка","Разминка",IF($F823&lt;INDEX('Программа тренировок'!$E$6:$E$25,$M823),"Ниже диапазона",IF(AND($F823&gt;=INDEX('Программа тренировок'!$F$6:$F$25,$M823),$G823&gt;=INDEX('Программа тренировок'!$L$6:$L$25,$M823)),"Верх диапазона: пора добавлять вес",IF($G823&lt;INDEX('Программа тренировок'!$L$6:$L$25,$M823),"RIR ниже цели","В диапазоне")))))</f>
        <v/>
      </c>
      <c r="M823" s="23" t="str">
        <f aca="false">IF($C823="","",IFERROR(MATCH($C823,'Программа тренировок'!$C$6:$C$25,0),""))</f>
        <v/>
      </c>
    </row>
    <row r="824" customFormat="false" ht="15" hidden="false" customHeight="true" outlineLevel="0" collapsed="false">
      <c r="A824" s="20"/>
      <c r="B824" s="21"/>
      <c r="C824" s="19"/>
      <c r="D824" s="18"/>
      <c r="E824" s="17"/>
      <c r="F824" s="18"/>
      <c r="G824" s="18"/>
      <c r="H824" s="21"/>
      <c r="I824" s="19"/>
      <c r="J824" s="8" t="str">
        <f aca="false">IF(OR(E824="",F824=""),"",E824*F824)</f>
        <v/>
      </c>
      <c r="K824" s="22" t="str">
        <f aca="false">IF($M824="","",INDEX('Программа тренировок'!$G$6:$G$25,$M824))</f>
        <v/>
      </c>
      <c r="L824" s="23" t="str">
        <f aca="false">IF(OR($M824="",$F824="",$G824=""),"",IF($H824="Разминка","Разминка",IF($F824&lt;INDEX('Программа тренировок'!$E$6:$E$25,$M824),"Ниже диапазона",IF(AND($F824&gt;=INDEX('Программа тренировок'!$F$6:$F$25,$M824),$G824&gt;=INDEX('Программа тренировок'!$L$6:$L$25,$M824)),"Верх диапазона: пора добавлять вес",IF($G824&lt;INDEX('Программа тренировок'!$L$6:$L$25,$M824),"RIR ниже цели","В диапазоне")))))</f>
        <v/>
      </c>
      <c r="M824" s="23" t="str">
        <f aca="false">IF($C824="","",IFERROR(MATCH($C824,'Программа тренировок'!$C$6:$C$25,0),""))</f>
        <v/>
      </c>
    </row>
    <row r="825" customFormat="false" ht="15" hidden="false" customHeight="true" outlineLevel="0" collapsed="false">
      <c r="A825" s="20"/>
      <c r="B825" s="21"/>
      <c r="C825" s="19"/>
      <c r="D825" s="18"/>
      <c r="E825" s="17"/>
      <c r="F825" s="18"/>
      <c r="G825" s="18"/>
      <c r="H825" s="21"/>
      <c r="I825" s="19"/>
      <c r="J825" s="8" t="str">
        <f aca="false">IF(OR(E825="",F825=""),"",E825*F825)</f>
        <v/>
      </c>
      <c r="K825" s="22" t="str">
        <f aca="false">IF($M825="","",INDEX('Программа тренировок'!$G$6:$G$25,$M825))</f>
        <v/>
      </c>
      <c r="L825" s="23" t="str">
        <f aca="false">IF(OR($M825="",$F825="",$G825=""),"",IF($H825="Разминка","Разминка",IF($F825&lt;INDEX('Программа тренировок'!$E$6:$E$25,$M825),"Ниже диапазона",IF(AND($F825&gt;=INDEX('Программа тренировок'!$F$6:$F$25,$M825),$G825&gt;=INDEX('Программа тренировок'!$L$6:$L$25,$M825)),"Верх диапазона: пора добавлять вес",IF($G825&lt;INDEX('Программа тренировок'!$L$6:$L$25,$M825),"RIR ниже цели","В диапазоне")))))</f>
        <v/>
      </c>
      <c r="M825" s="23" t="str">
        <f aca="false">IF($C825="","",IFERROR(MATCH($C825,'Программа тренировок'!$C$6:$C$25,0),""))</f>
        <v/>
      </c>
    </row>
    <row r="826" customFormat="false" ht="15" hidden="false" customHeight="true" outlineLevel="0" collapsed="false">
      <c r="A826" s="20"/>
      <c r="B826" s="21"/>
      <c r="C826" s="19"/>
      <c r="D826" s="18"/>
      <c r="E826" s="17"/>
      <c r="F826" s="18"/>
      <c r="G826" s="18"/>
      <c r="H826" s="21"/>
      <c r="I826" s="19"/>
      <c r="J826" s="8" t="str">
        <f aca="false">IF(OR(E826="",F826=""),"",E826*F826)</f>
        <v/>
      </c>
      <c r="K826" s="22" t="str">
        <f aca="false">IF($M826="","",INDEX('Программа тренировок'!$G$6:$G$25,$M826))</f>
        <v/>
      </c>
      <c r="L826" s="23" t="str">
        <f aca="false">IF(OR($M826="",$F826="",$G826=""),"",IF($H826="Разминка","Разминка",IF($F826&lt;INDEX('Программа тренировок'!$E$6:$E$25,$M826),"Ниже диапазона",IF(AND($F826&gt;=INDEX('Программа тренировок'!$F$6:$F$25,$M826),$G826&gt;=INDEX('Программа тренировок'!$L$6:$L$25,$M826)),"Верх диапазона: пора добавлять вес",IF($G826&lt;INDEX('Программа тренировок'!$L$6:$L$25,$M826),"RIR ниже цели","В диапазоне")))))</f>
        <v/>
      </c>
      <c r="M826" s="23" t="str">
        <f aca="false">IF($C826="","",IFERROR(MATCH($C826,'Программа тренировок'!$C$6:$C$25,0),""))</f>
        <v/>
      </c>
    </row>
    <row r="827" customFormat="false" ht="15" hidden="false" customHeight="true" outlineLevel="0" collapsed="false">
      <c r="A827" s="20"/>
      <c r="B827" s="21"/>
      <c r="C827" s="19"/>
      <c r="D827" s="18"/>
      <c r="E827" s="17"/>
      <c r="F827" s="18"/>
      <c r="G827" s="18"/>
      <c r="H827" s="21"/>
      <c r="I827" s="19"/>
      <c r="J827" s="8" t="str">
        <f aca="false">IF(OR(E827="",F827=""),"",E827*F827)</f>
        <v/>
      </c>
      <c r="K827" s="22" t="str">
        <f aca="false">IF($M827="","",INDEX('Программа тренировок'!$G$6:$G$25,$M827))</f>
        <v/>
      </c>
      <c r="L827" s="23" t="str">
        <f aca="false">IF(OR($M827="",$F827="",$G827=""),"",IF($H827="Разминка","Разминка",IF($F827&lt;INDEX('Программа тренировок'!$E$6:$E$25,$M827),"Ниже диапазона",IF(AND($F827&gt;=INDEX('Программа тренировок'!$F$6:$F$25,$M827),$G827&gt;=INDEX('Программа тренировок'!$L$6:$L$25,$M827)),"Верх диапазона: пора добавлять вес",IF($G827&lt;INDEX('Программа тренировок'!$L$6:$L$25,$M827),"RIR ниже цели","В диапазоне")))))</f>
        <v/>
      </c>
      <c r="M827" s="23" t="str">
        <f aca="false">IF($C827="","",IFERROR(MATCH($C827,'Программа тренировок'!$C$6:$C$25,0),""))</f>
        <v/>
      </c>
    </row>
    <row r="828" customFormat="false" ht="15" hidden="false" customHeight="true" outlineLevel="0" collapsed="false">
      <c r="A828" s="20"/>
      <c r="B828" s="21"/>
      <c r="C828" s="19"/>
      <c r="D828" s="18"/>
      <c r="E828" s="17"/>
      <c r="F828" s="18"/>
      <c r="G828" s="18"/>
      <c r="H828" s="21"/>
      <c r="I828" s="19"/>
      <c r="J828" s="8" t="str">
        <f aca="false">IF(OR(E828="",F828=""),"",E828*F828)</f>
        <v/>
      </c>
      <c r="K828" s="22" t="str">
        <f aca="false">IF($M828="","",INDEX('Программа тренировок'!$G$6:$G$25,$M828))</f>
        <v/>
      </c>
      <c r="L828" s="23" t="str">
        <f aca="false">IF(OR($M828="",$F828="",$G828=""),"",IF($H828="Разминка","Разминка",IF($F828&lt;INDEX('Программа тренировок'!$E$6:$E$25,$M828),"Ниже диапазона",IF(AND($F828&gt;=INDEX('Программа тренировок'!$F$6:$F$25,$M828),$G828&gt;=INDEX('Программа тренировок'!$L$6:$L$25,$M828)),"Верх диапазона: пора добавлять вес",IF($G828&lt;INDEX('Программа тренировок'!$L$6:$L$25,$M828),"RIR ниже цели","В диапазоне")))))</f>
        <v/>
      </c>
      <c r="M828" s="23" t="str">
        <f aca="false">IF($C828="","",IFERROR(MATCH($C828,'Программа тренировок'!$C$6:$C$25,0),""))</f>
        <v/>
      </c>
    </row>
    <row r="829" customFormat="false" ht="15" hidden="false" customHeight="true" outlineLevel="0" collapsed="false">
      <c r="A829" s="20"/>
      <c r="B829" s="21"/>
      <c r="C829" s="19"/>
      <c r="D829" s="18"/>
      <c r="E829" s="17"/>
      <c r="F829" s="18"/>
      <c r="G829" s="18"/>
      <c r="H829" s="21"/>
      <c r="I829" s="19"/>
      <c r="J829" s="8" t="str">
        <f aca="false">IF(OR(E829="",F829=""),"",E829*F829)</f>
        <v/>
      </c>
      <c r="K829" s="22" t="str">
        <f aca="false">IF($M829="","",INDEX('Программа тренировок'!$G$6:$G$25,$M829))</f>
        <v/>
      </c>
      <c r="L829" s="23" t="str">
        <f aca="false">IF(OR($M829="",$F829="",$G829=""),"",IF($H829="Разминка","Разминка",IF($F829&lt;INDEX('Программа тренировок'!$E$6:$E$25,$M829),"Ниже диапазона",IF(AND($F829&gt;=INDEX('Программа тренировок'!$F$6:$F$25,$M829),$G829&gt;=INDEX('Программа тренировок'!$L$6:$L$25,$M829)),"Верх диапазона: пора добавлять вес",IF($G829&lt;INDEX('Программа тренировок'!$L$6:$L$25,$M829),"RIR ниже цели","В диапазоне")))))</f>
        <v/>
      </c>
      <c r="M829" s="23" t="str">
        <f aca="false">IF($C829="","",IFERROR(MATCH($C829,'Программа тренировок'!$C$6:$C$25,0),""))</f>
        <v/>
      </c>
    </row>
    <row r="830" customFormat="false" ht="15" hidden="false" customHeight="true" outlineLevel="0" collapsed="false">
      <c r="A830" s="20"/>
      <c r="B830" s="21"/>
      <c r="C830" s="19"/>
      <c r="D830" s="18"/>
      <c r="E830" s="17"/>
      <c r="F830" s="18"/>
      <c r="G830" s="18"/>
      <c r="H830" s="21"/>
      <c r="I830" s="19"/>
      <c r="J830" s="8" t="str">
        <f aca="false">IF(OR(E830="",F830=""),"",E830*F830)</f>
        <v/>
      </c>
      <c r="K830" s="22" t="str">
        <f aca="false">IF($M830="","",INDEX('Программа тренировок'!$G$6:$G$25,$M830))</f>
        <v/>
      </c>
      <c r="L830" s="23" t="str">
        <f aca="false">IF(OR($M830="",$F830="",$G830=""),"",IF($H830="Разминка","Разминка",IF($F830&lt;INDEX('Программа тренировок'!$E$6:$E$25,$M830),"Ниже диапазона",IF(AND($F830&gt;=INDEX('Программа тренировок'!$F$6:$F$25,$M830),$G830&gt;=INDEX('Программа тренировок'!$L$6:$L$25,$M830)),"Верх диапазона: пора добавлять вес",IF($G830&lt;INDEX('Программа тренировок'!$L$6:$L$25,$M830),"RIR ниже цели","В диапазоне")))))</f>
        <v/>
      </c>
      <c r="M830" s="23" t="str">
        <f aca="false">IF($C830="","",IFERROR(MATCH($C830,'Программа тренировок'!$C$6:$C$25,0),""))</f>
        <v/>
      </c>
    </row>
    <row r="831" customFormat="false" ht="15" hidden="false" customHeight="true" outlineLevel="0" collapsed="false">
      <c r="A831" s="20"/>
      <c r="B831" s="21"/>
      <c r="C831" s="19"/>
      <c r="D831" s="18"/>
      <c r="E831" s="17"/>
      <c r="F831" s="18"/>
      <c r="G831" s="18"/>
      <c r="H831" s="21"/>
      <c r="I831" s="19"/>
      <c r="J831" s="8" t="str">
        <f aca="false">IF(OR(E831="",F831=""),"",E831*F831)</f>
        <v/>
      </c>
      <c r="K831" s="22" t="str">
        <f aca="false">IF($M831="","",INDEX('Программа тренировок'!$G$6:$G$25,$M831))</f>
        <v/>
      </c>
      <c r="L831" s="23" t="str">
        <f aca="false">IF(OR($M831="",$F831="",$G831=""),"",IF($H831="Разминка","Разминка",IF($F831&lt;INDEX('Программа тренировок'!$E$6:$E$25,$M831),"Ниже диапазона",IF(AND($F831&gt;=INDEX('Программа тренировок'!$F$6:$F$25,$M831),$G831&gt;=INDEX('Программа тренировок'!$L$6:$L$25,$M831)),"Верх диапазона: пора добавлять вес",IF($G831&lt;INDEX('Программа тренировок'!$L$6:$L$25,$M831),"RIR ниже цели","В диапазоне")))))</f>
        <v/>
      </c>
      <c r="M831" s="23" t="str">
        <f aca="false">IF($C831="","",IFERROR(MATCH($C831,'Программа тренировок'!$C$6:$C$25,0),""))</f>
        <v/>
      </c>
    </row>
    <row r="832" customFormat="false" ht="15" hidden="false" customHeight="true" outlineLevel="0" collapsed="false">
      <c r="A832" s="20"/>
      <c r="B832" s="21"/>
      <c r="C832" s="19"/>
      <c r="D832" s="18"/>
      <c r="E832" s="17"/>
      <c r="F832" s="18"/>
      <c r="G832" s="18"/>
      <c r="H832" s="21"/>
      <c r="I832" s="19"/>
      <c r="J832" s="8" t="str">
        <f aca="false">IF(OR(E832="",F832=""),"",E832*F832)</f>
        <v/>
      </c>
      <c r="K832" s="22" t="str">
        <f aca="false">IF($M832="","",INDEX('Программа тренировок'!$G$6:$G$25,$M832))</f>
        <v/>
      </c>
      <c r="L832" s="23" t="str">
        <f aca="false">IF(OR($M832="",$F832="",$G832=""),"",IF($H832="Разминка","Разминка",IF($F832&lt;INDEX('Программа тренировок'!$E$6:$E$25,$M832),"Ниже диапазона",IF(AND($F832&gt;=INDEX('Программа тренировок'!$F$6:$F$25,$M832),$G832&gt;=INDEX('Программа тренировок'!$L$6:$L$25,$M832)),"Верх диапазона: пора добавлять вес",IF($G832&lt;INDEX('Программа тренировок'!$L$6:$L$25,$M832),"RIR ниже цели","В диапазоне")))))</f>
        <v/>
      </c>
      <c r="M832" s="23" t="str">
        <f aca="false">IF($C832="","",IFERROR(MATCH($C832,'Программа тренировок'!$C$6:$C$25,0),""))</f>
        <v/>
      </c>
    </row>
    <row r="833" customFormat="false" ht="15" hidden="false" customHeight="true" outlineLevel="0" collapsed="false">
      <c r="A833" s="20"/>
      <c r="B833" s="21"/>
      <c r="C833" s="19"/>
      <c r="D833" s="18"/>
      <c r="E833" s="17"/>
      <c r="F833" s="18"/>
      <c r="G833" s="18"/>
      <c r="H833" s="21"/>
      <c r="I833" s="19"/>
      <c r="J833" s="8" t="str">
        <f aca="false">IF(OR(E833="",F833=""),"",E833*F833)</f>
        <v/>
      </c>
      <c r="K833" s="22" t="str">
        <f aca="false">IF($M833="","",INDEX('Программа тренировок'!$G$6:$G$25,$M833))</f>
        <v/>
      </c>
      <c r="L833" s="23" t="str">
        <f aca="false">IF(OR($M833="",$F833="",$G833=""),"",IF($H833="Разминка","Разминка",IF($F833&lt;INDEX('Программа тренировок'!$E$6:$E$25,$M833),"Ниже диапазона",IF(AND($F833&gt;=INDEX('Программа тренировок'!$F$6:$F$25,$M833),$G833&gt;=INDEX('Программа тренировок'!$L$6:$L$25,$M833)),"Верх диапазона: пора добавлять вес",IF($G833&lt;INDEX('Программа тренировок'!$L$6:$L$25,$M833),"RIR ниже цели","В диапазоне")))))</f>
        <v/>
      </c>
      <c r="M833" s="23" t="str">
        <f aca="false">IF($C833="","",IFERROR(MATCH($C833,'Программа тренировок'!$C$6:$C$25,0),""))</f>
        <v/>
      </c>
    </row>
    <row r="834" customFormat="false" ht="15" hidden="false" customHeight="true" outlineLevel="0" collapsed="false">
      <c r="A834" s="20"/>
      <c r="B834" s="21"/>
      <c r="C834" s="19"/>
      <c r="D834" s="18"/>
      <c r="E834" s="17"/>
      <c r="F834" s="18"/>
      <c r="G834" s="18"/>
      <c r="H834" s="21"/>
      <c r="I834" s="19"/>
      <c r="J834" s="8" t="str">
        <f aca="false">IF(OR(E834="",F834=""),"",E834*F834)</f>
        <v/>
      </c>
      <c r="K834" s="22" t="str">
        <f aca="false">IF($M834="","",INDEX('Программа тренировок'!$G$6:$G$25,$M834))</f>
        <v/>
      </c>
      <c r="L834" s="23" t="str">
        <f aca="false">IF(OR($M834="",$F834="",$G834=""),"",IF($H834="Разминка","Разминка",IF($F834&lt;INDEX('Программа тренировок'!$E$6:$E$25,$M834),"Ниже диапазона",IF(AND($F834&gt;=INDEX('Программа тренировок'!$F$6:$F$25,$M834),$G834&gt;=INDEX('Программа тренировок'!$L$6:$L$25,$M834)),"Верх диапазона: пора добавлять вес",IF($G834&lt;INDEX('Программа тренировок'!$L$6:$L$25,$M834),"RIR ниже цели","В диапазоне")))))</f>
        <v/>
      </c>
      <c r="M834" s="23" t="str">
        <f aca="false">IF($C834="","",IFERROR(MATCH($C834,'Программа тренировок'!$C$6:$C$25,0),""))</f>
        <v/>
      </c>
    </row>
    <row r="835" customFormat="false" ht="15" hidden="false" customHeight="true" outlineLevel="0" collapsed="false">
      <c r="A835" s="20"/>
      <c r="B835" s="21"/>
      <c r="C835" s="19"/>
      <c r="D835" s="18"/>
      <c r="E835" s="17"/>
      <c r="F835" s="18"/>
      <c r="G835" s="18"/>
      <c r="H835" s="21"/>
      <c r="I835" s="19"/>
      <c r="J835" s="8" t="str">
        <f aca="false">IF(OR(E835="",F835=""),"",E835*F835)</f>
        <v/>
      </c>
      <c r="K835" s="22" t="str">
        <f aca="false">IF($M835="","",INDEX('Программа тренировок'!$G$6:$G$25,$M835))</f>
        <v/>
      </c>
      <c r="L835" s="23" t="str">
        <f aca="false">IF(OR($M835="",$F835="",$G835=""),"",IF($H835="Разминка","Разминка",IF($F835&lt;INDEX('Программа тренировок'!$E$6:$E$25,$M835),"Ниже диапазона",IF(AND($F835&gt;=INDEX('Программа тренировок'!$F$6:$F$25,$M835),$G835&gt;=INDEX('Программа тренировок'!$L$6:$L$25,$M835)),"Верх диапазона: пора добавлять вес",IF($G835&lt;INDEX('Программа тренировок'!$L$6:$L$25,$M835),"RIR ниже цели","В диапазоне")))))</f>
        <v/>
      </c>
      <c r="M835" s="23" t="str">
        <f aca="false">IF($C835="","",IFERROR(MATCH($C835,'Программа тренировок'!$C$6:$C$25,0),""))</f>
        <v/>
      </c>
    </row>
    <row r="836" customFormat="false" ht="15" hidden="false" customHeight="true" outlineLevel="0" collapsed="false">
      <c r="A836" s="20"/>
      <c r="B836" s="21"/>
      <c r="C836" s="19"/>
      <c r="D836" s="18"/>
      <c r="E836" s="17"/>
      <c r="F836" s="18"/>
      <c r="G836" s="18"/>
      <c r="H836" s="21"/>
      <c r="I836" s="19"/>
      <c r="J836" s="8" t="str">
        <f aca="false">IF(OR(E836="",F836=""),"",E836*F836)</f>
        <v/>
      </c>
      <c r="K836" s="22" t="str">
        <f aca="false">IF($M836="","",INDEX('Программа тренировок'!$G$6:$G$25,$M836))</f>
        <v/>
      </c>
      <c r="L836" s="23" t="str">
        <f aca="false">IF(OR($M836="",$F836="",$G836=""),"",IF($H836="Разминка","Разминка",IF($F836&lt;INDEX('Программа тренировок'!$E$6:$E$25,$M836),"Ниже диапазона",IF(AND($F836&gt;=INDEX('Программа тренировок'!$F$6:$F$25,$M836),$G836&gt;=INDEX('Программа тренировок'!$L$6:$L$25,$M836)),"Верх диапазона: пора добавлять вес",IF($G836&lt;INDEX('Программа тренировок'!$L$6:$L$25,$M836),"RIR ниже цели","В диапазоне")))))</f>
        <v/>
      </c>
      <c r="M836" s="23" t="str">
        <f aca="false">IF($C836="","",IFERROR(MATCH($C836,'Программа тренировок'!$C$6:$C$25,0),""))</f>
        <v/>
      </c>
    </row>
    <row r="837" customFormat="false" ht="15" hidden="false" customHeight="true" outlineLevel="0" collapsed="false">
      <c r="A837" s="20"/>
      <c r="B837" s="21"/>
      <c r="C837" s="19"/>
      <c r="D837" s="18"/>
      <c r="E837" s="17"/>
      <c r="F837" s="18"/>
      <c r="G837" s="18"/>
      <c r="H837" s="21"/>
      <c r="I837" s="19"/>
      <c r="J837" s="8" t="str">
        <f aca="false">IF(OR(E837="",F837=""),"",E837*F837)</f>
        <v/>
      </c>
      <c r="K837" s="22" t="str">
        <f aca="false">IF($M837="","",INDEX('Программа тренировок'!$G$6:$G$25,$M837))</f>
        <v/>
      </c>
      <c r="L837" s="23" t="str">
        <f aca="false">IF(OR($M837="",$F837="",$G837=""),"",IF($H837="Разминка","Разминка",IF($F837&lt;INDEX('Программа тренировок'!$E$6:$E$25,$M837),"Ниже диапазона",IF(AND($F837&gt;=INDEX('Программа тренировок'!$F$6:$F$25,$M837),$G837&gt;=INDEX('Программа тренировок'!$L$6:$L$25,$M837)),"Верх диапазона: пора добавлять вес",IF($G837&lt;INDEX('Программа тренировок'!$L$6:$L$25,$M837),"RIR ниже цели","В диапазоне")))))</f>
        <v/>
      </c>
      <c r="M837" s="23" t="str">
        <f aca="false">IF($C837="","",IFERROR(MATCH($C837,'Программа тренировок'!$C$6:$C$25,0),""))</f>
        <v/>
      </c>
    </row>
    <row r="838" customFormat="false" ht="15" hidden="false" customHeight="true" outlineLevel="0" collapsed="false">
      <c r="A838" s="20"/>
      <c r="B838" s="21"/>
      <c r="C838" s="19"/>
      <c r="D838" s="18"/>
      <c r="E838" s="17"/>
      <c r="F838" s="18"/>
      <c r="G838" s="18"/>
      <c r="H838" s="21"/>
      <c r="I838" s="19"/>
      <c r="J838" s="8" t="str">
        <f aca="false">IF(OR(E838="",F838=""),"",E838*F838)</f>
        <v/>
      </c>
      <c r="K838" s="22" t="str">
        <f aca="false">IF($M838="","",INDEX('Программа тренировок'!$G$6:$G$25,$M838))</f>
        <v/>
      </c>
      <c r="L838" s="23" t="str">
        <f aca="false">IF(OR($M838="",$F838="",$G838=""),"",IF($H838="Разминка","Разминка",IF($F838&lt;INDEX('Программа тренировок'!$E$6:$E$25,$M838),"Ниже диапазона",IF(AND($F838&gt;=INDEX('Программа тренировок'!$F$6:$F$25,$M838),$G838&gt;=INDEX('Программа тренировок'!$L$6:$L$25,$M838)),"Верх диапазона: пора добавлять вес",IF($G838&lt;INDEX('Программа тренировок'!$L$6:$L$25,$M838),"RIR ниже цели","В диапазоне")))))</f>
        <v/>
      </c>
      <c r="M838" s="23" t="str">
        <f aca="false">IF($C838="","",IFERROR(MATCH($C838,'Программа тренировок'!$C$6:$C$25,0),""))</f>
        <v/>
      </c>
    </row>
    <row r="839" customFormat="false" ht="15" hidden="false" customHeight="true" outlineLevel="0" collapsed="false">
      <c r="A839" s="20"/>
      <c r="B839" s="21"/>
      <c r="C839" s="19"/>
      <c r="D839" s="18"/>
      <c r="E839" s="17"/>
      <c r="F839" s="18"/>
      <c r="G839" s="18"/>
      <c r="H839" s="21"/>
      <c r="I839" s="19"/>
      <c r="J839" s="8" t="str">
        <f aca="false">IF(OR(E839="",F839=""),"",E839*F839)</f>
        <v/>
      </c>
      <c r="K839" s="22" t="str">
        <f aca="false">IF($M839="","",INDEX('Программа тренировок'!$G$6:$G$25,$M839))</f>
        <v/>
      </c>
      <c r="L839" s="23" t="str">
        <f aca="false">IF(OR($M839="",$F839="",$G839=""),"",IF($H839="Разминка","Разминка",IF($F839&lt;INDEX('Программа тренировок'!$E$6:$E$25,$M839),"Ниже диапазона",IF(AND($F839&gt;=INDEX('Программа тренировок'!$F$6:$F$25,$M839),$G839&gt;=INDEX('Программа тренировок'!$L$6:$L$25,$M839)),"Верх диапазона: пора добавлять вес",IF($G839&lt;INDEX('Программа тренировок'!$L$6:$L$25,$M839),"RIR ниже цели","В диапазоне")))))</f>
        <v/>
      </c>
      <c r="M839" s="23" t="str">
        <f aca="false">IF($C839="","",IFERROR(MATCH($C839,'Программа тренировок'!$C$6:$C$25,0),""))</f>
        <v/>
      </c>
    </row>
    <row r="840" customFormat="false" ht="15" hidden="false" customHeight="true" outlineLevel="0" collapsed="false">
      <c r="A840" s="20"/>
      <c r="B840" s="21"/>
      <c r="C840" s="19"/>
      <c r="D840" s="18"/>
      <c r="E840" s="17"/>
      <c r="F840" s="18"/>
      <c r="G840" s="18"/>
      <c r="H840" s="21"/>
      <c r="I840" s="19"/>
      <c r="J840" s="8" t="str">
        <f aca="false">IF(OR(E840="",F840=""),"",E840*F840)</f>
        <v/>
      </c>
      <c r="K840" s="22" t="str">
        <f aca="false">IF($M840="","",INDEX('Программа тренировок'!$G$6:$G$25,$M840))</f>
        <v/>
      </c>
      <c r="L840" s="23" t="str">
        <f aca="false">IF(OR($M840="",$F840="",$G840=""),"",IF($H840="Разминка","Разминка",IF($F840&lt;INDEX('Программа тренировок'!$E$6:$E$25,$M840),"Ниже диапазона",IF(AND($F840&gt;=INDEX('Программа тренировок'!$F$6:$F$25,$M840),$G840&gt;=INDEX('Программа тренировок'!$L$6:$L$25,$M840)),"Верх диапазона: пора добавлять вес",IF($G840&lt;INDEX('Программа тренировок'!$L$6:$L$25,$M840),"RIR ниже цели","В диапазоне")))))</f>
        <v/>
      </c>
      <c r="M840" s="23" t="str">
        <f aca="false">IF($C840="","",IFERROR(MATCH($C840,'Программа тренировок'!$C$6:$C$25,0),""))</f>
        <v/>
      </c>
    </row>
    <row r="841" customFormat="false" ht="15" hidden="false" customHeight="true" outlineLevel="0" collapsed="false">
      <c r="A841" s="20"/>
      <c r="B841" s="21"/>
      <c r="C841" s="19"/>
      <c r="D841" s="18"/>
      <c r="E841" s="17"/>
      <c r="F841" s="18"/>
      <c r="G841" s="18"/>
      <c r="H841" s="21"/>
      <c r="I841" s="19"/>
      <c r="J841" s="8" t="str">
        <f aca="false">IF(OR(E841="",F841=""),"",E841*F841)</f>
        <v/>
      </c>
      <c r="K841" s="22" t="str">
        <f aca="false">IF($M841="","",INDEX('Программа тренировок'!$G$6:$G$25,$M841))</f>
        <v/>
      </c>
      <c r="L841" s="23" t="str">
        <f aca="false">IF(OR($M841="",$F841="",$G841=""),"",IF($H841="Разминка","Разминка",IF($F841&lt;INDEX('Программа тренировок'!$E$6:$E$25,$M841),"Ниже диапазона",IF(AND($F841&gt;=INDEX('Программа тренировок'!$F$6:$F$25,$M841),$G841&gt;=INDEX('Программа тренировок'!$L$6:$L$25,$M841)),"Верх диапазона: пора добавлять вес",IF($G841&lt;INDEX('Программа тренировок'!$L$6:$L$25,$M841),"RIR ниже цели","В диапазоне")))))</f>
        <v/>
      </c>
      <c r="M841" s="23" t="str">
        <f aca="false">IF($C841="","",IFERROR(MATCH($C841,'Программа тренировок'!$C$6:$C$25,0),""))</f>
        <v/>
      </c>
    </row>
    <row r="842" customFormat="false" ht="15" hidden="false" customHeight="true" outlineLevel="0" collapsed="false">
      <c r="A842" s="20"/>
      <c r="B842" s="21"/>
      <c r="C842" s="19"/>
      <c r="D842" s="18"/>
      <c r="E842" s="17"/>
      <c r="F842" s="18"/>
      <c r="G842" s="18"/>
      <c r="H842" s="21"/>
      <c r="I842" s="19"/>
      <c r="J842" s="8" t="str">
        <f aca="false">IF(OR(E842="",F842=""),"",E842*F842)</f>
        <v/>
      </c>
      <c r="K842" s="22" t="str">
        <f aca="false">IF($M842="","",INDEX('Программа тренировок'!$G$6:$G$25,$M842))</f>
        <v/>
      </c>
      <c r="L842" s="23" t="str">
        <f aca="false">IF(OR($M842="",$F842="",$G842=""),"",IF($H842="Разминка","Разминка",IF($F842&lt;INDEX('Программа тренировок'!$E$6:$E$25,$M842),"Ниже диапазона",IF(AND($F842&gt;=INDEX('Программа тренировок'!$F$6:$F$25,$M842),$G842&gt;=INDEX('Программа тренировок'!$L$6:$L$25,$M842)),"Верх диапазона: пора добавлять вес",IF($G842&lt;INDEX('Программа тренировок'!$L$6:$L$25,$M842),"RIR ниже цели","В диапазоне")))))</f>
        <v/>
      </c>
      <c r="M842" s="23" t="str">
        <f aca="false">IF($C842="","",IFERROR(MATCH($C842,'Программа тренировок'!$C$6:$C$25,0),""))</f>
        <v/>
      </c>
    </row>
    <row r="843" customFormat="false" ht="15" hidden="false" customHeight="true" outlineLevel="0" collapsed="false">
      <c r="A843" s="20"/>
      <c r="B843" s="21"/>
      <c r="C843" s="19"/>
      <c r="D843" s="18"/>
      <c r="E843" s="17"/>
      <c r="F843" s="18"/>
      <c r="G843" s="18"/>
      <c r="H843" s="21"/>
      <c r="I843" s="19"/>
      <c r="J843" s="8" t="str">
        <f aca="false">IF(OR(E843="",F843=""),"",E843*F843)</f>
        <v/>
      </c>
      <c r="K843" s="22" t="str">
        <f aca="false">IF($M843="","",INDEX('Программа тренировок'!$G$6:$G$25,$M843))</f>
        <v/>
      </c>
      <c r="L843" s="23" t="str">
        <f aca="false">IF(OR($M843="",$F843="",$G843=""),"",IF($H843="Разминка","Разминка",IF($F843&lt;INDEX('Программа тренировок'!$E$6:$E$25,$M843),"Ниже диапазона",IF(AND($F843&gt;=INDEX('Программа тренировок'!$F$6:$F$25,$M843),$G843&gt;=INDEX('Программа тренировок'!$L$6:$L$25,$M843)),"Верх диапазона: пора добавлять вес",IF($G843&lt;INDEX('Программа тренировок'!$L$6:$L$25,$M843),"RIR ниже цели","В диапазоне")))))</f>
        <v/>
      </c>
      <c r="M843" s="23" t="str">
        <f aca="false">IF($C843="","",IFERROR(MATCH($C843,'Программа тренировок'!$C$6:$C$25,0),""))</f>
        <v/>
      </c>
    </row>
    <row r="844" customFormat="false" ht="15" hidden="false" customHeight="true" outlineLevel="0" collapsed="false">
      <c r="A844" s="20"/>
      <c r="B844" s="21"/>
      <c r="C844" s="19"/>
      <c r="D844" s="18"/>
      <c r="E844" s="17"/>
      <c r="F844" s="18"/>
      <c r="G844" s="18"/>
      <c r="H844" s="21"/>
      <c r="I844" s="19"/>
      <c r="J844" s="8" t="str">
        <f aca="false">IF(OR(E844="",F844=""),"",E844*F844)</f>
        <v/>
      </c>
      <c r="K844" s="22" t="str">
        <f aca="false">IF($M844="","",INDEX('Программа тренировок'!$G$6:$G$25,$M844))</f>
        <v/>
      </c>
      <c r="L844" s="23" t="str">
        <f aca="false">IF(OR($M844="",$F844="",$G844=""),"",IF($H844="Разминка","Разминка",IF($F844&lt;INDEX('Программа тренировок'!$E$6:$E$25,$M844),"Ниже диапазона",IF(AND($F844&gt;=INDEX('Программа тренировок'!$F$6:$F$25,$M844),$G844&gt;=INDEX('Программа тренировок'!$L$6:$L$25,$M844)),"Верх диапазона: пора добавлять вес",IF($G844&lt;INDEX('Программа тренировок'!$L$6:$L$25,$M844),"RIR ниже цели","В диапазоне")))))</f>
        <v/>
      </c>
      <c r="M844" s="23" t="str">
        <f aca="false">IF($C844="","",IFERROR(MATCH($C844,'Программа тренировок'!$C$6:$C$25,0),""))</f>
        <v/>
      </c>
    </row>
    <row r="845" customFormat="false" ht="15" hidden="false" customHeight="true" outlineLevel="0" collapsed="false">
      <c r="A845" s="20"/>
      <c r="B845" s="21"/>
      <c r="C845" s="19"/>
      <c r="D845" s="18"/>
      <c r="E845" s="17"/>
      <c r="F845" s="18"/>
      <c r="G845" s="18"/>
      <c r="H845" s="21"/>
      <c r="I845" s="19"/>
      <c r="J845" s="8" t="str">
        <f aca="false">IF(OR(E845="",F845=""),"",E845*F845)</f>
        <v/>
      </c>
      <c r="K845" s="22" t="str">
        <f aca="false">IF($M845="","",INDEX('Программа тренировок'!$G$6:$G$25,$M845))</f>
        <v/>
      </c>
      <c r="L845" s="23" t="str">
        <f aca="false">IF(OR($M845="",$F845="",$G845=""),"",IF($H845="Разминка","Разминка",IF($F845&lt;INDEX('Программа тренировок'!$E$6:$E$25,$M845),"Ниже диапазона",IF(AND($F845&gt;=INDEX('Программа тренировок'!$F$6:$F$25,$M845),$G845&gt;=INDEX('Программа тренировок'!$L$6:$L$25,$M845)),"Верх диапазона: пора добавлять вес",IF($G845&lt;INDEX('Программа тренировок'!$L$6:$L$25,$M845),"RIR ниже цели","В диапазоне")))))</f>
        <v/>
      </c>
      <c r="M845" s="23" t="str">
        <f aca="false">IF($C845="","",IFERROR(MATCH($C845,'Программа тренировок'!$C$6:$C$25,0),""))</f>
        <v/>
      </c>
    </row>
    <row r="846" customFormat="false" ht="15" hidden="false" customHeight="true" outlineLevel="0" collapsed="false">
      <c r="A846" s="20"/>
      <c r="B846" s="21"/>
      <c r="C846" s="19"/>
      <c r="D846" s="18"/>
      <c r="E846" s="17"/>
      <c r="F846" s="18"/>
      <c r="G846" s="18"/>
      <c r="H846" s="21"/>
      <c r="I846" s="19"/>
      <c r="J846" s="8" t="str">
        <f aca="false">IF(OR(E846="",F846=""),"",E846*F846)</f>
        <v/>
      </c>
      <c r="K846" s="22" t="str">
        <f aca="false">IF($M846="","",INDEX('Программа тренировок'!$G$6:$G$25,$M846))</f>
        <v/>
      </c>
      <c r="L846" s="23" t="str">
        <f aca="false">IF(OR($M846="",$F846="",$G846=""),"",IF($H846="Разминка","Разминка",IF($F846&lt;INDEX('Программа тренировок'!$E$6:$E$25,$M846),"Ниже диапазона",IF(AND($F846&gt;=INDEX('Программа тренировок'!$F$6:$F$25,$M846),$G846&gt;=INDEX('Программа тренировок'!$L$6:$L$25,$M846)),"Верх диапазона: пора добавлять вес",IF($G846&lt;INDEX('Программа тренировок'!$L$6:$L$25,$M846),"RIR ниже цели","В диапазоне")))))</f>
        <v/>
      </c>
      <c r="M846" s="23" t="str">
        <f aca="false">IF($C846="","",IFERROR(MATCH($C846,'Программа тренировок'!$C$6:$C$25,0),""))</f>
        <v/>
      </c>
    </row>
    <row r="847" customFormat="false" ht="15" hidden="false" customHeight="true" outlineLevel="0" collapsed="false">
      <c r="A847" s="20"/>
      <c r="B847" s="21"/>
      <c r="C847" s="19"/>
      <c r="D847" s="18"/>
      <c r="E847" s="17"/>
      <c r="F847" s="18"/>
      <c r="G847" s="18"/>
      <c r="H847" s="21"/>
      <c r="I847" s="19"/>
      <c r="J847" s="8" t="str">
        <f aca="false">IF(OR(E847="",F847=""),"",E847*F847)</f>
        <v/>
      </c>
      <c r="K847" s="22" t="str">
        <f aca="false">IF($M847="","",INDEX('Программа тренировок'!$G$6:$G$25,$M847))</f>
        <v/>
      </c>
      <c r="L847" s="23" t="str">
        <f aca="false">IF(OR($M847="",$F847="",$G847=""),"",IF($H847="Разминка","Разминка",IF($F847&lt;INDEX('Программа тренировок'!$E$6:$E$25,$M847),"Ниже диапазона",IF(AND($F847&gt;=INDEX('Программа тренировок'!$F$6:$F$25,$M847),$G847&gt;=INDEX('Программа тренировок'!$L$6:$L$25,$M847)),"Верх диапазона: пора добавлять вес",IF($G847&lt;INDEX('Программа тренировок'!$L$6:$L$25,$M847),"RIR ниже цели","В диапазоне")))))</f>
        <v/>
      </c>
      <c r="M847" s="23" t="str">
        <f aca="false">IF($C847="","",IFERROR(MATCH($C847,'Программа тренировок'!$C$6:$C$25,0),""))</f>
        <v/>
      </c>
    </row>
    <row r="848" customFormat="false" ht="15" hidden="false" customHeight="true" outlineLevel="0" collapsed="false">
      <c r="A848" s="20"/>
      <c r="B848" s="21"/>
      <c r="C848" s="19"/>
      <c r="D848" s="18"/>
      <c r="E848" s="17"/>
      <c r="F848" s="18"/>
      <c r="G848" s="18"/>
      <c r="H848" s="21"/>
      <c r="I848" s="19"/>
      <c r="J848" s="8" t="str">
        <f aca="false">IF(OR(E848="",F848=""),"",E848*F848)</f>
        <v/>
      </c>
      <c r="K848" s="22" t="str">
        <f aca="false">IF($M848="","",INDEX('Программа тренировок'!$G$6:$G$25,$M848))</f>
        <v/>
      </c>
      <c r="L848" s="23" t="str">
        <f aca="false">IF(OR($M848="",$F848="",$G848=""),"",IF($H848="Разминка","Разминка",IF($F848&lt;INDEX('Программа тренировок'!$E$6:$E$25,$M848),"Ниже диапазона",IF(AND($F848&gt;=INDEX('Программа тренировок'!$F$6:$F$25,$M848),$G848&gt;=INDEX('Программа тренировок'!$L$6:$L$25,$M848)),"Верх диапазона: пора добавлять вес",IF($G848&lt;INDEX('Программа тренировок'!$L$6:$L$25,$M848),"RIR ниже цели","В диапазоне")))))</f>
        <v/>
      </c>
      <c r="M848" s="23" t="str">
        <f aca="false">IF($C848="","",IFERROR(MATCH($C848,'Программа тренировок'!$C$6:$C$25,0),""))</f>
        <v/>
      </c>
    </row>
    <row r="849" customFormat="false" ht="15" hidden="false" customHeight="true" outlineLevel="0" collapsed="false">
      <c r="A849" s="20"/>
      <c r="B849" s="21"/>
      <c r="C849" s="19"/>
      <c r="D849" s="18"/>
      <c r="E849" s="17"/>
      <c r="F849" s="18"/>
      <c r="G849" s="18"/>
      <c r="H849" s="21"/>
      <c r="I849" s="19"/>
      <c r="J849" s="8" t="str">
        <f aca="false">IF(OR(E849="",F849=""),"",E849*F849)</f>
        <v/>
      </c>
      <c r="K849" s="22" t="str">
        <f aca="false">IF($M849="","",INDEX('Программа тренировок'!$G$6:$G$25,$M849))</f>
        <v/>
      </c>
      <c r="L849" s="23" t="str">
        <f aca="false">IF(OR($M849="",$F849="",$G849=""),"",IF($H849="Разминка","Разминка",IF($F849&lt;INDEX('Программа тренировок'!$E$6:$E$25,$M849),"Ниже диапазона",IF(AND($F849&gt;=INDEX('Программа тренировок'!$F$6:$F$25,$M849),$G849&gt;=INDEX('Программа тренировок'!$L$6:$L$25,$M849)),"Верх диапазона: пора добавлять вес",IF($G849&lt;INDEX('Программа тренировок'!$L$6:$L$25,$M849),"RIR ниже цели","В диапазоне")))))</f>
        <v/>
      </c>
      <c r="M849" s="23" t="str">
        <f aca="false">IF($C849="","",IFERROR(MATCH($C849,'Программа тренировок'!$C$6:$C$25,0),""))</f>
        <v/>
      </c>
    </row>
    <row r="850" customFormat="false" ht="15" hidden="false" customHeight="true" outlineLevel="0" collapsed="false">
      <c r="A850" s="20"/>
      <c r="B850" s="21"/>
      <c r="C850" s="19"/>
      <c r="D850" s="18"/>
      <c r="E850" s="17"/>
      <c r="F850" s="18"/>
      <c r="G850" s="18"/>
      <c r="H850" s="21"/>
      <c r="I850" s="19"/>
      <c r="J850" s="8" t="str">
        <f aca="false">IF(OR(E850="",F850=""),"",E850*F850)</f>
        <v/>
      </c>
      <c r="K850" s="22" t="str">
        <f aca="false">IF($M850="","",INDEX('Программа тренировок'!$G$6:$G$25,$M850))</f>
        <v/>
      </c>
      <c r="L850" s="23" t="str">
        <f aca="false">IF(OR($M850="",$F850="",$G850=""),"",IF($H850="Разминка","Разминка",IF($F850&lt;INDEX('Программа тренировок'!$E$6:$E$25,$M850),"Ниже диапазона",IF(AND($F850&gt;=INDEX('Программа тренировок'!$F$6:$F$25,$M850),$G850&gt;=INDEX('Программа тренировок'!$L$6:$L$25,$M850)),"Верх диапазона: пора добавлять вес",IF($G850&lt;INDEX('Программа тренировок'!$L$6:$L$25,$M850),"RIR ниже цели","В диапазоне")))))</f>
        <v/>
      </c>
      <c r="M850" s="23" t="str">
        <f aca="false">IF($C850="","",IFERROR(MATCH($C850,'Программа тренировок'!$C$6:$C$25,0),""))</f>
        <v/>
      </c>
    </row>
    <row r="851" customFormat="false" ht="15" hidden="false" customHeight="true" outlineLevel="0" collapsed="false">
      <c r="A851" s="20"/>
      <c r="B851" s="21"/>
      <c r="C851" s="19"/>
      <c r="D851" s="18"/>
      <c r="E851" s="17"/>
      <c r="F851" s="18"/>
      <c r="G851" s="18"/>
      <c r="H851" s="21"/>
      <c r="I851" s="19"/>
      <c r="J851" s="8" t="str">
        <f aca="false">IF(OR(E851="",F851=""),"",E851*F851)</f>
        <v/>
      </c>
      <c r="K851" s="22" t="str">
        <f aca="false">IF($M851="","",INDEX('Программа тренировок'!$G$6:$G$25,$M851))</f>
        <v/>
      </c>
      <c r="L851" s="23" t="str">
        <f aca="false">IF(OR($M851="",$F851="",$G851=""),"",IF($H851="Разминка","Разминка",IF($F851&lt;INDEX('Программа тренировок'!$E$6:$E$25,$M851),"Ниже диапазона",IF(AND($F851&gt;=INDEX('Программа тренировок'!$F$6:$F$25,$M851),$G851&gt;=INDEX('Программа тренировок'!$L$6:$L$25,$M851)),"Верх диапазона: пора добавлять вес",IF($G851&lt;INDEX('Программа тренировок'!$L$6:$L$25,$M851),"RIR ниже цели","В диапазоне")))))</f>
        <v/>
      </c>
      <c r="M851" s="23" t="str">
        <f aca="false">IF($C851="","",IFERROR(MATCH($C851,'Программа тренировок'!$C$6:$C$25,0),""))</f>
        <v/>
      </c>
    </row>
    <row r="852" customFormat="false" ht="15" hidden="false" customHeight="true" outlineLevel="0" collapsed="false">
      <c r="A852" s="20"/>
      <c r="B852" s="21"/>
      <c r="C852" s="19"/>
      <c r="D852" s="18"/>
      <c r="E852" s="17"/>
      <c r="F852" s="18"/>
      <c r="G852" s="18"/>
      <c r="H852" s="21"/>
      <c r="I852" s="19"/>
      <c r="J852" s="8" t="str">
        <f aca="false">IF(OR(E852="",F852=""),"",E852*F852)</f>
        <v/>
      </c>
      <c r="K852" s="22" t="str">
        <f aca="false">IF($M852="","",INDEX('Программа тренировок'!$G$6:$G$25,$M852))</f>
        <v/>
      </c>
      <c r="L852" s="23" t="str">
        <f aca="false">IF(OR($M852="",$F852="",$G852=""),"",IF($H852="Разминка","Разминка",IF($F852&lt;INDEX('Программа тренировок'!$E$6:$E$25,$M852),"Ниже диапазона",IF(AND($F852&gt;=INDEX('Программа тренировок'!$F$6:$F$25,$M852),$G852&gt;=INDEX('Программа тренировок'!$L$6:$L$25,$M852)),"Верх диапазона: пора добавлять вес",IF($G852&lt;INDEX('Программа тренировок'!$L$6:$L$25,$M852),"RIR ниже цели","В диапазоне")))))</f>
        <v/>
      </c>
      <c r="M852" s="23" t="str">
        <f aca="false">IF($C852="","",IFERROR(MATCH($C852,'Программа тренировок'!$C$6:$C$25,0),""))</f>
        <v/>
      </c>
    </row>
    <row r="853" customFormat="false" ht="15" hidden="false" customHeight="true" outlineLevel="0" collapsed="false">
      <c r="A853" s="20"/>
      <c r="B853" s="21"/>
      <c r="C853" s="19"/>
      <c r="D853" s="18"/>
      <c r="E853" s="17"/>
      <c r="F853" s="18"/>
      <c r="G853" s="18"/>
      <c r="H853" s="21"/>
      <c r="I853" s="19"/>
      <c r="J853" s="8" t="str">
        <f aca="false">IF(OR(E853="",F853=""),"",E853*F853)</f>
        <v/>
      </c>
      <c r="K853" s="22" t="str">
        <f aca="false">IF($M853="","",INDEX('Программа тренировок'!$G$6:$G$25,$M853))</f>
        <v/>
      </c>
      <c r="L853" s="23" t="str">
        <f aca="false">IF(OR($M853="",$F853="",$G853=""),"",IF($H853="Разминка","Разминка",IF($F853&lt;INDEX('Программа тренировок'!$E$6:$E$25,$M853),"Ниже диапазона",IF(AND($F853&gt;=INDEX('Программа тренировок'!$F$6:$F$25,$M853),$G853&gt;=INDEX('Программа тренировок'!$L$6:$L$25,$M853)),"Верх диапазона: пора добавлять вес",IF($G853&lt;INDEX('Программа тренировок'!$L$6:$L$25,$M853),"RIR ниже цели","В диапазоне")))))</f>
        <v/>
      </c>
      <c r="M853" s="23" t="str">
        <f aca="false">IF($C853="","",IFERROR(MATCH($C853,'Программа тренировок'!$C$6:$C$25,0),""))</f>
        <v/>
      </c>
    </row>
    <row r="854" customFormat="false" ht="15" hidden="false" customHeight="true" outlineLevel="0" collapsed="false">
      <c r="A854" s="20"/>
      <c r="B854" s="21"/>
      <c r="C854" s="19"/>
      <c r="D854" s="18"/>
      <c r="E854" s="17"/>
      <c r="F854" s="18"/>
      <c r="G854" s="18"/>
      <c r="H854" s="21"/>
      <c r="I854" s="19"/>
      <c r="J854" s="8" t="str">
        <f aca="false">IF(OR(E854="",F854=""),"",E854*F854)</f>
        <v/>
      </c>
      <c r="K854" s="22" t="str">
        <f aca="false">IF($M854="","",INDEX('Программа тренировок'!$G$6:$G$25,$M854))</f>
        <v/>
      </c>
      <c r="L854" s="23" t="str">
        <f aca="false">IF(OR($M854="",$F854="",$G854=""),"",IF($H854="Разминка","Разминка",IF($F854&lt;INDEX('Программа тренировок'!$E$6:$E$25,$M854),"Ниже диапазона",IF(AND($F854&gt;=INDEX('Программа тренировок'!$F$6:$F$25,$M854),$G854&gt;=INDEX('Программа тренировок'!$L$6:$L$25,$M854)),"Верх диапазона: пора добавлять вес",IF($G854&lt;INDEX('Программа тренировок'!$L$6:$L$25,$M854),"RIR ниже цели","В диапазоне")))))</f>
        <v/>
      </c>
      <c r="M854" s="23" t="str">
        <f aca="false">IF($C854="","",IFERROR(MATCH($C854,'Программа тренировок'!$C$6:$C$25,0),""))</f>
        <v/>
      </c>
    </row>
    <row r="855" customFormat="false" ht="15" hidden="false" customHeight="true" outlineLevel="0" collapsed="false">
      <c r="A855" s="20"/>
      <c r="B855" s="21"/>
      <c r="C855" s="19"/>
      <c r="D855" s="18"/>
      <c r="E855" s="17"/>
      <c r="F855" s="18"/>
      <c r="G855" s="18"/>
      <c r="H855" s="21"/>
      <c r="I855" s="19"/>
      <c r="J855" s="8" t="str">
        <f aca="false">IF(OR(E855="",F855=""),"",E855*F855)</f>
        <v/>
      </c>
      <c r="K855" s="22" t="str">
        <f aca="false">IF($M855="","",INDEX('Программа тренировок'!$G$6:$G$25,$M855))</f>
        <v/>
      </c>
      <c r="L855" s="23" t="str">
        <f aca="false">IF(OR($M855="",$F855="",$G855=""),"",IF($H855="Разминка","Разминка",IF($F855&lt;INDEX('Программа тренировок'!$E$6:$E$25,$M855),"Ниже диапазона",IF(AND($F855&gt;=INDEX('Программа тренировок'!$F$6:$F$25,$M855),$G855&gt;=INDEX('Программа тренировок'!$L$6:$L$25,$M855)),"Верх диапазона: пора добавлять вес",IF($G855&lt;INDEX('Программа тренировок'!$L$6:$L$25,$M855),"RIR ниже цели","В диапазоне")))))</f>
        <v/>
      </c>
      <c r="M855" s="23" t="str">
        <f aca="false">IF($C855="","",IFERROR(MATCH($C855,'Программа тренировок'!$C$6:$C$25,0),""))</f>
        <v/>
      </c>
    </row>
    <row r="856" customFormat="false" ht="15" hidden="false" customHeight="true" outlineLevel="0" collapsed="false">
      <c r="A856" s="20"/>
      <c r="B856" s="21"/>
      <c r="C856" s="19"/>
      <c r="D856" s="18"/>
      <c r="E856" s="17"/>
      <c r="F856" s="18"/>
      <c r="G856" s="18"/>
      <c r="H856" s="21"/>
      <c r="I856" s="19"/>
      <c r="J856" s="8" t="str">
        <f aca="false">IF(OR(E856="",F856=""),"",E856*F856)</f>
        <v/>
      </c>
      <c r="K856" s="22" t="str">
        <f aca="false">IF($M856="","",INDEX('Программа тренировок'!$G$6:$G$25,$M856))</f>
        <v/>
      </c>
      <c r="L856" s="23" t="str">
        <f aca="false">IF(OR($M856="",$F856="",$G856=""),"",IF($H856="Разминка","Разминка",IF($F856&lt;INDEX('Программа тренировок'!$E$6:$E$25,$M856),"Ниже диапазона",IF(AND($F856&gt;=INDEX('Программа тренировок'!$F$6:$F$25,$M856),$G856&gt;=INDEX('Программа тренировок'!$L$6:$L$25,$M856)),"Верх диапазона: пора добавлять вес",IF($G856&lt;INDEX('Программа тренировок'!$L$6:$L$25,$M856),"RIR ниже цели","В диапазоне")))))</f>
        <v/>
      </c>
      <c r="M856" s="23" t="str">
        <f aca="false">IF($C856="","",IFERROR(MATCH($C856,'Программа тренировок'!$C$6:$C$25,0),""))</f>
        <v/>
      </c>
    </row>
    <row r="857" customFormat="false" ht="15" hidden="false" customHeight="true" outlineLevel="0" collapsed="false">
      <c r="A857" s="20"/>
      <c r="B857" s="21"/>
      <c r="C857" s="19"/>
      <c r="D857" s="18"/>
      <c r="E857" s="17"/>
      <c r="F857" s="18"/>
      <c r="G857" s="18"/>
      <c r="H857" s="21"/>
      <c r="I857" s="19"/>
      <c r="J857" s="8" t="str">
        <f aca="false">IF(OR(E857="",F857=""),"",E857*F857)</f>
        <v/>
      </c>
      <c r="K857" s="22" t="str">
        <f aca="false">IF($M857="","",INDEX('Программа тренировок'!$G$6:$G$25,$M857))</f>
        <v/>
      </c>
      <c r="L857" s="23" t="str">
        <f aca="false">IF(OR($M857="",$F857="",$G857=""),"",IF($H857="Разминка","Разминка",IF($F857&lt;INDEX('Программа тренировок'!$E$6:$E$25,$M857),"Ниже диапазона",IF(AND($F857&gt;=INDEX('Программа тренировок'!$F$6:$F$25,$M857),$G857&gt;=INDEX('Программа тренировок'!$L$6:$L$25,$M857)),"Верх диапазона: пора добавлять вес",IF($G857&lt;INDEX('Программа тренировок'!$L$6:$L$25,$M857),"RIR ниже цели","В диапазоне")))))</f>
        <v/>
      </c>
      <c r="M857" s="23" t="str">
        <f aca="false">IF($C857="","",IFERROR(MATCH($C857,'Программа тренировок'!$C$6:$C$25,0),""))</f>
        <v/>
      </c>
    </row>
    <row r="858" customFormat="false" ht="15" hidden="false" customHeight="true" outlineLevel="0" collapsed="false">
      <c r="A858" s="20"/>
      <c r="B858" s="21"/>
      <c r="C858" s="19"/>
      <c r="D858" s="18"/>
      <c r="E858" s="17"/>
      <c r="F858" s="18"/>
      <c r="G858" s="18"/>
      <c r="H858" s="21"/>
      <c r="I858" s="19"/>
      <c r="J858" s="8" t="str">
        <f aca="false">IF(OR(E858="",F858=""),"",E858*F858)</f>
        <v/>
      </c>
      <c r="K858" s="22" t="str">
        <f aca="false">IF($M858="","",INDEX('Программа тренировок'!$G$6:$G$25,$M858))</f>
        <v/>
      </c>
      <c r="L858" s="23" t="str">
        <f aca="false">IF(OR($M858="",$F858="",$G858=""),"",IF($H858="Разминка","Разминка",IF($F858&lt;INDEX('Программа тренировок'!$E$6:$E$25,$M858),"Ниже диапазона",IF(AND($F858&gt;=INDEX('Программа тренировок'!$F$6:$F$25,$M858),$G858&gt;=INDEX('Программа тренировок'!$L$6:$L$25,$M858)),"Верх диапазона: пора добавлять вес",IF($G858&lt;INDEX('Программа тренировок'!$L$6:$L$25,$M858),"RIR ниже цели","В диапазоне")))))</f>
        <v/>
      </c>
      <c r="M858" s="23" t="str">
        <f aca="false">IF($C858="","",IFERROR(MATCH($C858,'Программа тренировок'!$C$6:$C$25,0),""))</f>
        <v/>
      </c>
    </row>
    <row r="859" customFormat="false" ht="15" hidden="false" customHeight="true" outlineLevel="0" collapsed="false">
      <c r="A859" s="20"/>
      <c r="B859" s="21"/>
      <c r="C859" s="19"/>
      <c r="D859" s="18"/>
      <c r="E859" s="17"/>
      <c r="F859" s="18"/>
      <c r="G859" s="18"/>
      <c r="H859" s="21"/>
      <c r="I859" s="19"/>
      <c r="J859" s="8" t="str">
        <f aca="false">IF(OR(E859="",F859=""),"",E859*F859)</f>
        <v/>
      </c>
      <c r="K859" s="22" t="str">
        <f aca="false">IF($M859="","",INDEX('Программа тренировок'!$G$6:$G$25,$M859))</f>
        <v/>
      </c>
      <c r="L859" s="23" t="str">
        <f aca="false">IF(OR($M859="",$F859="",$G859=""),"",IF($H859="Разминка","Разминка",IF($F859&lt;INDEX('Программа тренировок'!$E$6:$E$25,$M859),"Ниже диапазона",IF(AND($F859&gt;=INDEX('Программа тренировок'!$F$6:$F$25,$M859),$G859&gt;=INDEX('Программа тренировок'!$L$6:$L$25,$M859)),"Верх диапазона: пора добавлять вес",IF($G859&lt;INDEX('Программа тренировок'!$L$6:$L$25,$M859),"RIR ниже цели","В диапазоне")))))</f>
        <v/>
      </c>
      <c r="M859" s="23" t="str">
        <f aca="false">IF($C859="","",IFERROR(MATCH($C859,'Программа тренировок'!$C$6:$C$25,0),""))</f>
        <v/>
      </c>
    </row>
    <row r="860" customFormat="false" ht="15" hidden="false" customHeight="true" outlineLevel="0" collapsed="false">
      <c r="A860" s="20"/>
      <c r="B860" s="21"/>
      <c r="C860" s="19"/>
      <c r="D860" s="18"/>
      <c r="E860" s="17"/>
      <c r="F860" s="18"/>
      <c r="G860" s="18"/>
      <c r="H860" s="21"/>
      <c r="I860" s="19"/>
      <c r="J860" s="8" t="str">
        <f aca="false">IF(OR(E860="",F860=""),"",E860*F860)</f>
        <v/>
      </c>
      <c r="K860" s="22" t="str">
        <f aca="false">IF($M860="","",INDEX('Программа тренировок'!$G$6:$G$25,$M860))</f>
        <v/>
      </c>
      <c r="L860" s="23" t="str">
        <f aca="false">IF(OR($M860="",$F860="",$G860=""),"",IF($H860="Разминка","Разминка",IF($F860&lt;INDEX('Программа тренировок'!$E$6:$E$25,$M860),"Ниже диапазона",IF(AND($F860&gt;=INDEX('Программа тренировок'!$F$6:$F$25,$M860),$G860&gt;=INDEX('Программа тренировок'!$L$6:$L$25,$M860)),"Верх диапазона: пора добавлять вес",IF($G860&lt;INDEX('Программа тренировок'!$L$6:$L$25,$M860),"RIR ниже цели","В диапазоне")))))</f>
        <v/>
      </c>
      <c r="M860" s="23" t="str">
        <f aca="false">IF($C860="","",IFERROR(MATCH($C860,'Программа тренировок'!$C$6:$C$25,0),""))</f>
        <v/>
      </c>
    </row>
    <row r="861" customFormat="false" ht="15" hidden="false" customHeight="true" outlineLevel="0" collapsed="false">
      <c r="A861" s="20"/>
      <c r="B861" s="21"/>
      <c r="C861" s="19"/>
      <c r="D861" s="18"/>
      <c r="E861" s="17"/>
      <c r="F861" s="18"/>
      <c r="G861" s="18"/>
      <c r="H861" s="21"/>
      <c r="I861" s="19"/>
      <c r="J861" s="8" t="str">
        <f aca="false">IF(OR(E861="",F861=""),"",E861*F861)</f>
        <v/>
      </c>
      <c r="K861" s="22" t="str">
        <f aca="false">IF($M861="","",INDEX('Программа тренировок'!$G$6:$G$25,$M861))</f>
        <v/>
      </c>
      <c r="L861" s="23" t="str">
        <f aca="false">IF(OR($M861="",$F861="",$G861=""),"",IF($H861="Разминка","Разминка",IF($F861&lt;INDEX('Программа тренировок'!$E$6:$E$25,$M861),"Ниже диапазона",IF(AND($F861&gt;=INDEX('Программа тренировок'!$F$6:$F$25,$M861),$G861&gt;=INDEX('Программа тренировок'!$L$6:$L$25,$M861)),"Верх диапазона: пора добавлять вес",IF($G861&lt;INDEX('Программа тренировок'!$L$6:$L$25,$M861),"RIR ниже цели","В диапазоне")))))</f>
        <v/>
      </c>
      <c r="M861" s="23" t="str">
        <f aca="false">IF($C861="","",IFERROR(MATCH($C861,'Программа тренировок'!$C$6:$C$25,0),""))</f>
        <v/>
      </c>
    </row>
    <row r="862" customFormat="false" ht="15" hidden="false" customHeight="true" outlineLevel="0" collapsed="false">
      <c r="A862" s="20"/>
      <c r="B862" s="21"/>
      <c r="C862" s="19"/>
      <c r="D862" s="18"/>
      <c r="E862" s="17"/>
      <c r="F862" s="18"/>
      <c r="G862" s="18"/>
      <c r="H862" s="21"/>
      <c r="I862" s="19"/>
      <c r="J862" s="8" t="str">
        <f aca="false">IF(OR(E862="",F862=""),"",E862*F862)</f>
        <v/>
      </c>
      <c r="K862" s="22" t="str">
        <f aca="false">IF($M862="","",INDEX('Программа тренировок'!$G$6:$G$25,$M862))</f>
        <v/>
      </c>
      <c r="L862" s="23" t="str">
        <f aca="false">IF(OR($M862="",$F862="",$G862=""),"",IF($H862="Разминка","Разминка",IF($F862&lt;INDEX('Программа тренировок'!$E$6:$E$25,$M862),"Ниже диапазона",IF(AND($F862&gt;=INDEX('Программа тренировок'!$F$6:$F$25,$M862),$G862&gt;=INDEX('Программа тренировок'!$L$6:$L$25,$M862)),"Верх диапазона: пора добавлять вес",IF($G862&lt;INDEX('Программа тренировок'!$L$6:$L$25,$M862),"RIR ниже цели","В диапазоне")))))</f>
        <v/>
      </c>
      <c r="M862" s="23" t="str">
        <f aca="false">IF($C862="","",IFERROR(MATCH($C862,'Программа тренировок'!$C$6:$C$25,0),""))</f>
        <v/>
      </c>
    </row>
    <row r="863" customFormat="false" ht="15" hidden="false" customHeight="true" outlineLevel="0" collapsed="false">
      <c r="A863" s="20"/>
      <c r="B863" s="21"/>
      <c r="C863" s="19"/>
      <c r="D863" s="18"/>
      <c r="E863" s="17"/>
      <c r="F863" s="18"/>
      <c r="G863" s="18"/>
      <c r="H863" s="21"/>
      <c r="I863" s="19"/>
      <c r="J863" s="8" t="str">
        <f aca="false">IF(OR(E863="",F863=""),"",E863*F863)</f>
        <v/>
      </c>
      <c r="K863" s="22" t="str">
        <f aca="false">IF($M863="","",INDEX('Программа тренировок'!$G$6:$G$25,$M863))</f>
        <v/>
      </c>
      <c r="L863" s="23" t="str">
        <f aca="false">IF(OR($M863="",$F863="",$G863=""),"",IF($H863="Разминка","Разминка",IF($F863&lt;INDEX('Программа тренировок'!$E$6:$E$25,$M863),"Ниже диапазона",IF(AND($F863&gt;=INDEX('Программа тренировок'!$F$6:$F$25,$M863),$G863&gt;=INDEX('Программа тренировок'!$L$6:$L$25,$M863)),"Верх диапазона: пора добавлять вес",IF($G863&lt;INDEX('Программа тренировок'!$L$6:$L$25,$M863),"RIR ниже цели","В диапазоне")))))</f>
        <v/>
      </c>
      <c r="M863" s="23" t="str">
        <f aca="false">IF($C863="","",IFERROR(MATCH($C863,'Программа тренировок'!$C$6:$C$25,0),""))</f>
        <v/>
      </c>
    </row>
    <row r="864" customFormat="false" ht="15" hidden="false" customHeight="true" outlineLevel="0" collapsed="false">
      <c r="A864" s="20"/>
      <c r="B864" s="21"/>
      <c r="C864" s="19"/>
      <c r="D864" s="18"/>
      <c r="E864" s="17"/>
      <c r="F864" s="18"/>
      <c r="G864" s="18"/>
      <c r="H864" s="21"/>
      <c r="I864" s="19"/>
      <c r="J864" s="8" t="str">
        <f aca="false">IF(OR(E864="",F864=""),"",E864*F864)</f>
        <v/>
      </c>
      <c r="K864" s="22" t="str">
        <f aca="false">IF($M864="","",INDEX('Программа тренировок'!$G$6:$G$25,$M864))</f>
        <v/>
      </c>
      <c r="L864" s="23" t="str">
        <f aca="false">IF(OR($M864="",$F864="",$G864=""),"",IF($H864="Разминка","Разминка",IF($F864&lt;INDEX('Программа тренировок'!$E$6:$E$25,$M864),"Ниже диапазона",IF(AND($F864&gt;=INDEX('Программа тренировок'!$F$6:$F$25,$M864),$G864&gt;=INDEX('Программа тренировок'!$L$6:$L$25,$M864)),"Верх диапазона: пора добавлять вес",IF($G864&lt;INDEX('Программа тренировок'!$L$6:$L$25,$M864),"RIR ниже цели","В диапазоне")))))</f>
        <v/>
      </c>
      <c r="M864" s="23" t="str">
        <f aca="false">IF($C864="","",IFERROR(MATCH($C864,'Программа тренировок'!$C$6:$C$25,0),""))</f>
        <v/>
      </c>
    </row>
    <row r="865" customFormat="false" ht="15" hidden="false" customHeight="true" outlineLevel="0" collapsed="false">
      <c r="A865" s="20"/>
      <c r="B865" s="21"/>
      <c r="C865" s="19"/>
      <c r="D865" s="18"/>
      <c r="E865" s="17"/>
      <c r="F865" s="18"/>
      <c r="G865" s="18"/>
      <c r="H865" s="21"/>
      <c r="I865" s="19"/>
      <c r="J865" s="8" t="str">
        <f aca="false">IF(OR(E865="",F865=""),"",E865*F865)</f>
        <v/>
      </c>
      <c r="K865" s="22" t="str">
        <f aca="false">IF($M865="","",INDEX('Программа тренировок'!$G$6:$G$25,$M865))</f>
        <v/>
      </c>
      <c r="L865" s="23" t="str">
        <f aca="false">IF(OR($M865="",$F865="",$G865=""),"",IF($H865="Разминка","Разминка",IF($F865&lt;INDEX('Программа тренировок'!$E$6:$E$25,$M865),"Ниже диапазона",IF(AND($F865&gt;=INDEX('Программа тренировок'!$F$6:$F$25,$M865),$G865&gt;=INDEX('Программа тренировок'!$L$6:$L$25,$M865)),"Верх диапазона: пора добавлять вес",IF($G865&lt;INDEX('Программа тренировок'!$L$6:$L$25,$M865),"RIR ниже цели","В диапазоне")))))</f>
        <v/>
      </c>
      <c r="M865" s="23" t="str">
        <f aca="false">IF($C865="","",IFERROR(MATCH($C865,'Программа тренировок'!$C$6:$C$25,0),""))</f>
        <v/>
      </c>
    </row>
    <row r="866" customFormat="false" ht="15" hidden="false" customHeight="true" outlineLevel="0" collapsed="false">
      <c r="A866" s="20"/>
      <c r="B866" s="21"/>
      <c r="C866" s="19"/>
      <c r="D866" s="18"/>
      <c r="E866" s="17"/>
      <c r="F866" s="18"/>
      <c r="G866" s="18"/>
      <c r="H866" s="21"/>
      <c r="I866" s="19"/>
      <c r="J866" s="8" t="str">
        <f aca="false">IF(OR(E866="",F866=""),"",E866*F866)</f>
        <v/>
      </c>
      <c r="K866" s="22" t="str">
        <f aca="false">IF($M866="","",INDEX('Программа тренировок'!$G$6:$G$25,$M866))</f>
        <v/>
      </c>
      <c r="L866" s="23" t="str">
        <f aca="false">IF(OR($M866="",$F866="",$G866=""),"",IF($H866="Разминка","Разминка",IF($F866&lt;INDEX('Программа тренировок'!$E$6:$E$25,$M866),"Ниже диапазона",IF(AND($F866&gt;=INDEX('Программа тренировок'!$F$6:$F$25,$M866),$G866&gt;=INDEX('Программа тренировок'!$L$6:$L$25,$M866)),"Верх диапазона: пора добавлять вес",IF($G866&lt;INDEX('Программа тренировок'!$L$6:$L$25,$M866),"RIR ниже цели","В диапазоне")))))</f>
        <v/>
      </c>
      <c r="M866" s="23" t="str">
        <f aca="false">IF($C866="","",IFERROR(MATCH($C866,'Программа тренировок'!$C$6:$C$25,0),""))</f>
        <v/>
      </c>
    </row>
    <row r="867" customFormat="false" ht="15" hidden="false" customHeight="true" outlineLevel="0" collapsed="false">
      <c r="A867" s="20"/>
      <c r="B867" s="21"/>
      <c r="C867" s="19"/>
      <c r="D867" s="18"/>
      <c r="E867" s="17"/>
      <c r="F867" s="18"/>
      <c r="G867" s="18"/>
      <c r="H867" s="21"/>
      <c r="I867" s="19"/>
      <c r="J867" s="8" t="str">
        <f aca="false">IF(OR(E867="",F867=""),"",E867*F867)</f>
        <v/>
      </c>
      <c r="K867" s="22" t="str">
        <f aca="false">IF($M867="","",INDEX('Программа тренировок'!$G$6:$G$25,$M867))</f>
        <v/>
      </c>
      <c r="L867" s="23" t="str">
        <f aca="false">IF(OR($M867="",$F867="",$G867=""),"",IF($H867="Разминка","Разминка",IF($F867&lt;INDEX('Программа тренировок'!$E$6:$E$25,$M867),"Ниже диапазона",IF(AND($F867&gt;=INDEX('Программа тренировок'!$F$6:$F$25,$M867),$G867&gt;=INDEX('Программа тренировок'!$L$6:$L$25,$M867)),"Верх диапазона: пора добавлять вес",IF($G867&lt;INDEX('Программа тренировок'!$L$6:$L$25,$M867),"RIR ниже цели","В диапазоне")))))</f>
        <v/>
      </c>
      <c r="M867" s="23" t="str">
        <f aca="false">IF($C867="","",IFERROR(MATCH($C867,'Программа тренировок'!$C$6:$C$25,0),""))</f>
        <v/>
      </c>
    </row>
    <row r="868" customFormat="false" ht="15" hidden="false" customHeight="true" outlineLevel="0" collapsed="false">
      <c r="A868" s="20"/>
      <c r="B868" s="21"/>
      <c r="C868" s="19"/>
      <c r="D868" s="18"/>
      <c r="E868" s="17"/>
      <c r="F868" s="18"/>
      <c r="G868" s="18"/>
      <c r="H868" s="21"/>
      <c r="I868" s="19"/>
      <c r="J868" s="8" t="str">
        <f aca="false">IF(OR(E868="",F868=""),"",E868*F868)</f>
        <v/>
      </c>
      <c r="K868" s="22" t="str">
        <f aca="false">IF($M868="","",INDEX('Программа тренировок'!$G$6:$G$25,$M868))</f>
        <v/>
      </c>
      <c r="L868" s="23" t="str">
        <f aca="false">IF(OR($M868="",$F868="",$G868=""),"",IF($H868="Разминка","Разминка",IF($F868&lt;INDEX('Программа тренировок'!$E$6:$E$25,$M868),"Ниже диапазона",IF(AND($F868&gt;=INDEX('Программа тренировок'!$F$6:$F$25,$M868),$G868&gt;=INDEX('Программа тренировок'!$L$6:$L$25,$M868)),"Верх диапазона: пора добавлять вес",IF($G868&lt;INDEX('Программа тренировок'!$L$6:$L$25,$M868),"RIR ниже цели","В диапазоне")))))</f>
        <v/>
      </c>
      <c r="M868" s="23" t="str">
        <f aca="false">IF($C868="","",IFERROR(MATCH($C868,'Программа тренировок'!$C$6:$C$25,0),""))</f>
        <v/>
      </c>
    </row>
    <row r="869" customFormat="false" ht="15" hidden="false" customHeight="true" outlineLevel="0" collapsed="false">
      <c r="A869" s="20"/>
      <c r="B869" s="21"/>
      <c r="C869" s="19"/>
      <c r="D869" s="18"/>
      <c r="E869" s="17"/>
      <c r="F869" s="18"/>
      <c r="G869" s="18"/>
      <c r="H869" s="21"/>
      <c r="I869" s="19"/>
      <c r="J869" s="8" t="str">
        <f aca="false">IF(OR(E869="",F869=""),"",E869*F869)</f>
        <v/>
      </c>
      <c r="K869" s="22" t="str">
        <f aca="false">IF($M869="","",INDEX('Программа тренировок'!$G$6:$G$25,$M869))</f>
        <v/>
      </c>
      <c r="L869" s="23" t="str">
        <f aca="false">IF(OR($M869="",$F869="",$G869=""),"",IF($H869="Разминка","Разминка",IF($F869&lt;INDEX('Программа тренировок'!$E$6:$E$25,$M869),"Ниже диапазона",IF(AND($F869&gt;=INDEX('Программа тренировок'!$F$6:$F$25,$M869),$G869&gt;=INDEX('Программа тренировок'!$L$6:$L$25,$M869)),"Верх диапазона: пора добавлять вес",IF($G869&lt;INDEX('Программа тренировок'!$L$6:$L$25,$M869),"RIR ниже цели","В диапазоне")))))</f>
        <v/>
      </c>
      <c r="M869" s="23" t="str">
        <f aca="false">IF($C869="","",IFERROR(MATCH($C869,'Программа тренировок'!$C$6:$C$25,0),""))</f>
        <v/>
      </c>
    </row>
    <row r="870" customFormat="false" ht="15" hidden="false" customHeight="true" outlineLevel="0" collapsed="false">
      <c r="A870" s="20"/>
      <c r="B870" s="21"/>
      <c r="C870" s="19"/>
      <c r="D870" s="18"/>
      <c r="E870" s="17"/>
      <c r="F870" s="18"/>
      <c r="G870" s="18"/>
      <c r="H870" s="21"/>
      <c r="I870" s="19"/>
      <c r="J870" s="8" t="str">
        <f aca="false">IF(OR(E870="",F870=""),"",E870*F870)</f>
        <v/>
      </c>
      <c r="K870" s="22" t="str">
        <f aca="false">IF($M870="","",INDEX('Программа тренировок'!$G$6:$G$25,$M870))</f>
        <v/>
      </c>
      <c r="L870" s="23" t="str">
        <f aca="false">IF(OR($M870="",$F870="",$G870=""),"",IF($H870="Разминка","Разминка",IF($F870&lt;INDEX('Программа тренировок'!$E$6:$E$25,$M870),"Ниже диапазона",IF(AND($F870&gt;=INDEX('Программа тренировок'!$F$6:$F$25,$M870),$G870&gt;=INDEX('Программа тренировок'!$L$6:$L$25,$M870)),"Верх диапазона: пора добавлять вес",IF($G870&lt;INDEX('Программа тренировок'!$L$6:$L$25,$M870),"RIR ниже цели","В диапазоне")))))</f>
        <v/>
      </c>
      <c r="M870" s="23" t="str">
        <f aca="false">IF($C870="","",IFERROR(MATCH($C870,'Программа тренировок'!$C$6:$C$25,0),""))</f>
        <v/>
      </c>
    </row>
    <row r="871" customFormat="false" ht="15" hidden="false" customHeight="true" outlineLevel="0" collapsed="false">
      <c r="A871" s="20"/>
      <c r="B871" s="21"/>
      <c r="C871" s="19"/>
      <c r="D871" s="18"/>
      <c r="E871" s="17"/>
      <c r="F871" s="18"/>
      <c r="G871" s="18"/>
      <c r="H871" s="21"/>
      <c r="I871" s="19"/>
      <c r="J871" s="8" t="str">
        <f aca="false">IF(OR(E871="",F871=""),"",E871*F871)</f>
        <v/>
      </c>
      <c r="K871" s="22" t="str">
        <f aca="false">IF($M871="","",INDEX('Программа тренировок'!$G$6:$G$25,$M871))</f>
        <v/>
      </c>
      <c r="L871" s="23" t="str">
        <f aca="false">IF(OR($M871="",$F871="",$G871=""),"",IF($H871="Разминка","Разминка",IF($F871&lt;INDEX('Программа тренировок'!$E$6:$E$25,$M871),"Ниже диапазона",IF(AND($F871&gt;=INDEX('Программа тренировок'!$F$6:$F$25,$M871),$G871&gt;=INDEX('Программа тренировок'!$L$6:$L$25,$M871)),"Верх диапазона: пора добавлять вес",IF($G871&lt;INDEX('Программа тренировок'!$L$6:$L$25,$M871),"RIR ниже цели","В диапазоне")))))</f>
        <v/>
      </c>
      <c r="M871" s="23" t="str">
        <f aca="false">IF($C871="","",IFERROR(MATCH($C871,'Программа тренировок'!$C$6:$C$25,0),""))</f>
        <v/>
      </c>
    </row>
    <row r="872" customFormat="false" ht="15" hidden="false" customHeight="true" outlineLevel="0" collapsed="false">
      <c r="A872" s="20"/>
      <c r="B872" s="21"/>
      <c r="C872" s="19"/>
      <c r="D872" s="18"/>
      <c r="E872" s="17"/>
      <c r="F872" s="18"/>
      <c r="G872" s="18"/>
      <c r="H872" s="21"/>
      <c r="I872" s="19"/>
      <c r="J872" s="8" t="str">
        <f aca="false">IF(OR(E872="",F872=""),"",E872*F872)</f>
        <v/>
      </c>
      <c r="K872" s="22" t="str">
        <f aca="false">IF($M872="","",INDEX('Программа тренировок'!$G$6:$G$25,$M872))</f>
        <v/>
      </c>
      <c r="L872" s="23" t="str">
        <f aca="false">IF(OR($M872="",$F872="",$G872=""),"",IF($H872="Разминка","Разминка",IF($F872&lt;INDEX('Программа тренировок'!$E$6:$E$25,$M872),"Ниже диапазона",IF(AND($F872&gt;=INDEX('Программа тренировок'!$F$6:$F$25,$M872),$G872&gt;=INDEX('Программа тренировок'!$L$6:$L$25,$M872)),"Верх диапазона: пора добавлять вес",IF($G872&lt;INDEX('Программа тренировок'!$L$6:$L$25,$M872),"RIR ниже цели","В диапазоне")))))</f>
        <v/>
      </c>
      <c r="M872" s="23" t="str">
        <f aca="false">IF($C872="","",IFERROR(MATCH($C872,'Программа тренировок'!$C$6:$C$25,0),""))</f>
        <v/>
      </c>
    </row>
    <row r="873" customFormat="false" ht="15" hidden="false" customHeight="true" outlineLevel="0" collapsed="false">
      <c r="A873" s="20"/>
      <c r="B873" s="21"/>
      <c r="C873" s="19"/>
      <c r="D873" s="18"/>
      <c r="E873" s="17"/>
      <c r="F873" s="18"/>
      <c r="G873" s="18"/>
      <c r="H873" s="21"/>
      <c r="I873" s="19"/>
      <c r="J873" s="8" t="str">
        <f aca="false">IF(OR(E873="",F873=""),"",E873*F873)</f>
        <v/>
      </c>
      <c r="K873" s="22" t="str">
        <f aca="false">IF($M873="","",INDEX('Программа тренировок'!$G$6:$G$25,$M873))</f>
        <v/>
      </c>
      <c r="L873" s="23" t="str">
        <f aca="false">IF(OR($M873="",$F873="",$G873=""),"",IF($H873="Разминка","Разминка",IF($F873&lt;INDEX('Программа тренировок'!$E$6:$E$25,$M873),"Ниже диапазона",IF(AND($F873&gt;=INDEX('Программа тренировок'!$F$6:$F$25,$M873),$G873&gt;=INDEX('Программа тренировок'!$L$6:$L$25,$M873)),"Верх диапазона: пора добавлять вес",IF($G873&lt;INDEX('Программа тренировок'!$L$6:$L$25,$M873),"RIR ниже цели","В диапазоне")))))</f>
        <v/>
      </c>
      <c r="M873" s="23" t="str">
        <f aca="false">IF($C873="","",IFERROR(MATCH($C873,'Программа тренировок'!$C$6:$C$25,0),""))</f>
        <v/>
      </c>
    </row>
    <row r="874" customFormat="false" ht="15" hidden="false" customHeight="true" outlineLevel="0" collapsed="false">
      <c r="A874" s="20"/>
      <c r="B874" s="21"/>
      <c r="C874" s="19"/>
      <c r="D874" s="18"/>
      <c r="E874" s="17"/>
      <c r="F874" s="18"/>
      <c r="G874" s="18"/>
      <c r="H874" s="21"/>
      <c r="I874" s="19"/>
      <c r="J874" s="8" t="str">
        <f aca="false">IF(OR(E874="",F874=""),"",E874*F874)</f>
        <v/>
      </c>
      <c r="K874" s="22" t="str">
        <f aca="false">IF($M874="","",INDEX('Программа тренировок'!$G$6:$G$25,$M874))</f>
        <v/>
      </c>
      <c r="L874" s="23" t="str">
        <f aca="false">IF(OR($M874="",$F874="",$G874=""),"",IF($H874="Разминка","Разминка",IF($F874&lt;INDEX('Программа тренировок'!$E$6:$E$25,$M874),"Ниже диапазона",IF(AND($F874&gt;=INDEX('Программа тренировок'!$F$6:$F$25,$M874),$G874&gt;=INDEX('Программа тренировок'!$L$6:$L$25,$M874)),"Верх диапазона: пора добавлять вес",IF($G874&lt;INDEX('Программа тренировок'!$L$6:$L$25,$M874),"RIR ниже цели","В диапазоне")))))</f>
        <v/>
      </c>
      <c r="M874" s="23" t="str">
        <f aca="false">IF($C874="","",IFERROR(MATCH($C874,'Программа тренировок'!$C$6:$C$25,0),""))</f>
        <v/>
      </c>
    </row>
    <row r="875" customFormat="false" ht="15" hidden="false" customHeight="true" outlineLevel="0" collapsed="false">
      <c r="A875" s="20"/>
      <c r="B875" s="21"/>
      <c r="C875" s="19"/>
      <c r="D875" s="18"/>
      <c r="E875" s="17"/>
      <c r="F875" s="18"/>
      <c r="G875" s="18"/>
      <c r="H875" s="21"/>
      <c r="I875" s="19"/>
      <c r="J875" s="8" t="str">
        <f aca="false">IF(OR(E875="",F875=""),"",E875*F875)</f>
        <v/>
      </c>
      <c r="K875" s="22" t="str">
        <f aca="false">IF($M875="","",INDEX('Программа тренировок'!$G$6:$G$25,$M875))</f>
        <v/>
      </c>
      <c r="L875" s="23" t="str">
        <f aca="false">IF(OR($M875="",$F875="",$G875=""),"",IF($H875="Разминка","Разминка",IF($F875&lt;INDEX('Программа тренировок'!$E$6:$E$25,$M875),"Ниже диапазона",IF(AND($F875&gt;=INDEX('Программа тренировок'!$F$6:$F$25,$M875),$G875&gt;=INDEX('Программа тренировок'!$L$6:$L$25,$M875)),"Верх диапазона: пора добавлять вес",IF($G875&lt;INDEX('Программа тренировок'!$L$6:$L$25,$M875),"RIR ниже цели","В диапазоне")))))</f>
        <v/>
      </c>
      <c r="M875" s="23" t="str">
        <f aca="false">IF($C875="","",IFERROR(MATCH($C875,'Программа тренировок'!$C$6:$C$25,0),""))</f>
        <v/>
      </c>
    </row>
    <row r="876" customFormat="false" ht="15" hidden="false" customHeight="true" outlineLevel="0" collapsed="false">
      <c r="A876" s="20"/>
      <c r="B876" s="21"/>
      <c r="C876" s="19"/>
      <c r="D876" s="18"/>
      <c r="E876" s="17"/>
      <c r="F876" s="18"/>
      <c r="G876" s="18"/>
      <c r="H876" s="21"/>
      <c r="I876" s="19"/>
      <c r="J876" s="8" t="str">
        <f aca="false">IF(OR(E876="",F876=""),"",E876*F876)</f>
        <v/>
      </c>
      <c r="K876" s="22" t="str">
        <f aca="false">IF($M876="","",INDEX('Программа тренировок'!$G$6:$G$25,$M876))</f>
        <v/>
      </c>
      <c r="L876" s="23" t="str">
        <f aca="false">IF(OR($M876="",$F876="",$G876=""),"",IF($H876="Разминка","Разминка",IF($F876&lt;INDEX('Программа тренировок'!$E$6:$E$25,$M876),"Ниже диапазона",IF(AND($F876&gt;=INDEX('Программа тренировок'!$F$6:$F$25,$M876),$G876&gt;=INDEX('Программа тренировок'!$L$6:$L$25,$M876)),"Верх диапазона: пора добавлять вес",IF($G876&lt;INDEX('Программа тренировок'!$L$6:$L$25,$M876),"RIR ниже цели","В диапазоне")))))</f>
        <v/>
      </c>
      <c r="M876" s="23" t="str">
        <f aca="false">IF($C876="","",IFERROR(MATCH($C876,'Программа тренировок'!$C$6:$C$25,0),""))</f>
        <v/>
      </c>
    </row>
    <row r="877" customFormat="false" ht="15" hidden="false" customHeight="true" outlineLevel="0" collapsed="false">
      <c r="A877" s="20"/>
      <c r="B877" s="21"/>
      <c r="C877" s="19"/>
      <c r="D877" s="18"/>
      <c r="E877" s="17"/>
      <c r="F877" s="18"/>
      <c r="G877" s="18"/>
      <c r="H877" s="21"/>
      <c r="I877" s="19"/>
      <c r="J877" s="8" t="str">
        <f aca="false">IF(OR(E877="",F877=""),"",E877*F877)</f>
        <v/>
      </c>
      <c r="K877" s="22" t="str">
        <f aca="false">IF($M877="","",INDEX('Программа тренировок'!$G$6:$G$25,$M877))</f>
        <v/>
      </c>
      <c r="L877" s="23" t="str">
        <f aca="false">IF(OR($M877="",$F877="",$G877=""),"",IF($H877="Разминка","Разминка",IF($F877&lt;INDEX('Программа тренировок'!$E$6:$E$25,$M877),"Ниже диапазона",IF(AND($F877&gt;=INDEX('Программа тренировок'!$F$6:$F$25,$M877),$G877&gt;=INDEX('Программа тренировок'!$L$6:$L$25,$M877)),"Верх диапазона: пора добавлять вес",IF($G877&lt;INDEX('Программа тренировок'!$L$6:$L$25,$M877),"RIR ниже цели","В диапазоне")))))</f>
        <v/>
      </c>
      <c r="M877" s="23" t="str">
        <f aca="false">IF($C877="","",IFERROR(MATCH($C877,'Программа тренировок'!$C$6:$C$25,0),""))</f>
        <v/>
      </c>
    </row>
    <row r="878" customFormat="false" ht="15" hidden="false" customHeight="true" outlineLevel="0" collapsed="false">
      <c r="A878" s="20"/>
      <c r="B878" s="21"/>
      <c r="C878" s="19"/>
      <c r="D878" s="18"/>
      <c r="E878" s="17"/>
      <c r="F878" s="18"/>
      <c r="G878" s="18"/>
      <c r="H878" s="21"/>
      <c r="I878" s="19"/>
      <c r="J878" s="8" t="str">
        <f aca="false">IF(OR(E878="",F878=""),"",E878*F878)</f>
        <v/>
      </c>
      <c r="K878" s="22" t="str">
        <f aca="false">IF($M878="","",INDEX('Программа тренировок'!$G$6:$G$25,$M878))</f>
        <v/>
      </c>
      <c r="L878" s="23" t="str">
        <f aca="false">IF(OR($M878="",$F878="",$G878=""),"",IF($H878="Разминка","Разминка",IF($F878&lt;INDEX('Программа тренировок'!$E$6:$E$25,$M878),"Ниже диапазона",IF(AND($F878&gt;=INDEX('Программа тренировок'!$F$6:$F$25,$M878),$G878&gt;=INDEX('Программа тренировок'!$L$6:$L$25,$M878)),"Верх диапазона: пора добавлять вес",IF($G878&lt;INDEX('Программа тренировок'!$L$6:$L$25,$M878),"RIR ниже цели","В диапазоне")))))</f>
        <v/>
      </c>
      <c r="M878" s="23" t="str">
        <f aca="false">IF($C878="","",IFERROR(MATCH($C878,'Программа тренировок'!$C$6:$C$25,0),""))</f>
        <v/>
      </c>
    </row>
    <row r="879" customFormat="false" ht="15" hidden="false" customHeight="true" outlineLevel="0" collapsed="false">
      <c r="A879" s="20"/>
      <c r="B879" s="21"/>
      <c r="C879" s="19"/>
      <c r="D879" s="18"/>
      <c r="E879" s="17"/>
      <c r="F879" s="18"/>
      <c r="G879" s="18"/>
      <c r="H879" s="21"/>
      <c r="I879" s="19"/>
      <c r="J879" s="8" t="str">
        <f aca="false">IF(OR(E879="",F879=""),"",E879*F879)</f>
        <v/>
      </c>
      <c r="K879" s="22" t="str">
        <f aca="false">IF($M879="","",INDEX('Программа тренировок'!$G$6:$G$25,$M879))</f>
        <v/>
      </c>
      <c r="L879" s="23" t="str">
        <f aca="false">IF(OR($M879="",$F879="",$G879=""),"",IF($H879="Разминка","Разминка",IF($F879&lt;INDEX('Программа тренировок'!$E$6:$E$25,$M879),"Ниже диапазона",IF(AND($F879&gt;=INDEX('Программа тренировок'!$F$6:$F$25,$M879),$G879&gt;=INDEX('Программа тренировок'!$L$6:$L$25,$M879)),"Верх диапазона: пора добавлять вес",IF($G879&lt;INDEX('Программа тренировок'!$L$6:$L$25,$M879),"RIR ниже цели","В диапазоне")))))</f>
        <v/>
      </c>
      <c r="M879" s="23" t="str">
        <f aca="false">IF($C879="","",IFERROR(MATCH($C879,'Программа тренировок'!$C$6:$C$25,0),""))</f>
        <v/>
      </c>
    </row>
    <row r="880" customFormat="false" ht="15" hidden="false" customHeight="true" outlineLevel="0" collapsed="false">
      <c r="A880" s="20"/>
      <c r="B880" s="21"/>
      <c r="C880" s="19"/>
      <c r="D880" s="18"/>
      <c r="E880" s="17"/>
      <c r="F880" s="18"/>
      <c r="G880" s="18"/>
      <c r="H880" s="21"/>
      <c r="I880" s="19"/>
      <c r="J880" s="8" t="str">
        <f aca="false">IF(OR(E880="",F880=""),"",E880*F880)</f>
        <v/>
      </c>
      <c r="K880" s="22" t="str">
        <f aca="false">IF($M880="","",INDEX('Программа тренировок'!$G$6:$G$25,$M880))</f>
        <v/>
      </c>
      <c r="L880" s="23" t="str">
        <f aca="false">IF(OR($M880="",$F880="",$G880=""),"",IF($H880="Разминка","Разминка",IF($F880&lt;INDEX('Программа тренировок'!$E$6:$E$25,$M880),"Ниже диапазона",IF(AND($F880&gt;=INDEX('Программа тренировок'!$F$6:$F$25,$M880),$G880&gt;=INDEX('Программа тренировок'!$L$6:$L$25,$M880)),"Верх диапазона: пора добавлять вес",IF($G880&lt;INDEX('Программа тренировок'!$L$6:$L$25,$M880),"RIR ниже цели","В диапазоне")))))</f>
        <v/>
      </c>
      <c r="M880" s="23" t="str">
        <f aca="false">IF($C880="","",IFERROR(MATCH($C880,'Программа тренировок'!$C$6:$C$25,0),""))</f>
        <v/>
      </c>
    </row>
    <row r="881" customFormat="false" ht="15" hidden="false" customHeight="true" outlineLevel="0" collapsed="false">
      <c r="A881" s="20"/>
      <c r="B881" s="21"/>
      <c r="C881" s="19"/>
      <c r="D881" s="18"/>
      <c r="E881" s="17"/>
      <c r="F881" s="18"/>
      <c r="G881" s="18"/>
      <c r="H881" s="21"/>
      <c r="I881" s="19"/>
      <c r="J881" s="8" t="str">
        <f aca="false">IF(OR(E881="",F881=""),"",E881*F881)</f>
        <v/>
      </c>
      <c r="K881" s="22" t="str">
        <f aca="false">IF($M881="","",INDEX('Программа тренировок'!$G$6:$G$25,$M881))</f>
        <v/>
      </c>
      <c r="L881" s="23" t="str">
        <f aca="false">IF(OR($M881="",$F881="",$G881=""),"",IF($H881="Разминка","Разминка",IF($F881&lt;INDEX('Программа тренировок'!$E$6:$E$25,$M881),"Ниже диапазона",IF(AND($F881&gt;=INDEX('Программа тренировок'!$F$6:$F$25,$M881),$G881&gt;=INDEX('Программа тренировок'!$L$6:$L$25,$M881)),"Верх диапазона: пора добавлять вес",IF($G881&lt;INDEX('Программа тренировок'!$L$6:$L$25,$M881),"RIR ниже цели","В диапазоне")))))</f>
        <v/>
      </c>
      <c r="M881" s="23" t="str">
        <f aca="false">IF($C881="","",IFERROR(MATCH($C881,'Программа тренировок'!$C$6:$C$25,0),""))</f>
        <v/>
      </c>
    </row>
    <row r="882" customFormat="false" ht="15" hidden="false" customHeight="true" outlineLevel="0" collapsed="false">
      <c r="A882" s="20"/>
      <c r="B882" s="21"/>
      <c r="C882" s="19"/>
      <c r="D882" s="18"/>
      <c r="E882" s="17"/>
      <c r="F882" s="18"/>
      <c r="G882" s="18"/>
      <c r="H882" s="21"/>
      <c r="I882" s="19"/>
      <c r="J882" s="8" t="str">
        <f aca="false">IF(OR(E882="",F882=""),"",E882*F882)</f>
        <v/>
      </c>
      <c r="K882" s="22" t="str">
        <f aca="false">IF($M882="","",INDEX('Программа тренировок'!$G$6:$G$25,$M882))</f>
        <v/>
      </c>
      <c r="L882" s="23" t="str">
        <f aca="false">IF(OR($M882="",$F882="",$G882=""),"",IF($H882="Разминка","Разминка",IF($F882&lt;INDEX('Программа тренировок'!$E$6:$E$25,$M882),"Ниже диапазона",IF(AND($F882&gt;=INDEX('Программа тренировок'!$F$6:$F$25,$M882),$G882&gt;=INDEX('Программа тренировок'!$L$6:$L$25,$M882)),"Верх диапазона: пора добавлять вес",IF($G882&lt;INDEX('Программа тренировок'!$L$6:$L$25,$M882),"RIR ниже цели","В диапазоне")))))</f>
        <v/>
      </c>
      <c r="M882" s="23" t="str">
        <f aca="false">IF($C882="","",IFERROR(MATCH($C882,'Программа тренировок'!$C$6:$C$25,0),""))</f>
        <v/>
      </c>
    </row>
    <row r="883" customFormat="false" ht="15" hidden="false" customHeight="true" outlineLevel="0" collapsed="false">
      <c r="A883" s="20"/>
      <c r="B883" s="21"/>
      <c r="C883" s="19"/>
      <c r="D883" s="18"/>
      <c r="E883" s="17"/>
      <c r="F883" s="18"/>
      <c r="G883" s="18"/>
      <c r="H883" s="21"/>
      <c r="I883" s="19"/>
      <c r="J883" s="8" t="str">
        <f aca="false">IF(OR(E883="",F883=""),"",E883*F883)</f>
        <v/>
      </c>
      <c r="K883" s="22" t="str">
        <f aca="false">IF($M883="","",INDEX('Программа тренировок'!$G$6:$G$25,$M883))</f>
        <v/>
      </c>
      <c r="L883" s="23" t="str">
        <f aca="false">IF(OR($M883="",$F883="",$G883=""),"",IF($H883="Разминка","Разминка",IF($F883&lt;INDEX('Программа тренировок'!$E$6:$E$25,$M883),"Ниже диапазона",IF(AND($F883&gt;=INDEX('Программа тренировок'!$F$6:$F$25,$M883),$G883&gt;=INDEX('Программа тренировок'!$L$6:$L$25,$M883)),"Верх диапазона: пора добавлять вес",IF($G883&lt;INDEX('Программа тренировок'!$L$6:$L$25,$M883),"RIR ниже цели","В диапазоне")))))</f>
        <v/>
      </c>
      <c r="M883" s="23" t="str">
        <f aca="false">IF($C883="","",IFERROR(MATCH($C883,'Программа тренировок'!$C$6:$C$25,0),""))</f>
        <v/>
      </c>
    </row>
    <row r="884" customFormat="false" ht="15" hidden="false" customHeight="true" outlineLevel="0" collapsed="false">
      <c r="A884" s="20"/>
      <c r="B884" s="21"/>
      <c r="C884" s="19"/>
      <c r="D884" s="18"/>
      <c r="E884" s="17"/>
      <c r="F884" s="18"/>
      <c r="G884" s="18"/>
      <c r="H884" s="21"/>
      <c r="I884" s="19"/>
      <c r="J884" s="8" t="str">
        <f aca="false">IF(OR(E884="",F884=""),"",E884*F884)</f>
        <v/>
      </c>
      <c r="K884" s="22" t="str">
        <f aca="false">IF($M884="","",INDEX('Программа тренировок'!$G$6:$G$25,$M884))</f>
        <v/>
      </c>
      <c r="L884" s="23" t="str">
        <f aca="false">IF(OR($M884="",$F884="",$G884=""),"",IF($H884="Разминка","Разминка",IF($F884&lt;INDEX('Программа тренировок'!$E$6:$E$25,$M884),"Ниже диапазона",IF(AND($F884&gt;=INDEX('Программа тренировок'!$F$6:$F$25,$M884),$G884&gt;=INDEX('Программа тренировок'!$L$6:$L$25,$M884)),"Верх диапазона: пора добавлять вес",IF($G884&lt;INDEX('Программа тренировок'!$L$6:$L$25,$M884),"RIR ниже цели","В диапазоне")))))</f>
        <v/>
      </c>
      <c r="M884" s="23" t="str">
        <f aca="false">IF($C884="","",IFERROR(MATCH($C884,'Программа тренировок'!$C$6:$C$25,0),""))</f>
        <v/>
      </c>
    </row>
    <row r="885" customFormat="false" ht="15" hidden="false" customHeight="true" outlineLevel="0" collapsed="false">
      <c r="A885" s="20"/>
      <c r="B885" s="21"/>
      <c r="C885" s="19"/>
      <c r="D885" s="18"/>
      <c r="E885" s="17"/>
      <c r="F885" s="18"/>
      <c r="G885" s="18"/>
      <c r="H885" s="21"/>
      <c r="I885" s="19"/>
      <c r="J885" s="8" t="str">
        <f aca="false">IF(OR(E885="",F885=""),"",E885*F885)</f>
        <v/>
      </c>
      <c r="K885" s="22" t="str">
        <f aca="false">IF($M885="","",INDEX('Программа тренировок'!$G$6:$G$25,$M885))</f>
        <v/>
      </c>
      <c r="L885" s="23" t="str">
        <f aca="false">IF(OR($M885="",$F885="",$G885=""),"",IF($H885="Разминка","Разминка",IF($F885&lt;INDEX('Программа тренировок'!$E$6:$E$25,$M885),"Ниже диапазона",IF(AND($F885&gt;=INDEX('Программа тренировок'!$F$6:$F$25,$M885),$G885&gt;=INDEX('Программа тренировок'!$L$6:$L$25,$M885)),"Верх диапазона: пора добавлять вес",IF($G885&lt;INDEX('Программа тренировок'!$L$6:$L$25,$M885),"RIR ниже цели","В диапазоне")))))</f>
        <v/>
      </c>
      <c r="M885" s="23" t="str">
        <f aca="false">IF($C885="","",IFERROR(MATCH($C885,'Программа тренировок'!$C$6:$C$25,0),""))</f>
        <v/>
      </c>
    </row>
    <row r="886" customFormat="false" ht="15" hidden="false" customHeight="true" outlineLevel="0" collapsed="false">
      <c r="A886" s="20"/>
      <c r="B886" s="21"/>
      <c r="C886" s="19"/>
      <c r="D886" s="18"/>
      <c r="E886" s="17"/>
      <c r="F886" s="18"/>
      <c r="G886" s="18"/>
      <c r="H886" s="21"/>
      <c r="I886" s="19"/>
      <c r="J886" s="8" t="str">
        <f aca="false">IF(OR(E886="",F886=""),"",E886*F886)</f>
        <v/>
      </c>
      <c r="K886" s="22" t="str">
        <f aca="false">IF($M886="","",INDEX('Программа тренировок'!$G$6:$G$25,$M886))</f>
        <v/>
      </c>
      <c r="L886" s="23" t="str">
        <f aca="false">IF(OR($M886="",$F886="",$G886=""),"",IF($H886="Разминка","Разминка",IF($F886&lt;INDEX('Программа тренировок'!$E$6:$E$25,$M886),"Ниже диапазона",IF(AND($F886&gt;=INDEX('Программа тренировок'!$F$6:$F$25,$M886),$G886&gt;=INDEX('Программа тренировок'!$L$6:$L$25,$M886)),"Верх диапазона: пора добавлять вес",IF($G886&lt;INDEX('Программа тренировок'!$L$6:$L$25,$M886),"RIR ниже цели","В диапазоне")))))</f>
        <v/>
      </c>
      <c r="M886" s="23" t="str">
        <f aca="false">IF($C886="","",IFERROR(MATCH($C886,'Программа тренировок'!$C$6:$C$25,0),""))</f>
        <v/>
      </c>
    </row>
    <row r="887" customFormat="false" ht="15" hidden="false" customHeight="true" outlineLevel="0" collapsed="false">
      <c r="A887" s="20"/>
      <c r="B887" s="21"/>
      <c r="C887" s="19"/>
      <c r="D887" s="18"/>
      <c r="E887" s="17"/>
      <c r="F887" s="18"/>
      <c r="G887" s="18"/>
      <c r="H887" s="21"/>
      <c r="I887" s="19"/>
      <c r="J887" s="8" t="str">
        <f aca="false">IF(OR(E887="",F887=""),"",E887*F887)</f>
        <v/>
      </c>
      <c r="K887" s="22" t="str">
        <f aca="false">IF($M887="","",INDEX('Программа тренировок'!$G$6:$G$25,$M887))</f>
        <v/>
      </c>
      <c r="L887" s="23" t="str">
        <f aca="false">IF(OR($M887="",$F887="",$G887=""),"",IF($H887="Разминка","Разминка",IF($F887&lt;INDEX('Программа тренировок'!$E$6:$E$25,$M887),"Ниже диапазона",IF(AND($F887&gt;=INDEX('Программа тренировок'!$F$6:$F$25,$M887),$G887&gt;=INDEX('Программа тренировок'!$L$6:$L$25,$M887)),"Верх диапазона: пора добавлять вес",IF($G887&lt;INDEX('Программа тренировок'!$L$6:$L$25,$M887),"RIR ниже цели","В диапазоне")))))</f>
        <v/>
      </c>
      <c r="M887" s="23" t="str">
        <f aca="false">IF($C887="","",IFERROR(MATCH($C887,'Программа тренировок'!$C$6:$C$25,0),""))</f>
        <v/>
      </c>
    </row>
    <row r="888" customFormat="false" ht="15" hidden="false" customHeight="true" outlineLevel="0" collapsed="false">
      <c r="A888" s="20"/>
      <c r="B888" s="21"/>
      <c r="C888" s="19"/>
      <c r="D888" s="18"/>
      <c r="E888" s="17"/>
      <c r="F888" s="18"/>
      <c r="G888" s="18"/>
      <c r="H888" s="21"/>
      <c r="I888" s="19"/>
      <c r="J888" s="8" t="str">
        <f aca="false">IF(OR(E888="",F888=""),"",E888*F888)</f>
        <v/>
      </c>
      <c r="K888" s="22" t="str">
        <f aca="false">IF($M888="","",INDEX('Программа тренировок'!$G$6:$G$25,$M888))</f>
        <v/>
      </c>
      <c r="L888" s="23" t="str">
        <f aca="false">IF(OR($M888="",$F888="",$G888=""),"",IF($H888="Разминка","Разминка",IF($F888&lt;INDEX('Программа тренировок'!$E$6:$E$25,$M888),"Ниже диапазона",IF(AND($F888&gt;=INDEX('Программа тренировок'!$F$6:$F$25,$M888),$G888&gt;=INDEX('Программа тренировок'!$L$6:$L$25,$M888)),"Верх диапазона: пора добавлять вес",IF($G888&lt;INDEX('Программа тренировок'!$L$6:$L$25,$M888),"RIR ниже цели","В диапазоне")))))</f>
        <v/>
      </c>
      <c r="M888" s="23" t="str">
        <f aca="false">IF($C888="","",IFERROR(MATCH($C888,'Программа тренировок'!$C$6:$C$25,0),""))</f>
        <v/>
      </c>
    </row>
    <row r="889" customFormat="false" ht="15" hidden="false" customHeight="true" outlineLevel="0" collapsed="false">
      <c r="A889" s="20"/>
      <c r="B889" s="21"/>
      <c r="C889" s="19"/>
      <c r="D889" s="18"/>
      <c r="E889" s="17"/>
      <c r="F889" s="18"/>
      <c r="G889" s="18"/>
      <c r="H889" s="21"/>
      <c r="I889" s="19"/>
      <c r="J889" s="8" t="str">
        <f aca="false">IF(OR(E889="",F889=""),"",E889*F889)</f>
        <v/>
      </c>
      <c r="K889" s="22" t="str">
        <f aca="false">IF($M889="","",INDEX('Программа тренировок'!$G$6:$G$25,$M889))</f>
        <v/>
      </c>
      <c r="L889" s="23" t="str">
        <f aca="false">IF(OR($M889="",$F889="",$G889=""),"",IF($H889="Разминка","Разминка",IF($F889&lt;INDEX('Программа тренировок'!$E$6:$E$25,$M889),"Ниже диапазона",IF(AND($F889&gt;=INDEX('Программа тренировок'!$F$6:$F$25,$M889),$G889&gt;=INDEX('Программа тренировок'!$L$6:$L$25,$M889)),"Верх диапазона: пора добавлять вес",IF($G889&lt;INDEX('Программа тренировок'!$L$6:$L$25,$M889),"RIR ниже цели","В диапазоне")))))</f>
        <v/>
      </c>
      <c r="M889" s="23" t="str">
        <f aca="false">IF($C889="","",IFERROR(MATCH($C889,'Программа тренировок'!$C$6:$C$25,0),""))</f>
        <v/>
      </c>
    </row>
    <row r="890" customFormat="false" ht="15" hidden="false" customHeight="true" outlineLevel="0" collapsed="false">
      <c r="A890" s="20"/>
      <c r="B890" s="21"/>
      <c r="C890" s="19"/>
      <c r="D890" s="18"/>
      <c r="E890" s="17"/>
      <c r="F890" s="18"/>
      <c r="G890" s="18"/>
      <c r="H890" s="21"/>
      <c r="I890" s="19"/>
      <c r="J890" s="8" t="str">
        <f aca="false">IF(OR(E890="",F890=""),"",E890*F890)</f>
        <v/>
      </c>
      <c r="K890" s="22" t="str">
        <f aca="false">IF($M890="","",INDEX('Программа тренировок'!$G$6:$G$25,$M890))</f>
        <v/>
      </c>
      <c r="L890" s="23" t="str">
        <f aca="false">IF(OR($M890="",$F890="",$G890=""),"",IF($H890="Разминка","Разминка",IF($F890&lt;INDEX('Программа тренировок'!$E$6:$E$25,$M890),"Ниже диапазона",IF(AND($F890&gt;=INDEX('Программа тренировок'!$F$6:$F$25,$M890),$G890&gt;=INDEX('Программа тренировок'!$L$6:$L$25,$M890)),"Верх диапазона: пора добавлять вес",IF($G890&lt;INDEX('Программа тренировок'!$L$6:$L$25,$M890),"RIR ниже цели","В диапазоне")))))</f>
        <v/>
      </c>
      <c r="M890" s="23" t="str">
        <f aca="false">IF($C890="","",IFERROR(MATCH($C890,'Программа тренировок'!$C$6:$C$25,0),""))</f>
        <v/>
      </c>
    </row>
    <row r="891" customFormat="false" ht="15" hidden="false" customHeight="true" outlineLevel="0" collapsed="false">
      <c r="A891" s="20"/>
      <c r="B891" s="21"/>
      <c r="C891" s="19"/>
      <c r="D891" s="18"/>
      <c r="E891" s="17"/>
      <c r="F891" s="18"/>
      <c r="G891" s="18"/>
      <c r="H891" s="21"/>
      <c r="I891" s="19"/>
      <c r="J891" s="8" t="str">
        <f aca="false">IF(OR(E891="",F891=""),"",E891*F891)</f>
        <v/>
      </c>
      <c r="K891" s="22" t="str">
        <f aca="false">IF($M891="","",INDEX('Программа тренировок'!$G$6:$G$25,$M891))</f>
        <v/>
      </c>
      <c r="L891" s="23" t="str">
        <f aca="false">IF(OR($M891="",$F891="",$G891=""),"",IF($H891="Разминка","Разминка",IF($F891&lt;INDEX('Программа тренировок'!$E$6:$E$25,$M891),"Ниже диапазона",IF(AND($F891&gt;=INDEX('Программа тренировок'!$F$6:$F$25,$M891),$G891&gt;=INDEX('Программа тренировок'!$L$6:$L$25,$M891)),"Верх диапазона: пора добавлять вес",IF($G891&lt;INDEX('Программа тренировок'!$L$6:$L$25,$M891),"RIR ниже цели","В диапазоне")))))</f>
        <v/>
      </c>
      <c r="M891" s="23" t="str">
        <f aca="false">IF($C891="","",IFERROR(MATCH($C891,'Программа тренировок'!$C$6:$C$25,0),""))</f>
        <v/>
      </c>
    </row>
    <row r="892" customFormat="false" ht="15" hidden="false" customHeight="true" outlineLevel="0" collapsed="false">
      <c r="A892" s="20"/>
      <c r="B892" s="21"/>
      <c r="C892" s="19"/>
      <c r="D892" s="18"/>
      <c r="E892" s="17"/>
      <c r="F892" s="18"/>
      <c r="G892" s="18"/>
      <c r="H892" s="21"/>
      <c r="I892" s="19"/>
      <c r="J892" s="8" t="str">
        <f aca="false">IF(OR(E892="",F892=""),"",E892*F892)</f>
        <v/>
      </c>
      <c r="K892" s="22" t="str">
        <f aca="false">IF($M892="","",INDEX('Программа тренировок'!$G$6:$G$25,$M892))</f>
        <v/>
      </c>
      <c r="L892" s="23" t="str">
        <f aca="false">IF(OR($M892="",$F892="",$G892=""),"",IF($H892="Разминка","Разминка",IF($F892&lt;INDEX('Программа тренировок'!$E$6:$E$25,$M892),"Ниже диапазона",IF(AND($F892&gt;=INDEX('Программа тренировок'!$F$6:$F$25,$M892),$G892&gt;=INDEX('Программа тренировок'!$L$6:$L$25,$M892)),"Верх диапазона: пора добавлять вес",IF($G892&lt;INDEX('Программа тренировок'!$L$6:$L$25,$M892),"RIR ниже цели","В диапазоне")))))</f>
        <v/>
      </c>
      <c r="M892" s="23" t="str">
        <f aca="false">IF($C892="","",IFERROR(MATCH($C892,'Программа тренировок'!$C$6:$C$25,0),""))</f>
        <v/>
      </c>
    </row>
    <row r="893" customFormat="false" ht="15" hidden="false" customHeight="true" outlineLevel="0" collapsed="false">
      <c r="A893" s="20"/>
      <c r="B893" s="21"/>
      <c r="C893" s="19"/>
      <c r="D893" s="18"/>
      <c r="E893" s="17"/>
      <c r="F893" s="18"/>
      <c r="G893" s="18"/>
      <c r="H893" s="21"/>
      <c r="I893" s="19"/>
      <c r="J893" s="8" t="str">
        <f aca="false">IF(OR(E893="",F893=""),"",E893*F893)</f>
        <v/>
      </c>
      <c r="K893" s="22" t="str">
        <f aca="false">IF($M893="","",INDEX('Программа тренировок'!$G$6:$G$25,$M893))</f>
        <v/>
      </c>
      <c r="L893" s="23" t="str">
        <f aca="false">IF(OR($M893="",$F893="",$G893=""),"",IF($H893="Разминка","Разминка",IF($F893&lt;INDEX('Программа тренировок'!$E$6:$E$25,$M893),"Ниже диапазона",IF(AND($F893&gt;=INDEX('Программа тренировок'!$F$6:$F$25,$M893),$G893&gt;=INDEX('Программа тренировок'!$L$6:$L$25,$M893)),"Верх диапазона: пора добавлять вес",IF($G893&lt;INDEX('Программа тренировок'!$L$6:$L$25,$M893),"RIR ниже цели","В диапазоне")))))</f>
        <v/>
      </c>
      <c r="M893" s="23" t="str">
        <f aca="false">IF($C893="","",IFERROR(MATCH($C893,'Программа тренировок'!$C$6:$C$25,0),""))</f>
        <v/>
      </c>
    </row>
    <row r="894" customFormat="false" ht="15" hidden="false" customHeight="true" outlineLevel="0" collapsed="false">
      <c r="A894" s="20"/>
      <c r="B894" s="21"/>
      <c r="C894" s="19"/>
      <c r="D894" s="18"/>
      <c r="E894" s="17"/>
      <c r="F894" s="18"/>
      <c r="G894" s="18"/>
      <c r="H894" s="21"/>
      <c r="I894" s="19"/>
      <c r="J894" s="8" t="str">
        <f aca="false">IF(OR(E894="",F894=""),"",E894*F894)</f>
        <v/>
      </c>
      <c r="K894" s="22" t="str">
        <f aca="false">IF($M894="","",INDEX('Программа тренировок'!$G$6:$G$25,$M894))</f>
        <v/>
      </c>
      <c r="L894" s="23" t="str">
        <f aca="false">IF(OR($M894="",$F894="",$G894=""),"",IF($H894="Разминка","Разминка",IF($F894&lt;INDEX('Программа тренировок'!$E$6:$E$25,$M894),"Ниже диапазона",IF(AND($F894&gt;=INDEX('Программа тренировок'!$F$6:$F$25,$M894),$G894&gt;=INDEX('Программа тренировок'!$L$6:$L$25,$M894)),"Верх диапазона: пора добавлять вес",IF($G894&lt;INDEX('Программа тренировок'!$L$6:$L$25,$M894),"RIR ниже цели","В диапазоне")))))</f>
        <v/>
      </c>
      <c r="M894" s="23" t="str">
        <f aca="false">IF($C894="","",IFERROR(MATCH($C894,'Программа тренировок'!$C$6:$C$25,0),""))</f>
        <v/>
      </c>
    </row>
    <row r="895" customFormat="false" ht="15" hidden="false" customHeight="true" outlineLevel="0" collapsed="false">
      <c r="A895" s="20"/>
      <c r="B895" s="21"/>
      <c r="C895" s="19"/>
      <c r="D895" s="18"/>
      <c r="E895" s="17"/>
      <c r="F895" s="18"/>
      <c r="G895" s="18"/>
      <c r="H895" s="21"/>
      <c r="I895" s="19"/>
      <c r="J895" s="8" t="str">
        <f aca="false">IF(OR(E895="",F895=""),"",E895*F895)</f>
        <v/>
      </c>
      <c r="K895" s="22" t="str">
        <f aca="false">IF($M895="","",INDEX('Программа тренировок'!$G$6:$G$25,$M895))</f>
        <v/>
      </c>
      <c r="L895" s="23" t="str">
        <f aca="false">IF(OR($M895="",$F895="",$G895=""),"",IF($H895="Разминка","Разминка",IF($F895&lt;INDEX('Программа тренировок'!$E$6:$E$25,$M895),"Ниже диапазона",IF(AND($F895&gt;=INDEX('Программа тренировок'!$F$6:$F$25,$M895),$G895&gt;=INDEX('Программа тренировок'!$L$6:$L$25,$M895)),"Верх диапазона: пора добавлять вес",IF($G895&lt;INDEX('Программа тренировок'!$L$6:$L$25,$M895),"RIR ниже цели","В диапазоне")))))</f>
        <v/>
      </c>
      <c r="M895" s="23" t="str">
        <f aca="false">IF($C895="","",IFERROR(MATCH($C895,'Программа тренировок'!$C$6:$C$25,0),""))</f>
        <v/>
      </c>
    </row>
    <row r="896" customFormat="false" ht="15" hidden="false" customHeight="true" outlineLevel="0" collapsed="false">
      <c r="A896" s="20"/>
      <c r="B896" s="21"/>
      <c r="C896" s="19"/>
      <c r="D896" s="18"/>
      <c r="E896" s="17"/>
      <c r="F896" s="18"/>
      <c r="G896" s="18"/>
      <c r="H896" s="21"/>
      <c r="I896" s="19"/>
      <c r="J896" s="8" t="str">
        <f aca="false">IF(OR(E896="",F896=""),"",E896*F896)</f>
        <v/>
      </c>
      <c r="K896" s="22" t="str">
        <f aca="false">IF($M896="","",INDEX('Программа тренировок'!$G$6:$G$25,$M896))</f>
        <v/>
      </c>
      <c r="L896" s="23" t="str">
        <f aca="false">IF(OR($M896="",$F896="",$G896=""),"",IF($H896="Разминка","Разминка",IF($F896&lt;INDEX('Программа тренировок'!$E$6:$E$25,$M896),"Ниже диапазона",IF(AND($F896&gt;=INDEX('Программа тренировок'!$F$6:$F$25,$M896),$G896&gt;=INDEX('Программа тренировок'!$L$6:$L$25,$M896)),"Верх диапазона: пора добавлять вес",IF($G896&lt;INDEX('Программа тренировок'!$L$6:$L$25,$M896),"RIR ниже цели","В диапазоне")))))</f>
        <v/>
      </c>
      <c r="M896" s="23" t="str">
        <f aca="false">IF($C896="","",IFERROR(MATCH($C896,'Программа тренировок'!$C$6:$C$25,0),""))</f>
        <v/>
      </c>
    </row>
    <row r="897" customFormat="false" ht="15" hidden="false" customHeight="true" outlineLevel="0" collapsed="false">
      <c r="A897" s="20"/>
      <c r="B897" s="21"/>
      <c r="C897" s="19"/>
      <c r="D897" s="18"/>
      <c r="E897" s="17"/>
      <c r="F897" s="18"/>
      <c r="G897" s="18"/>
      <c r="H897" s="21"/>
      <c r="I897" s="19"/>
      <c r="J897" s="8" t="str">
        <f aca="false">IF(OR(E897="",F897=""),"",E897*F897)</f>
        <v/>
      </c>
      <c r="K897" s="22" t="str">
        <f aca="false">IF($M897="","",INDEX('Программа тренировок'!$G$6:$G$25,$M897))</f>
        <v/>
      </c>
      <c r="L897" s="23" t="str">
        <f aca="false">IF(OR($M897="",$F897="",$G897=""),"",IF($H897="Разминка","Разминка",IF($F897&lt;INDEX('Программа тренировок'!$E$6:$E$25,$M897),"Ниже диапазона",IF(AND($F897&gt;=INDEX('Программа тренировок'!$F$6:$F$25,$M897),$G897&gt;=INDEX('Программа тренировок'!$L$6:$L$25,$M897)),"Верх диапазона: пора добавлять вес",IF($G897&lt;INDEX('Программа тренировок'!$L$6:$L$25,$M897),"RIR ниже цели","В диапазоне")))))</f>
        <v/>
      </c>
      <c r="M897" s="23" t="str">
        <f aca="false">IF($C897="","",IFERROR(MATCH($C897,'Программа тренировок'!$C$6:$C$25,0),""))</f>
        <v/>
      </c>
    </row>
    <row r="898" customFormat="false" ht="15" hidden="false" customHeight="true" outlineLevel="0" collapsed="false">
      <c r="A898" s="20"/>
      <c r="B898" s="21"/>
      <c r="C898" s="19"/>
      <c r="D898" s="18"/>
      <c r="E898" s="17"/>
      <c r="F898" s="18"/>
      <c r="G898" s="18"/>
      <c r="H898" s="21"/>
      <c r="I898" s="19"/>
      <c r="J898" s="8" t="str">
        <f aca="false">IF(OR(E898="",F898=""),"",E898*F898)</f>
        <v/>
      </c>
      <c r="K898" s="22" t="str">
        <f aca="false">IF($M898="","",INDEX('Программа тренировок'!$G$6:$G$25,$M898))</f>
        <v/>
      </c>
      <c r="L898" s="23" t="str">
        <f aca="false">IF(OR($M898="",$F898="",$G898=""),"",IF($H898="Разминка","Разминка",IF($F898&lt;INDEX('Программа тренировок'!$E$6:$E$25,$M898),"Ниже диапазона",IF(AND($F898&gt;=INDEX('Программа тренировок'!$F$6:$F$25,$M898),$G898&gt;=INDEX('Программа тренировок'!$L$6:$L$25,$M898)),"Верх диапазона: пора добавлять вес",IF($G898&lt;INDEX('Программа тренировок'!$L$6:$L$25,$M898),"RIR ниже цели","В диапазоне")))))</f>
        <v/>
      </c>
      <c r="M898" s="23" t="str">
        <f aca="false">IF($C898="","",IFERROR(MATCH($C898,'Программа тренировок'!$C$6:$C$25,0),""))</f>
        <v/>
      </c>
    </row>
    <row r="899" customFormat="false" ht="15" hidden="false" customHeight="true" outlineLevel="0" collapsed="false">
      <c r="A899" s="20"/>
      <c r="B899" s="21"/>
      <c r="C899" s="19"/>
      <c r="D899" s="18"/>
      <c r="E899" s="17"/>
      <c r="F899" s="18"/>
      <c r="G899" s="18"/>
      <c r="H899" s="21"/>
      <c r="I899" s="19"/>
      <c r="J899" s="8" t="str">
        <f aca="false">IF(OR(E899="",F899=""),"",E899*F899)</f>
        <v/>
      </c>
      <c r="K899" s="22" t="str">
        <f aca="false">IF($M899="","",INDEX('Программа тренировок'!$G$6:$G$25,$M899))</f>
        <v/>
      </c>
      <c r="L899" s="23" t="str">
        <f aca="false">IF(OR($M899="",$F899="",$G899=""),"",IF($H899="Разминка","Разминка",IF($F899&lt;INDEX('Программа тренировок'!$E$6:$E$25,$M899),"Ниже диапазона",IF(AND($F899&gt;=INDEX('Программа тренировок'!$F$6:$F$25,$M899),$G899&gt;=INDEX('Программа тренировок'!$L$6:$L$25,$M899)),"Верх диапазона: пора добавлять вес",IF($G899&lt;INDEX('Программа тренировок'!$L$6:$L$25,$M899),"RIR ниже цели","В диапазоне")))))</f>
        <v/>
      </c>
      <c r="M899" s="23" t="str">
        <f aca="false">IF($C899="","",IFERROR(MATCH($C899,'Программа тренировок'!$C$6:$C$25,0),""))</f>
        <v/>
      </c>
    </row>
    <row r="900" customFormat="false" ht="15" hidden="false" customHeight="true" outlineLevel="0" collapsed="false">
      <c r="A900" s="20"/>
      <c r="B900" s="21"/>
      <c r="C900" s="19"/>
      <c r="D900" s="18"/>
      <c r="E900" s="17"/>
      <c r="F900" s="18"/>
      <c r="G900" s="18"/>
      <c r="H900" s="21"/>
      <c r="I900" s="19"/>
      <c r="J900" s="8" t="str">
        <f aca="false">IF(OR(E900="",F900=""),"",E900*F900)</f>
        <v/>
      </c>
      <c r="K900" s="22" t="str">
        <f aca="false">IF($M900="","",INDEX('Программа тренировок'!$G$6:$G$25,$M900))</f>
        <v/>
      </c>
      <c r="L900" s="23" t="str">
        <f aca="false">IF(OR($M900="",$F900="",$G900=""),"",IF($H900="Разминка","Разминка",IF($F900&lt;INDEX('Программа тренировок'!$E$6:$E$25,$M900),"Ниже диапазона",IF(AND($F900&gt;=INDEX('Программа тренировок'!$F$6:$F$25,$M900),$G900&gt;=INDEX('Программа тренировок'!$L$6:$L$25,$M900)),"Верх диапазона: пора добавлять вес",IF($G900&lt;INDEX('Программа тренировок'!$L$6:$L$25,$M900),"RIR ниже цели","В диапазоне")))))</f>
        <v/>
      </c>
      <c r="M900" s="23" t="str">
        <f aca="false">IF($C900="","",IFERROR(MATCH($C900,'Программа тренировок'!$C$6:$C$25,0),""))</f>
        <v/>
      </c>
    </row>
    <row r="901" customFormat="false" ht="15" hidden="false" customHeight="true" outlineLevel="0" collapsed="false">
      <c r="A901" s="20"/>
      <c r="B901" s="21"/>
      <c r="C901" s="19"/>
      <c r="D901" s="18"/>
      <c r="E901" s="17"/>
      <c r="F901" s="18"/>
      <c r="G901" s="18"/>
      <c r="H901" s="21"/>
      <c r="I901" s="19"/>
      <c r="J901" s="8" t="str">
        <f aca="false">IF(OR(E901="",F901=""),"",E901*F901)</f>
        <v/>
      </c>
      <c r="K901" s="22" t="str">
        <f aca="false">IF($M901="","",INDEX('Программа тренировок'!$G$6:$G$25,$M901))</f>
        <v/>
      </c>
      <c r="L901" s="23" t="str">
        <f aca="false">IF(OR($M901="",$F901="",$G901=""),"",IF($H901="Разминка","Разминка",IF($F901&lt;INDEX('Программа тренировок'!$E$6:$E$25,$M901),"Ниже диапазона",IF(AND($F901&gt;=INDEX('Программа тренировок'!$F$6:$F$25,$M901),$G901&gt;=INDEX('Программа тренировок'!$L$6:$L$25,$M901)),"Верх диапазона: пора добавлять вес",IF($G901&lt;INDEX('Программа тренировок'!$L$6:$L$25,$M901),"RIR ниже цели","В диапазоне")))))</f>
        <v/>
      </c>
      <c r="M901" s="23" t="str">
        <f aca="false">IF($C901="","",IFERROR(MATCH($C901,'Программа тренировок'!$C$6:$C$25,0),""))</f>
        <v/>
      </c>
    </row>
    <row r="902" customFormat="false" ht="15" hidden="false" customHeight="true" outlineLevel="0" collapsed="false">
      <c r="A902" s="20"/>
      <c r="B902" s="21"/>
      <c r="C902" s="19"/>
      <c r="D902" s="18"/>
      <c r="E902" s="17"/>
      <c r="F902" s="18"/>
      <c r="G902" s="18"/>
      <c r="H902" s="21"/>
      <c r="I902" s="19"/>
      <c r="J902" s="8" t="str">
        <f aca="false">IF(OR(E902="",F902=""),"",E902*F902)</f>
        <v/>
      </c>
      <c r="K902" s="22" t="str">
        <f aca="false">IF($M902="","",INDEX('Программа тренировок'!$G$6:$G$25,$M902))</f>
        <v/>
      </c>
      <c r="L902" s="23" t="str">
        <f aca="false">IF(OR($M902="",$F902="",$G902=""),"",IF($H902="Разминка","Разминка",IF($F902&lt;INDEX('Программа тренировок'!$E$6:$E$25,$M902),"Ниже диапазона",IF(AND($F902&gt;=INDEX('Программа тренировок'!$F$6:$F$25,$M902),$G902&gt;=INDEX('Программа тренировок'!$L$6:$L$25,$M902)),"Верх диапазона: пора добавлять вес",IF($G902&lt;INDEX('Программа тренировок'!$L$6:$L$25,$M902),"RIR ниже цели","В диапазоне")))))</f>
        <v/>
      </c>
      <c r="M902" s="23" t="str">
        <f aca="false">IF($C902="","",IFERROR(MATCH($C902,'Программа тренировок'!$C$6:$C$25,0),""))</f>
        <v/>
      </c>
    </row>
    <row r="903" customFormat="false" ht="15" hidden="false" customHeight="true" outlineLevel="0" collapsed="false">
      <c r="A903" s="20"/>
      <c r="B903" s="21"/>
      <c r="C903" s="19"/>
      <c r="D903" s="18"/>
      <c r="E903" s="17"/>
      <c r="F903" s="18"/>
      <c r="G903" s="18"/>
      <c r="H903" s="21"/>
      <c r="I903" s="19"/>
      <c r="J903" s="8" t="str">
        <f aca="false">IF(OR(E903="",F903=""),"",E903*F903)</f>
        <v/>
      </c>
      <c r="K903" s="22" t="str">
        <f aca="false">IF($M903="","",INDEX('Программа тренировок'!$G$6:$G$25,$M903))</f>
        <v/>
      </c>
      <c r="L903" s="23" t="str">
        <f aca="false">IF(OR($M903="",$F903="",$G903=""),"",IF($H903="Разминка","Разминка",IF($F903&lt;INDEX('Программа тренировок'!$E$6:$E$25,$M903),"Ниже диапазона",IF(AND($F903&gt;=INDEX('Программа тренировок'!$F$6:$F$25,$M903),$G903&gt;=INDEX('Программа тренировок'!$L$6:$L$25,$M903)),"Верх диапазона: пора добавлять вес",IF($G903&lt;INDEX('Программа тренировок'!$L$6:$L$25,$M903),"RIR ниже цели","В диапазоне")))))</f>
        <v/>
      </c>
      <c r="M903" s="23" t="str">
        <f aca="false">IF($C903="","",IFERROR(MATCH($C903,'Программа тренировок'!$C$6:$C$25,0),""))</f>
        <v/>
      </c>
    </row>
    <row r="904" customFormat="false" ht="15" hidden="false" customHeight="true" outlineLevel="0" collapsed="false">
      <c r="A904" s="20"/>
      <c r="B904" s="21"/>
      <c r="C904" s="19"/>
      <c r="D904" s="18"/>
      <c r="E904" s="17"/>
      <c r="F904" s="18"/>
      <c r="G904" s="18"/>
      <c r="H904" s="21"/>
      <c r="I904" s="19"/>
      <c r="J904" s="8" t="str">
        <f aca="false">IF(OR(E904="",F904=""),"",E904*F904)</f>
        <v/>
      </c>
      <c r="K904" s="22" t="str">
        <f aca="false">IF($M904="","",INDEX('Программа тренировок'!$G$6:$G$25,$M904))</f>
        <v/>
      </c>
      <c r="L904" s="23" t="str">
        <f aca="false">IF(OR($M904="",$F904="",$G904=""),"",IF($H904="Разминка","Разминка",IF($F904&lt;INDEX('Программа тренировок'!$E$6:$E$25,$M904),"Ниже диапазона",IF(AND($F904&gt;=INDEX('Программа тренировок'!$F$6:$F$25,$M904),$G904&gt;=INDEX('Программа тренировок'!$L$6:$L$25,$M904)),"Верх диапазона: пора добавлять вес",IF($G904&lt;INDEX('Программа тренировок'!$L$6:$L$25,$M904),"RIR ниже цели","В диапазоне")))))</f>
        <v/>
      </c>
      <c r="M904" s="23" t="str">
        <f aca="false">IF($C904="","",IFERROR(MATCH($C904,'Программа тренировок'!$C$6:$C$25,0),""))</f>
        <v/>
      </c>
    </row>
    <row r="905" customFormat="false" ht="15" hidden="false" customHeight="true" outlineLevel="0" collapsed="false">
      <c r="A905" s="20"/>
      <c r="B905" s="21"/>
      <c r="C905" s="19"/>
      <c r="D905" s="18"/>
      <c r="E905" s="17"/>
      <c r="F905" s="18"/>
      <c r="G905" s="18"/>
      <c r="H905" s="21"/>
      <c r="I905" s="19"/>
      <c r="J905" s="8" t="str">
        <f aca="false">IF(OR(E905="",F905=""),"",E905*F905)</f>
        <v/>
      </c>
      <c r="K905" s="22" t="str">
        <f aca="false">IF($M905="","",INDEX('Программа тренировок'!$G$6:$G$25,$M905))</f>
        <v/>
      </c>
      <c r="L905" s="23" t="str">
        <f aca="false">IF(OR($M905="",$F905="",$G905=""),"",IF($H905="Разминка","Разминка",IF($F905&lt;INDEX('Программа тренировок'!$E$6:$E$25,$M905),"Ниже диапазона",IF(AND($F905&gt;=INDEX('Программа тренировок'!$F$6:$F$25,$M905),$G905&gt;=INDEX('Программа тренировок'!$L$6:$L$25,$M905)),"Верх диапазона: пора добавлять вес",IF($G905&lt;INDEX('Программа тренировок'!$L$6:$L$25,$M905),"RIR ниже цели","В диапазоне")))))</f>
        <v/>
      </c>
      <c r="M905" s="23" t="str">
        <f aca="false">IF($C905="","",IFERROR(MATCH($C905,'Программа тренировок'!$C$6:$C$25,0),""))</f>
        <v/>
      </c>
    </row>
    <row r="906" customFormat="false" ht="15" hidden="false" customHeight="true" outlineLevel="0" collapsed="false">
      <c r="A906" s="20"/>
      <c r="B906" s="21"/>
      <c r="C906" s="19"/>
      <c r="D906" s="18"/>
      <c r="E906" s="17"/>
      <c r="F906" s="18"/>
      <c r="G906" s="18"/>
      <c r="H906" s="21"/>
      <c r="I906" s="19"/>
      <c r="J906" s="8" t="str">
        <f aca="false">IF(OR(E906="",F906=""),"",E906*F906)</f>
        <v/>
      </c>
      <c r="K906" s="22" t="str">
        <f aca="false">IF($M906="","",INDEX('Программа тренировок'!$G$6:$G$25,$M906))</f>
        <v/>
      </c>
      <c r="L906" s="23" t="str">
        <f aca="false">IF(OR($M906="",$F906="",$G906=""),"",IF($H906="Разминка","Разминка",IF($F906&lt;INDEX('Программа тренировок'!$E$6:$E$25,$M906),"Ниже диапазона",IF(AND($F906&gt;=INDEX('Программа тренировок'!$F$6:$F$25,$M906),$G906&gt;=INDEX('Программа тренировок'!$L$6:$L$25,$M906)),"Верх диапазона: пора добавлять вес",IF($G906&lt;INDEX('Программа тренировок'!$L$6:$L$25,$M906),"RIR ниже цели","В диапазоне")))))</f>
        <v/>
      </c>
      <c r="M906" s="23" t="str">
        <f aca="false">IF($C906="","",IFERROR(MATCH($C906,'Программа тренировок'!$C$6:$C$25,0),""))</f>
        <v/>
      </c>
    </row>
    <row r="907" customFormat="false" ht="15" hidden="false" customHeight="true" outlineLevel="0" collapsed="false">
      <c r="A907" s="20"/>
      <c r="B907" s="21"/>
      <c r="C907" s="19"/>
      <c r="D907" s="18"/>
      <c r="E907" s="17"/>
      <c r="F907" s="18"/>
      <c r="G907" s="18"/>
      <c r="H907" s="21"/>
      <c r="I907" s="19"/>
      <c r="J907" s="8" t="str">
        <f aca="false">IF(OR(E907="",F907=""),"",E907*F907)</f>
        <v/>
      </c>
      <c r="K907" s="22" t="str">
        <f aca="false">IF($M907="","",INDEX('Программа тренировок'!$G$6:$G$25,$M907))</f>
        <v/>
      </c>
      <c r="L907" s="23" t="str">
        <f aca="false">IF(OR($M907="",$F907="",$G907=""),"",IF($H907="Разминка","Разминка",IF($F907&lt;INDEX('Программа тренировок'!$E$6:$E$25,$M907),"Ниже диапазона",IF(AND($F907&gt;=INDEX('Программа тренировок'!$F$6:$F$25,$M907),$G907&gt;=INDEX('Программа тренировок'!$L$6:$L$25,$M907)),"Верх диапазона: пора добавлять вес",IF($G907&lt;INDEX('Программа тренировок'!$L$6:$L$25,$M907),"RIR ниже цели","В диапазоне")))))</f>
        <v/>
      </c>
      <c r="M907" s="23" t="str">
        <f aca="false">IF($C907="","",IFERROR(MATCH($C907,'Программа тренировок'!$C$6:$C$25,0),""))</f>
        <v/>
      </c>
    </row>
    <row r="908" customFormat="false" ht="15" hidden="false" customHeight="true" outlineLevel="0" collapsed="false">
      <c r="A908" s="20"/>
      <c r="B908" s="21"/>
      <c r="C908" s="19"/>
      <c r="D908" s="18"/>
      <c r="E908" s="17"/>
      <c r="F908" s="18"/>
      <c r="G908" s="18"/>
      <c r="H908" s="21"/>
      <c r="I908" s="19"/>
      <c r="J908" s="8" t="str">
        <f aca="false">IF(OR(E908="",F908=""),"",E908*F908)</f>
        <v/>
      </c>
      <c r="K908" s="22" t="str">
        <f aca="false">IF($M908="","",INDEX('Программа тренировок'!$G$6:$G$25,$M908))</f>
        <v/>
      </c>
      <c r="L908" s="23" t="str">
        <f aca="false">IF(OR($M908="",$F908="",$G908=""),"",IF($H908="Разминка","Разминка",IF($F908&lt;INDEX('Программа тренировок'!$E$6:$E$25,$M908),"Ниже диапазона",IF(AND($F908&gt;=INDEX('Программа тренировок'!$F$6:$F$25,$M908),$G908&gt;=INDEX('Программа тренировок'!$L$6:$L$25,$M908)),"Верх диапазона: пора добавлять вес",IF($G908&lt;INDEX('Программа тренировок'!$L$6:$L$25,$M908),"RIR ниже цели","В диапазоне")))))</f>
        <v/>
      </c>
      <c r="M908" s="23" t="str">
        <f aca="false">IF($C908="","",IFERROR(MATCH($C908,'Программа тренировок'!$C$6:$C$25,0),""))</f>
        <v/>
      </c>
    </row>
    <row r="909" customFormat="false" ht="15" hidden="false" customHeight="true" outlineLevel="0" collapsed="false">
      <c r="A909" s="20"/>
      <c r="B909" s="21"/>
      <c r="C909" s="19"/>
      <c r="D909" s="18"/>
      <c r="E909" s="17"/>
      <c r="F909" s="18"/>
      <c r="G909" s="18"/>
      <c r="H909" s="21"/>
      <c r="I909" s="19"/>
      <c r="J909" s="8" t="str">
        <f aca="false">IF(OR(E909="",F909=""),"",E909*F909)</f>
        <v/>
      </c>
      <c r="K909" s="22" t="str">
        <f aca="false">IF($M909="","",INDEX('Программа тренировок'!$G$6:$G$25,$M909))</f>
        <v/>
      </c>
      <c r="L909" s="23" t="str">
        <f aca="false">IF(OR($M909="",$F909="",$G909=""),"",IF($H909="Разминка","Разминка",IF($F909&lt;INDEX('Программа тренировок'!$E$6:$E$25,$M909),"Ниже диапазона",IF(AND($F909&gt;=INDEX('Программа тренировок'!$F$6:$F$25,$M909),$G909&gt;=INDEX('Программа тренировок'!$L$6:$L$25,$M909)),"Верх диапазона: пора добавлять вес",IF($G909&lt;INDEX('Программа тренировок'!$L$6:$L$25,$M909),"RIR ниже цели","В диапазоне")))))</f>
        <v/>
      </c>
      <c r="M909" s="23" t="str">
        <f aca="false">IF($C909="","",IFERROR(MATCH($C909,'Программа тренировок'!$C$6:$C$25,0),""))</f>
        <v/>
      </c>
    </row>
    <row r="910" customFormat="false" ht="15" hidden="false" customHeight="true" outlineLevel="0" collapsed="false">
      <c r="A910" s="20"/>
      <c r="B910" s="21"/>
      <c r="C910" s="19"/>
      <c r="D910" s="18"/>
      <c r="E910" s="17"/>
      <c r="F910" s="18"/>
      <c r="G910" s="18"/>
      <c r="H910" s="21"/>
      <c r="I910" s="19"/>
      <c r="J910" s="8" t="str">
        <f aca="false">IF(OR(E910="",F910=""),"",E910*F910)</f>
        <v/>
      </c>
      <c r="K910" s="22" t="str">
        <f aca="false">IF($M910="","",INDEX('Программа тренировок'!$G$6:$G$25,$M910))</f>
        <v/>
      </c>
      <c r="L910" s="23" t="str">
        <f aca="false">IF(OR($M910="",$F910="",$G910=""),"",IF($H910="Разминка","Разминка",IF($F910&lt;INDEX('Программа тренировок'!$E$6:$E$25,$M910),"Ниже диапазона",IF(AND($F910&gt;=INDEX('Программа тренировок'!$F$6:$F$25,$M910),$G910&gt;=INDEX('Программа тренировок'!$L$6:$L$25,$M910)),"Верх диапазона: пора добавлять вес",IF($G910&lt;INDEX('Программа тренировок'!$L$6:$L$25,$M910),"RIR ниже цели","В диапазоне")))))</f>
        <v/>
      </c>
      <c r="M910" s="23" t="str">
        <f aca="false">IF($C910="","",IFERROR(MATCH($C910,'Программа тренировок'!$C$6:$C$25,0),""))</f>
        <v/>
      </c>
    </row>
    <row r="911" customFormat="false" ht="15" hidden="false" customHeight="true" outlineLevel="0" collapsed="false">
      <c r="A911" s="20"/>
      <c r="B911" s="21"/>
      <c r="C911" s="19"/>
      <c r="D911" s="18"/>
      <c r="E911" s="17"/>
      <c r="F911" s="18"/>
      <c r="G911" s="18"/>
      <c r="H911" s="21"/>
      <c r="I911" s="19"/>
      <c r="J911" s="8" t="str">
        <f aca="false">IF(OR(E911="",F911=""),"",E911*F911)</f>
        <v/>
      </c>
      <c r="K911" s="22" t="str">
        <f aca="false">IF($M911="","",INDEX('Программа тренировок'!$G$6:$G$25,$M911))</f>
        <v/>
      </c>
      <c r="L911" s="23" t="str">
        <f aca="false">IF(OR($M911="",$F911="",$G911=""),"",IF($H911="Разминка","Разминка",IF($F911&lt;INDEX('Программа тренировок'!$E$6:$E$25,$M911),"Ниже диапазона",IF(AND($F911&gt;=INDEX('Программа тренировок'!$F$6:$F$25,$M911),$G911&gt;=INDEX('Программа тренировок'!$L$6:$L$25,$M911)),"Верх диапазона: пора добавлять вес",IF($G911&lt;INDEX('Программа тренировок'!$L$6:$L$25,$M911),"RIR ниже цели","В диапазоне")))))</f>
        <v/>
      </c>
      <c r="M911" s="23" t="str">
        <f aca="false">IF($C911="","",IFERROR(MATCH($C911,'Программа тренировок'!$C$6:$C$25,0),""))</f>
        <v/>
      </c>
    </row>
    <row r="912" customFormat="false" ht="15" hidden="false" customHeight="true" outlineLevel="0" collapsed="false">
      <c r="A912" s="20"/>
      <c r="B912" s="21"/>
      <c r="C912" s="19"/>
      <c r="D912" s="18"/>
      <c r="E912" s="17"/>
      <c r="F912" s="18"/>
      <c r="G912" s="18"/>
      <c r="H912" s="21"/>
      <c r="I912" s="19"/>
      <c r="J912" s="8" t="str">
        <f aca="false">IF(OR(E912="",F912=""),"",E912*F912)</f>
        <v/>
      </c>
      <c r="K912" s="22" t="str">
        <f aca="false">IF($M912="","",INDEX('Программа тренировок'!$G$6:$G$25,$M912))</f>
        <v/>
      </c>
      <c r="L912" s="23" t="str">
        <f aca="false">IF(OR($M912="",$F912="",$G912=""),"",IF($H912="Разминка","Разминка",IF($F912&lt;INDEX('Программа тренировок'!$E$6:$E$25,$M912),"Ниже диапазона",IF(AND($F912&gt;=INDEX('Программа тренировок'!$F$6:$F$25,$M912),$G912&gt;=INDEX('Программа тренировок'!$L$6:$L$25,$M912)),"Верх диапазона: пора добавлять вес",IF($G912&lt;INDEX('Программа тренировок'!$L$6:$L$25,$M912),"RIR ниже цели","В диапазоне")))))</f>
        <v/>
      </c>
      <c r="M912" s="23" t="str">
        <f aca="false">IF($C912="","",IFERROR(MATCH($C912,'Программа тренировок'!$C$6:$C$25,0),""))</f>
        <v/>
      </c>
    </row>
    <row r="913" customFormat="false" ht="15" hidden="false" customHeight="true" outlineLevel="0" collapsed="false">
      <c r="A913" s="20"/>
      <c r="B913" s="21"/>
      <c r="C913" s="19"/>
      <c r="D913" s="18"/>
      <c r="E913" s="17"/>
      <c r="F913" s="18"/>
      <c r="G913" s="18"/>
      <c r="H913" s="21"/>
      <c r="I913" s="19"/>
      <c r="J913" s="8" t="str">
        <f aca="false">IF(OR(E913="",F913=""),"",E913*F913)</f>
        <v/>
      </c>
      <c r="K913" s="22" t="str">
        <f aca="false">IF($M913="","",INDEX('Программа тренировок'!$G$6:$G$25,$M913))</f>
        <v/>
      </c>
      <c r="L913" s="23" t="str">
        <f aca="false">IF(OR($M913="",$F913="",$G913=""),"",IF($H913="Разминка","Разминка",IF($F913&lt;INDEX('Программа тренировок'!$E$6:$E$25,$M913),"Ниже диапазона",IF(AND($F913&gt;=INDEX('Программа тренировок'!$F$6:$F$25,$M913),$G913&gt;=INDEX('Программа тренировок'!$L$6:$L$25,$M913)),"Верх диапазона: пора добавлять вес",IF($G913&lt;INDEX('Программа тренировок'!$L$6:$L$25,$M913),"RIR ниже цели","В диапазоне")))))</f>
        <v/>
      </c>
      <c r="M913" s="23" t="str">
        <f aca="false">IF($C913="","",IFERROR(MATCH($C913,'Программа тренировок'!$C$6:$C$25,0),""))</f>
        <v/>
      </c>
    </row>
    <row r="914" customFormat="false" ht="15" hidden="false" customHeight="true" outlineLevel="0" collapsed="false">
      <c r="A914" s="20"/>
      <c r="B914" s="21"/>
      <c r="C914" s="19"/>
      <c r="D914" s="18"/>
      <c r="E914" s="17"/>
      <c r="F914" s="18"/>
      <c r="G914" s="18"/>
      <c r="H914" s="21"/>
      <c r="I914" s="19"/>
      <c r="J914" s="8" t="str">
        <f aca="false">IF(OR(E914="",F914=""),"",E914*F914)</f>
        <v/>
      </c>
      <c r="K914" s="22" t="str">
        <f aca="false">IF($M914="","",INDEX('Программа тренировок'!$G$6:$G$25,$M914))</f>
        <v/>
      </c>
      <c r="L914" s="23" t="str">
        <f aca="false">IF(OR($M914="",$F914="",$G914=""),"",IF($H914="Разминка","Разминка",IF($F914&lt;INDEX('Программа тренировок'!$E$6:$E$25,$M914),"Ниже диапазона",IF(AND($F914&gt;=INDEX('Программа тренировок'!$F$6:$F$25,$M914),$G914&gt;=INDEX('Программа тренировок'!$L$6:$L$25,$M914)),"Верх диапазона: пора добавлять вес",IF($G914&lt;INDEX('Программа тренировок'!$L$6:$L$25,$M914),"RIR ниже цели","В диапазоне")))))</f>
        <v/>
      </c>
      <c r="M914" s="23" t="str">
        <f aca="false">IF($C914="","",IFERROR(MATCH($C914,'Программа тренировок'!$C$6:$C$25,0),""))</f>
        <v/>
      </c>
    </row>
    <row r="915" customFormat="false" ht="15" hidden="false" customHeight="true" outlineLevel="0" collapsed="false">
      <c r="A915" s="20"/>
      <c r="B915" s="21"/>
      <c r="C915" s="19"/>
      <c r="D915" s="18"/>
      <c r="E915" s="17"/>
      <c r="F915" s="18"/>
      <c r="G915" s="18"/>
      <c r="H915" s="21"/>
      <c r="I915" s="19"/>
      <c r="J915" s="8" t="str">
        <f aca="false">IF(OR(E915="",F915=""),"",E915*F915)</f>
        <v/>
      </c>
      <c r="K915" s="22" t="str">
        <f aca="false">IF($M915="","",INDEX('Программа тренировок'!$G$6:$G$25,$M915))</f>
        <v/>
      </c>
      <c r="L915" s="23" t="str">
        <f aca="false">IF(OR($M915="",$F915="",$G915=""),"",IF($H915="Разминка","Разминка",IF($F915&lt;INDEX('Программа тренировок'!$E$6:$E$25,$M915),"Ниже диапазона",IF(AND($F915&gt;=INDEX('Программа тренировок'!$F$6:$F$25,$M915),$G915&gt;=INDEX('Программа тренировок'!$L$6:$L$25,$M915)),"Верх диапазона: пора добавлять вес",IF($G915&lt;INDEX('Программа тренировок'!$L$6:$L$25,$M915),"RIR ниже цели","В диапазоне")))))</f>
        <v/>
      </c>
      <c r="M915" s="23" t="str">
        <f aca="false">IF($C915="","",IFERROR(MATCH($C915,'Программа тренировок'!$C$6:$C$25,0),""))</f>
        <v/>
      </c>
    </row>
    <row r="916" customFormat="false" ht="15" hidden="false" customHeight="true" outlineLevel="0" collapsed="false">
      <c r="A916" s="20"/>
      <c r="B916" s="21"/>
      <c r="C916" s="19"/>
      <c r="D916" s="18"/>
      <c r="E916" s="17"/>
      <c r="F916" s="18"/>
      <c r="G916" s="18"/>
      <c r="H916" s="21"/>
      <c r="I916" s="19"/>
      <c r="J916" s="8" t="str">
        <f aca="false">IF(OR(E916="",F916=""),"",E916*F916)</f>
        <v/>
      </c>
      <c r="K916" s="22" t="str">
        <f aca="false">IF($M916="","",INDEX('Программа тренировок'!$G$6:$G$25,$M916))</f>
        <v/>
      </c>
      <c r="L916" s="23" t="str">
        <f aca="false">IF(OR($M916="",$F916="",$G916=""),"",IF($H916="Разминка","Разминка",IF($F916&lt;INDEX('Программа тренировок'!$E$6:$E$25,$M916),"Ниже диапазона",IF(AND($F916&gt;=INDEX('Программа тренировок'!$F$6:$F$25,$M916),$G916&gt;=INDEX('Программа тренировок'!$L$6:$L$25,$M916)),"Верх диапазона: пора добавлять вес",IF($G916&lt;INDEX('Программа тренировок'!$L$6:$L$25,$M916),"RIR ниже цели","В диапазоне")))))</f>
        <v/>
      </c>
      <c r="M916" s="23" t="str">
        <f aca="false">IF($C916="","",IFERROR(MATCH($C916,'Программа тренировок'!$C$6:$C$25,0),""))</f>
        <v/>
      </c>
    </row>
    <row r="917" customFormat="false" ht="15" hidden="false" customHeight="true" outlineLevel="0" collapsed="false">
      <c r="A917" s="20"/>
      <c r="B917" s="21"/>
      <c r="C917" s="19"/>
      <c r="D917" s="18"/>
      <c r="E917" s="17"/>
      <c r="F917" s="18"/>
      <c r="G917" s="18"/>
      <c r="H917" s="21"/>
      <c r="I917" s="19"/>
      <c r="J917" s="8" t="str">
        <f aca="false">IF(OR(E917="",F917=""),"",E917*F917)</f>
        <v/>
      </c>
      <c r="K917" s="22" t="str">
        <f aca="false">IF($M917="","",INDEX('Программа тренировок'!$G$6:$G$25,$M917))</f>
        <v/>
      </c>
      <c r="L917" s="23" t="str">
        <f aca="false">IF(OR($M917="",$F917="",$G917=""),"",IF($H917="Разминка","Разминка",IF($F917&lt;INDEX('Программа тренировок'!$E$6:$E$25,$M917),"Ниже диапазона",IF(AND($F917&gt;=INDEX('Программа тренировок'!$F$6:$F$25,$M917),$G917&gt;=INDEX('Программа тренировок'!$L$6:$L$25,$M917)),"Верх диапазона: пора добавлять вес",IF($G917&lt;INDEX('Программа тренировок'!$L$6:$L$25,$M917),"RIR ниже цели","В диапазоне")))))</f>
        <v/>
      </c>
      <c r="M917" s="23" t="str">
        <f aca="false">IF($C917="","",IFERROR(MATCH($C917,'Программа тренировок'!$C$6:$C$25,0),""))</f>
        <v/>
      </c>
    </row>
    <row r="918" customFormat="false" ht="15" hidden="false" customHeight="true" outlineLevel="0" collapsed="false">
      <c r="A918" s="20"/>
      <c r="B918" s="21"/>
      <c r="C918" s="19"/>
      <c r="D918" s="18"/>
      <c r="E918" s="17"/>
      <c r="F918" s="18"/>
      <c r="G918" s="18"/>
      <c r="H918" s="21"/>
      <c r="I918" s="19"/>
      <c r="J918" s="8" t="str">
        <f aca="false">IF(OR(E918="",F918=""),"",E918*F918)</f>
        <v/>
      </c>
      <c r="K918" s="22" t="str">
        <f aca="false">IF($M918="","",INDEX('Программа тренировок'!$G$6:$G$25,$M918))</f>
        <v/>
      </c>
      <c r="L918" s="23" t="str">
        <f aca="false">IF(OR($M918="",$F918="",$G918=""),"",IF($H918="Разминка","Разминка",IF($F918&lt;INDEX('Программа тренировок'!$E$6:$E$25,$M918),"Ниже диапазона",IF(AND($F918&gt;=INDEX('Программа тренировок'!$F$6:$F$25,$M918),$G918&gt;=INDEX('Программа тренировок'!$L$6:$L$25,$M918)),"Верх диапазона: пора добавлять вес",IF($G918&lt;INDEX('Программа тренировок'!$L$6:$L$25,$M918),"RIR ниже цели","В диапазоне")))))</f>
        <v/>
      </c>
      <c r="M918" s="23" t="str">
        <f aca="false">IF($C918="","",IFERROR(MATCH($C918,'Программа тренировок'!$C$6:$C$25,0),""))</f>
        <v/>
      </c>
    </row>
    <row r="919" customFormat="false" ht="15" hidden="false" customHeight="true" outlineLevel="0" collapsed="false">
      <c r="A919" s="20"/>
      <c r="B919" s="21"/>
      <c r="C919" s="19"/>
      <c r="D919" s="18"/>
      <c r="E919" s="17"/>
      <c r="F919" s="18"/>
      <c r="G919" s="18"/>
      <c r="H919" s="21"/>
      <c r="I919" s="19"/>
      <c r="J919" s="8" t="str">
        <f aca="false">IF(OR(E919="",F919=""),"",E919*F919)</f>
        <v/>
      </c>
      <c r="K919" s="22" t="str">
        <f aca="false">IF($M919="","",INDEX('Программа тренировок'!$G$6:$G$25,$M919))</f>
        <v/>
      </c>
      <c r="L919" s="23" t="str">
        <f aca="false">IF(OR($M919="",$F919="",$G919=""),"",IF($H919="Разминка","Разминка",IF($F919&lt;INDEX('Программа тренировок'!$E$6:$E$25,$M919),"Ниже диапазона",IF(AND($F919&gt;=INDEX('Программа тренировок'!$F$6:$F$25,$M919),$G919&gt;=INDEX('Программа тренировок'!$L$6:$L$25,$M919)),"Верх диапазона: пора добавлять вес",IF($G919&lt;INDEX('Программа тренировок'!$L$6:$L$25,$M919),"RIR ниже цели","В диапазоне")))))</f>
        <v/>
      </c>
      <c r="M919" s="23" t="str">
        <f aca="false">IF($C919="","",IFERROR(MATCH($C919,'Программа тренировок'!$C$6:$C$25,0),""))</f>
        <v/>
      </c>
    </row>
    <row r="920" customFormat="false" ht="15" hidden="false" customHeight="true" outlineLevel="0" collapsed="false">
      <c r="A920" s="20"/>
      <c r="B920" s="21"/>
      <c r="C920" s="19"/>
      <c r="D920" s="18"/>
      <c r="E920" s="17"/>
      <c r="F920" s="18"/>
      <c r="G920" s="18"/>
      <c r="H920" s="21"/>
      <c r="I920" s="19"/>
      <c r="J920" s="8" t="str">
        <f aca="false">IF(OR(E920="",F920=""),"",E920*F920)</f>
        <v/>
      </c>
      <c r="K920" s="22" t="str">
        <f aca="false">IF($M920="","",INDEX('Программа тренировок'!$G$6:$G$25,$M920))</f>
        <v/>
      </c>
      <c r="L920" s="23" t="str">
        <f aca="false">IF(OR($M920="",$F920="",$G920=""),"",IF($H920="Разминка","Разминка",IF($F920&lt;INDEX('Программа тренировок'!$E$6:$E$25,$M920),"Ниже диапазона",IF(AND($F920&gt;=INDEX('Программа тренировок'!$F$6:$F$25,$M920),$G920&gt;=INDEX('Программа тренировок'!$L$6:$L$25,$M920)),"Верх диапазона: пора добавлять вес",IF($G920&lt;INDEX('Программа тренировок'!$L$6:$L$25,$M920),"RIR ниже цели","В диапазоне")))))</f>
        <v/>
      </c>
      <c r="M920" s="23" t="str">
        <f aca="false">IF($C920="","",IFERROR(MATCH($C920,'Программа тренировок'!$C$6:$C$25,0),""))</f>
        <v/>
      </c>
    </row>
    <row r="921" customFormat="false" ht="15" hidden="false" customHeight="true" outlineLevel="0" collapsed="false">
      <c r="A921" s="20"/>
      <c r="B921" s="21"/>
      <c r="C921" s="19"/>
      <c r="D921" s="18"/>
      <c r="E921" s="17"/>
      <c r="F921" s="18"/>
      <c r="G921" s="18"/>
      <c r="H921" s="21"/>
      <c r="I921" s="19"/>
      <c r="J921" s="8" t="str">
        <f aca="false">IF(OR(E921="",F921=""),"",E921*F921)</f>
        <v/>
      </c>
      <c r="K921" s="22" t="str">
        <f aca="false">IF($M921="","",INDEX('Программа тренировок'!$G$6:$G$25,$M921))</f>
        <v/>
      </c>
      <c r="L921" s="23" t="str">
        <f aca="false">IF(OR($M921="",$F921="",$G921=""),"",IF($H921="Разминка","Разминка",IF($F921&lt;INDEX('Программа тренировок'!$E$6:$E$25,$M921),"Ниже диапазона",IF(AND($F921&gt;=INDEX('Программа тренировок'!$F$6:$F$25,$M921),$G921&gt;=INDEX('Программа тренировок'!$L$6:$L$25,$M921)),"Верх диапазона: пора добавлять вес",IF($G921&lt;INDEX('Программа тренировок'!$L$6:$L$25,$M921),"RIR ниже цели","В диапазоне")))))</f>
        <v/>
      </c>
      <c r="M921" s="23" t="str">
        <f aca="false">IF($C921="","",IFERROR(MATCH($C921,'Программа тренировок'!$C$6:$C$25,0),""))</f>
        <v/>
      </c>
    </row>
    <row r="922" customFormat="false" ht="15" hidden="false" customHeight="true" outlineLevel="0" collapsed="false">
      <c r="A922" s="20"/>
      <c r="B922" s="21"/>
      <c r="C922" s="19"/>
      <c r="D922" s="18"/>
      <c r="E922" s="17"/>
      <c r="F922" s="18"/>
      <c r="G922" s="18"/>
      <c r="H922" s="21"/>
      <c r="I922" s="19"/>
      <c r="J922" s="8" t="str">
        <f aca="false">IF(OR(E922="",F922=""),"",E922*F922)</f>
        <v/>
      </c>
      <c r="K922" s="22" t="str">
        <f aca="false">IF($M922="","",INDEX('Программа тренировок'!$G$6:$G$25,$M922))</f>
        <v/>
      </c>
      <c r="L922" s="23" t="str">
        <f aca="false">IF(OR($M922="",$F922="",$G922=""),"",IF($H922="Разминка","Разминка",IF($F922&lt;INDEX('Программа тренировок'!$E$6:$E$25,$M922),"Ниже диапазона",IF(AND($F922&gt;=INDEX('Программа тренировок'!$F$6:$F$25,$M922),$G922&gt;=INDEX('Программа тренировок'!$L$6:$L$25,$M922)),"Верх диапазона: пора добавлять вес",IF($G922&lt;INDEX('Программа тренировок'!$L$6:$L$25,$M922),"RIR ниже цели","В диапазоне")))))</f>
        <v/>
      </c>
      <c r="M922" s="23" t="str">
        <f aca="false">IF($C922="","",IFERROR(MATCH($C922,'Программа тренировок'!$C$6:$C$25,0),""))</f>
        <v/>
      </c>
    </row>
    <row r="923" customFormat="false" ht="15" hidden="false" customHeight="true" outlineLevel="0" collapsed="false">
      <c r="A923" s="20"/>
      <c r="B923" s="21"/>
      <c r="C923" s="19"/>
      <c r="D923" s="18"/>
      <c r="E923" s="17"/>
      <c r="F923" s="18"/>
      <c r="G923" s="18"/>
      <c r="H923" s="21"/>
      <c r="I923" s="19"/>
      <c r="J923" s="8" t="str">
        <f aca="false">IF(OR(E923="",F923=""),"",E923*F923)</f>
        <v/>
      </c>
      <c r="K923" s="22" t="str">
        <f aca="false">IF($M923="","",INDEX('Программа тренировок'!$G$6:$G$25,$M923))</f>
        <v/>
      </c>
      <c r="L923" s="23" t="str">
        <f aca="false">IF(OR($M923="",$F923="",$G923=""),"",IF($H923="Разминка","Разминка",IF($F923&lt;INDEX('Программа тренировок'!$E$6:$E$25,$M923),"Ниже диапазона",IF(AND($F923&gt;=INDEX('Программа тренировок'!$F$6:$F$25,$M923),$G923&gt;=INDEX('Программа тренировок'!$L$6:$L$25,$M923)),"Верх диапазона: пора добавлять вес",IF($G923&lt;INDEX('Программа тренировок'!$L$6:$L$25,$M923),"RIR ниже цели","В диапазоне")))))</f>
        <v/>
      </c>
      <c r="M923" s="23" t="str">
        <f aca="false">IF($C923="","",IFERROR(MATCH($C923,'Программа тренировок'!$C$6:$C$25,0),""))</f>
        <v/>
      </c>
    </row>
    <row r="924" customFormat="false" ht="15" hidden="false" customHeight="true" outlineLevel="0" collapsed="false">
      <c r="A924" s="20"/>
      <c r="B924" s="21"/>
      <c r="C924" s="19"/>
      <c r="D924" s="18"/>
      <c r="E924" s="17"/>
      <c r="F924" s="18"/>
      <c r="G924" s="18"/>
      <c r="H924" s="21"/>
      <c r="I924" s="19"/>
      <c r="J924" s="8" t="str">
        <f aca="false">IF(OR(E924="",F924=""),"",E924*F924)</f>
        <v/>
      </c>
      <c r="K924" s="22" t="str">
        <f aca="false">IF($M924="","",INDEX('Программа тренировок'!$G$6:$G$25,$M924))</f>
        <v/>
      </c>
      <c r="L924" s="23" t="str">
        <f aca="false">IF(OR($M924="",$F924="",$G924=""),"",IF($H924="Разминка","Разминка",IF($F924&lt;INDEX('Программа тренировок'!$E$6:$E$25,$M924),"Ниже диапазона",IF(AND($F924&gt;=INDEX('Программа тренировок'!$F$6:$F$25,$M924),$G924&gt;=INDEX('Программа тренировок'!$L$6:$L$25,$M924)),"Верх диапазона: пора добавлять вес",IF($G924&lt;INDEX('Программа тренировок'!$L$6:$L$25,$M924),"RIR ниже цели","В диапазоне")))))</f>
        <v/>
      </c>
      <c r="M924" s="23" t="str">
        <f aca="false">IF($C924="","",IFERROR(MATCH($C924,'Программа тренировок'!$C$6:$C$25,0),""))</f>
        <v/>
      </c>
    </row>
    <row r="925" customFormat="false" ht="15" hidden="false" customHeight="true" outlineLevel="0" collapsed="false">
      <c r="A925" s="20"/>
      <c r="B925" s="21"/>
      <c r="C925" s="19"/>
      <c r="D925" s="18"/>
      <c r="E925" s="17"/>
      <c r="F925" s="18"/>
      <c r="G925" s="18"/>
      <c r="H925" s="21"/>
      <c r="I925" s="19"/>
      <c r="J925" s="8" t="str">
        <f aca="false">IF(OR(E925="",F925=""),"",E925*F925)</f>
        <v/>
      </c>
      <c r="K925" s="22" t="str">
        <f aca="false">IF($M925="","",INDEX('Программа тренировок'!$G$6:$G$25,$M925))</f>
        <v/>
      </c>
      <c r="L925" s="23" t="str">
        <f aca="false">IF(OR($M925="",$F925="",$G925=""),"",IF($H925="Разминка","Разминка",IF($F925&lt;INDEX('Программа тренировок'!$E$6:$E$25,$M925),"Ниже диапазона",IF(AND($F925&gt;=INDEX('Программа тренировок'!$F$6:$F$25,$M925),$G925&gt;=INDEX('Программа тренировок'!$L$6:$L$25,$M925)),"Верх диапазона: пора добавлять вес",IF($G925&lt;INDEX('Программа тренировок'!$L$6:$L$25,$M925),"RIR ниже цели","В диапазоне")))))</f>
        <v/>
      </c>
      <c r="M925" s="23" t="str">
        <f aca="false">IF($C925="","",IFERROR(MATCH($C925,'Программа тренировок'!$C$6:$C$25,0),""))</f>
        <v/>
      </c>
    </row>
    <row r="926" customFormat="false" ht="15" hidden="false" customHeight="true" outlineLevel="0" collapsed="false">
      <c r="A926" s="20"/>
      <c r="B926" s="21"/>
      <c r="C926" s="19"/>
      <c r="D926" s="18"/>
      <c r="E926" s="17"/>
      <c r="F926" s="18"/>
      <c r="G926" s="18"/>
      <c r="H926" s="21"/>
      <c r="I926" s="19"/>
      <c r="J926" s="8" t="str">
        <f aca="false">IF(OR(E926="",F926=""),"",E926*F926)</f>
        <v/>
      </c>
      <c r="K926" s="22" t="str">
        <f aca="false">IF($M926="","",INDEX('Программа тренировок'!$G$6:$G$25,$M926))</f>
        <v/>
      </c>
      <c r="L926" s="23" t="str">
        <f aca="false">IF(OR($M926="",$F926="",$G926=""),"",IF($H926="Разминка","Разминка",IF($F926&lt;INDEX('Программа тренировок'!$E$6:$E$25,$M926),"Ниже диапазона",IF(AND($F926&gt;=INDEX('Программа тренировок'!$F$6:$F$25,$M926),$G926&gt;=INDEX('Программа тренировок'!$L$6:$L$25,$M926)),"Верх диапазона: пора добавлять вес",IF($G926&lt;INDEX('Программа тренировок'!$L$6:$L$25,$M926),"RIR ниже цели","В диапазоне")))))</f>
        <v/>
      </c>
      <c r="M926" s="23" t="str">
        <f aca="false">IF($C926="","",IFERROR(MATCH($C926,'Программа тренировок'!$C$6:$C$25,0),""))</f>
        <v/>
      </c>
    </row>
    <row r="927" customFormat="false" ht="15" hidden="false" customHeight="true" outlineLevel="0" collapsed="false">
      <c r="A927" s="20"/>
      <c r="B927" s="21"/>
      <c r="C927" s="19"/>
      <c r="D927" s="18"/>
      <c r="E927" s="17"/>
      <c r="F927" s="18"/>
      <c r="G927" s="18"/>
      <c r="H927" s="21"/>
      <c r="I927" s="19"/>
      <c r="J927" s="8" t="str">
        <f aca="false">IF(OR(E927="",F927=""),"",E927*F927)</f>
        <v/>
      </c>
      <c r="K927" s="22" t="str">
        <f aca="false">IF($M927="","",INDEX('Программа тренировок'!$G$6:$G$25,$M927))</f>
        <v/>
      </c>
      <c r="L927" s="23" t="str">
        <f aca="false">IF(OR($M927="",$F927="",$G927=""),"",IF($H927="Разминка","Разминка",IF($F927&lt;INDEX('Программа тренировок'!$E$6:$E$25,$M927),"Ниже диапазона",IF(AND($F927&gt;=INDEX('Программа тренировок'!$F$6:$F$25,$M927),$G927&gt;=INDEX('Программа тренировок'!$L$6:$L$25,$M927)),"Верх диапазона: пора добавлять вес",IF($G927&lt;INDEX('Программа тренировок'!$L$6:$L$25,$M927),"RIR ниже цели","В диапазоне")))))</f>
        <v/>
      </c>
      <c r="M927" s="23" t="str">
        <f aca="false">IF($C927="","",IFERROR(MATCH($C927,'Программа тренировок'!$C$6:$C$25,0),""))</f>
        <v/>
      </c>
    </row>
    <row r="928" customFormat="false" ht="15" hidden="false" customHeight="true" outlineLevel="0" collapsed="false">
      <c r="A928" s="20"/>
      <c r="B928" s="21"/>
      <c r="C928" s="19"/>
      <c r="D928" s="18"/>
      <c r="E928" s="17"/>
      <c r="F928" s="18"/>
      <c r="G928" s="18"/>
      <c r="H928" s="21"/>
      <c r="I928" s="19"/>
      <c r="J928" s="8" t="str">
        <f aca="false">IF(OR(E928="",F928=""),"",E928*F928)</f>
        <v/>
      </c>
      <c r="K928" s="22" t="str">
        <f aca="false">IF($M928="","",INDEX('Программа тренировок'!$G$6:$G$25,$M928))</f>
        <v/>
      </c>
      <c r="L928" s="23" t="str">
        <f aca="false">IF(OR($M928="",$F928="",$G928=""),"",IF($H928="Разминка","Разминка",IF($F928&lt;INDEX('Программа тренировок'!$E$6:$E$25,$M928),"Ниже диапазона",IF(AND($F928&gt;=INDEX('Программа тренировок'!$F$6:$F$25,$M928),$G928&gt;=INDEX('Программа тренировок'!$L$6:$L$25,$M928)),"Верх диапазона: пора добавлять вес",IF($G928&lt;INDEX('Программа тренировок'!$L$6:$L$25,$M928),"RIR ниже цели","В диапазоне")))))</f>
        <v/>
      </c>
      <c r="M928" s="23" t="str">
        <f aca="false">IF($C928="","",IFERROR(MATCH($C928,'Программа тренировок'!$C$6:$C$25,0),""))</f>
        <v/>
      </c>
    </row>
    <row r="929" customFormat="false" ht="15" hidden="false" customHeight="true" outlineLevel="0" collapsed="false">
      <c r="A929" s="20"/>
      <c r="B929" s="21"/>
      <c r="C929" s="19"/>
      <c r="D929" s="18"/>
      <c r="E929" s="17"/>
      <c r="F929" s="18"/>
      <c r="G929" s="18"/>
      <c r="H929" s="21"/>
      <c r="I929" s="19"/>
      <c r="J929" s="8" t="str">
        <f aca="false">IF(OR(E929="",F929=""),"",E929*F929)</f>
        <v/>
      </c>
      <c r="K929" s="22" t="str">
        <f aca="false">IF($M929="","",INDEX('Программа тренировок'!$G$6:$G$25,$M929))</f>
        <v/>
      </c>
      <c r="L929" s="23" t="str">
        <f aca="false">IF(OR($M929="",$F929="",$G929=""),"",IF($H929="Разминка","Разминка",IF($F929&lt;INDEX('Программа тренировок'!$E$6:$E$25,$M929),"Ниже диапазона",IF(AND($F929&gt;=INDEX('Программа тренировок'!$F$6:$F$25,$M929),$G929&gt;=INDEX('Программа тренировок'!$L$6:$L$25,$M929)),"Верх диапазона: пора добавлять вес",IF($G929&lt;INDEX('Программа тренировок'!$L$6:$L$25,$M929),"RIR ниже цели","В диапазоне")))))</f>
        <v/>
      </c>
      <c r="M929" s="23" t="str">
        <f aca="false">IF($C929="","",IFERROR(MATCH($C929,'Программа тренировок'!$C$6:$C$25,0),""))</f>
        <v/>
      </c>
    </row>
    <row r="930" customFormat="false" ht="15" hidden="false" customHeight="true" outlineLevel="0" collapsed="false">
      <c r="A930" s="20"/>
      <c r="B930" s="21"/>
      <c r="C930" s="19"/>
      <c r="D930" s="18"/>
      <c r="E930" s="17"/>
      <c r="F930" s="18"/>
      <c r="G930" s="18"/>
      <c r="H930" s="21"/>
      <c r="I930" s="19"/>
      <c r="J930" s="8" t="str">
        <f aca="false">IF(OR(E930="",F930=""),"",E930*F930)</f>
        <v/>
      </c>
      <c r="K930" s="22" t="str">
        <f aca="false">IF($M930="","",INDEX('Программа тренировок'!$G$6:$G$25,$M930))</f>
        <v/>
      </c>
      <c r="L930" s="23" t="str">
        <f aca="false">IF(OR($M930="",$F930="",$G930=""),"",IF($H930="Разминка","Разминка",IF($F930&lt;INDEX('Программа тренировок'!$E$6:$E$25,$M930),"Ниже диапазона",IF(AND($F930&gt;=INDEX('Программа тренировок'!$F$6:$F$25,$M930),$G930&gt;=INDEX('Программа тренировок'!$L$6:$L$25,$M930)),"Верх диапазона: пора добавлять вес",IF($G930&lt;INDEX('Программа тренировок'!$L$6:$L$25,$M930),"RIR ниже цели","В диапазоне")))))</f>
        <v/>
      </c>
      <c r="M930" s="23" t="str">
        <f aca="false">IF($C930="","",IFERROR(MATCH($C930,'Программа тренировок'!$C$6:$C$25,0),""))</f>
        <v/>
      </c>
    </row>
    <row r="931" customFormat="false" ht="15" hidden="false" customHeight="true" outlineLevel="0" collapsed="false">
      <c r="A931" s="20"/>
      <c r="B931" s="21"/>
      <c r="C931" s="19"/>
      <c r="D931" s="18"/>
      <c r="E931" s="17"/>
      <c r="F931" s="18"/>
      <c r="G931" s="18"/>
      <c r="H931" s="21"/>
      <c r="I931" s="19"/>
      <c r="J931" s="8" t="str">
        <f aca="false">IF(OR(E931="",F931=""),"",E931*F931)</f>
        <v/>
      </c>
      <c r="K931" s="22" t="str">
        <f aca="false">IF($M931="","",INDEX('Программа тренировок'!$G$6:$G$25,$M931))</f>
        <v/>
      </c>
      <c r="L931" s="23" t="str">
        <f aca="false">IF(OR($M931="",$F931="",$G931=""),"",IF($H931="Разминка","Разминка",IF($F931&lt;INDEX('Программа тренировок'!$E$6:$E$25,$M931),"Ниже диапазона",IF(AND($F931&gt;=INDEX('Программа тренировок'!$F$6:$F$25,$M931),$G931&gt;=INDEX('Программа тренировок'!$L$6:$L$25,$M931)),"Верх диапазона: пора добавлять вес",IF($G931&lt;INDEX('Программа тренировок'!$L$6:$L$25,$M931),"RIR ниже цели","В диапазоне")))))</f>
        <v/>
      </c>
      <c r="M931" s="23" t="str">
        <f aca="false">IF($C931="","",IFERROR(MATCH($C931,'Программа тренировок'!$C$6:$C$25,0),""))</f>
        <v/>
      </c>
    </row>
    <row r="932" customFormat="false" ht="15" hidden="false" customHeight="true" outlineLevel="0" collapsed="false">
      <c r="A932" s="20"/>
      <c r="B932" s="21"/>
      <c r="C932" s="19"/>
      <c r="D932" s="18"/>
      <c r="E932" s="17"/>
      <c r="F932" s="18"/>
      <c r="G932" s="18"/>
      <c r="H932" s="21"/>
      <c r="I932" s="19"/>
      <c r="J932" s="8" t="str">
        <f aca="false">IF(OR(E932="",F932=""),"",E932*F932)</f>
        <v/>
      </c>
      <c r="K932" s="22" t="str">
        <f aca="false">IF($M932="","",INDEX('Программа тренировок'!$G$6:$G$25,$M932))</f>
        <v/>
      </c>
      <c r="L932" s="23" t="str">
        <f aca="false">IF(OR($M932="",$F932="",$G932=""),"",IF($H932="Разминка","Разминка",IF($F932&lt;INDEX('Программа тренировок'!$E$6:$E$25,$M932),"Ниже диапазона",IF(AND($F932&gt;=INDEX('Программа тренировок'!$F$6:$F$25,$M932),$G932&gt;=INDEX('Программа тренировок'!$L$6:$L$25,$M932)),"Верх диапазона: пора добавлять вес",IF($G932&lt;INDEX('Программа тренировок'!$L$6:$L$25,$M932),"RIR ниже цели","В диапазоне")))))</f>
        <v/>
      </c>
      <c r="M932" s="23" t="str">
        <f aca="false">IF($C932="","",IFERROR(MATCH($C932,'Программа тренировок'!$C$6:$C$25,0),""))</f>
        <v/>
      </c>
    </row>
    <row r="933" customFormat="false" ht="15" hidden="false" customHeight="true" outlineLevel="0" collapsed="false">
      <c r="A933" s="20"/>
      <c r="B933" s="21"/>
      <c r="C933" s="19"/>
      <c r="D933" s="18"/>
      <c r="E933" s="17"/>
      <c r="F933" s="18"/>
      <c r="G933" s="18"/>
      <c r="H933" s="21"/>
      <c r="I933" s="19"/>
      <c r="J933" s="8" t="str">
        <f aca="false">IF(OR(E933="",F933=""),"",E933*F933)</f>
        <v/>
      </c>
      <c r="K933" s="22" t="str">
        <f aca="false">IF($M933="","",INDEX('Программа тренировок'!$G$6:$G$25,$M933))</f>
        <v/>
      </c>
      <c r="L933" s="23" t="str">
        <f aca="false">IF(OR($M933="",$F933="",$G933=""),"",IF($H933="Разминка","Разминка",IF($F933&lt;INDEX('Программа тренировок'!$E$6:$E$25,$M933),"Ниже диапазона",IF(AND($F933&gt;=INDEX('Программа тренировок'!$F$6:$F$25,$M933),$G933&gt;=INDEX('Программа тренировок'!$L$6:$L$25,$M933)),"Верх диапазона: пора добавлять вес",IF($G933&lt;INDEX('Программа тренировок'!$L$6:$L$25,$M933),"RIR ниже цели","В диапазоне")))))</f>
        <v/>
      </c>
      <c r="M933" s="23" t="str">
        <f aca="false">IF($C933="","",IFERROR(MATCH($C933,'Программа тренировок'!$C$6:$C$25,0),""))</f>
        <v/>
      </c>
    </row>
    <row r="934" customFormat="false" ht="15" hidden="false" customHeight="true" outlineLevel="0" collapsed="false">
      <c r="A934" s="20"/>
      <c r="B934" s="21"/>
      <c r="C934" s="19"/>
      <c r="D934" s="18"/>
      <c r="E934" s="17"/>
      <c r="F934" s="18"/>
      <c r="G934" s="18"/>
      <c r="H934" s="21"/>
      <c r="I934" s="19"/>
      <c r="J934" s="8" t="str">
        <f aca="false">IF(OR(E934="",F934=""),"",E934*F934)</f>
        <v/>
      </c>
      <c r="K934" s="22" t="str">
        <f aca="false">IF($M934="","",INDEX('Программа тренировок'!$G$6:$G$25,$M934))</f>
        <v/>
      </c>
      <c r="L934" s="23" t="str">
        <f aca="false">IF(OR($M934="",$F934="",$G934=""),"",IF($H934="Разминка","Разминка",IF($F934&lt;INDEX('Программа тренировок'!$E$6:$E$25,$M934),"Ниже диапазона",IF(AND($F934&gt;=INDEX('Программа тренировок'!$F$6:$F$25,$M934),$G934&gt;=INDEX('Программа тренировок'!$L$6:$L$25,$M934)),"Верх диапазона: пора добавлять вес",IF($G934&lt;INDEX('Программа тренировок'!$L$6:$L$25,$M934),"RIR ниже цели","В диапазоне")))))</f>
        <v/>
      </c>
      <c r="M934" s="23" t="str">
        <f aca="false">IF($C934="","",IFERROR(MATCH($C934,'Программа тренировок'!$C$6:$C$25,0),""))</f>
        <v/>
      </c>
    </row>
    <row r="935" customFormat="false" ht="15" hidden="false" customHeight="true" outlineLevel="0" collapsed="false">
      <c r="A935" s="20"/>
      <c r="B935" s="21"/>
      <c r="C935" s="19"/>
      <c r="D935" s="18"/>
      <c r="E935" s="17"/>
      <c r="F935" s="18"/>
      <c r="G935" s="18"/>
      <c r="H935" s="21"/>
      <c r="I935" s="19"/>
      <c r="J935" s="8" t="str">
        <f aca="false">IF(OR(E935="",F935=""),"",E935*F935)</f>
        <v/>
      </c>
      <c r="K935" s="22" t="str">
        <f aca="false">IF($M935="","",INDEX('Программа тренировок'!$G$6:$G$25,$M935))</f>
        <v/>
      </c>
      <c r="L935" s="23" t="str">
        <f aca="false">IF(OR($M935="",$F935="",$G935=""),"",IF($H935="Разминка","Разминка",IF($F935&lt;INDEX('Программа тренировок'!$E$6:$E$25,$M935),"Ниже диапазона",IF(AND($F935&gt;=INDEX('Программа тренировок'!$F$6:$F$25,$M935),$G935&gt;=INDEX('Программа тренировок'!$L$6:$L$25,$M935)),"Верх диапазона: пора добавлять вес",IF($G935&lt;INDEX('Программа тренировок'!$L$6:$L$25,$M935),"RIR ниже цели","В диапазоне")))))</f>
        <v/>
      </c>
      <c r="M935" s="23" t="str">
        <f aca="false">IF($C935="","",IFERROR(MATCH($C935,'Программа тренировок'!$C$6:$C$25,0),""))</f>
        <v/>
      </c>
    </row>
    <row r="936" customFormat="false" ht="15" hidden="false" customHeight="true" outlineLevel="0" collapsed="false">
      <c r="A936" s="20"/>
      <c r="B936" s="21"/>
      <c r="C936" s="19"/>
      <c r="D936" s="18"/>
      <c r="E936" s="17"/>
      <c r="F936" s="18"/>
      <c r="G936" s="18"/>
      <c r="H936" s="21"/>
      <c r="I936" s="19"/>
      <c r="J936" s="8" t="str">
        <f aca="false">IF(OR(E936="",F936=""),"",E936*F936)</f>
        <v/>
      </c>
      <c r="K936" s="22" t="str">
        <f aca="false">IF($M936="","",INDEX('Программа тренировок'!$G$6:$G$25,$M936))</f>
        <v/>
      </c>
      <c r="L936" s="23" t="str">
        <f aca="false">IF(OR($M936="",$F936="",$G936=""),"",IF($H936="Разминка","Разминка",IF($F936&lt;INDEX('Программа тренировок'!$E$6:$E$25,$M936),"Ниже диапазона",IF(AND($F936&gt;=INDEX('Программа тренировок'!$F$6:$F$25,$M936),$G936&gt;=INDEX('Программа тренировок'!$L$6:$L$25,$M936)),"Верх диапазона: пора добавлять вес",IF($G936&lt;INDEX('Программа тренировок'!$L$6:$L$25,$M936),"RIR ниже цели","В диапазоне")))))</f>
        <v/>
      </c>
      <c r="M936" s="23" t="str">
        <f aca="false">IF($C936="","",IFERROR(MATCH($C936,'Программа тренировок'!$C$6:$C$25,0),""))</f>
        <v/>
      </c>
    </row>
    <row r="937" customFormat="false" ht="15" hidden="false" customHeight="true" outlineLevel="0" collapsed="false">
      <c r="A937" s="20"/>
      <c r="B937" s="21"/>
      <c r="C937" s="19"/>
      <c r="D937" s="18"/>
      <c r="E937" s="17"/>
      <c r="F937" s="18"/>
      <c r="G937" s="18"/>
      <c r="H937" s="21"/>
      <c r="I937" s="19"/>
      <c r="J937" s="8" t="str">
        <f aca="false">IF(OR(E937="",F937=""),"",E937*F937)</f>
        <v/>
      </c>
      <c r="K937" s="22" t="str">
        <f aca="false">IF($M937="","",INDEX('Программа тренировок'!$G$6:$G$25,$M937))</f>
        <v/>
      </c>
      <c r="L937" s="23" t="str">
        <f aca="false">IF(OR($M937="",$F937="",$G937=""),"",IF($H937="Разминка","Разминка",IF($F937&lt;INDEX('Программа тренировок'!$E$6:$E$25,$M937),"Ниже диапазона",IF(AND($F937&gt;=INDEX('Программа тренировок'!$F$6:$F$25,$M937),$G937&gt;=INDEX('Программа тренировок'!$L$6:$L$25,$M937)),"Верх диапазона: пора добавлять вес",IF($G937&lt;INDEX('Программа тренировок'!$L$6:$L$25,$M937),"RIR ниже цели","В диапазоне")))))</f>
        <v/>
      </c>
      <c r="M937" s="23" t="str">
        <f aca="false">IF($C937="","",IFERROR(MATCH($C937,'Программа тренировок'!$C$6:$C$25,0),""))</f>
        <v/>
      </c>
    </row>
    <row r="938" customFormat="false" ht="15" hidden="false" customHeight="true" outlineLevel="0" collapsed="false">
      <c r="A938" s="20"/>
      <c r="B938" s="21"/>
      <c r="C938" s="19"/>
      <c r="D938" s="18"/>
      <c r="E938" s="17"/>
      <c r="F938" s="18"/>
      <c r="G938" s="18"/>
      <c r="H938" s="21"/>
      <c r="I938" s="19"/>
      <c r="J938" s="8" t="str">
        <f aca="false">IF(OR(E938="",F938=""),"",E938*F938)</f>
        <v/>
      </c>
      <c r="K938" s="22" t="str">
        <f aca="false">IF($M938="","",INDEX('Программа тренировок'!$G$6:$G$25,$M938))</f>
        <v/>
      </c>
      <c r="L938" s="23" t="str">
        <f aca="false">IF(OR($M938="",$F938="",$G938=""),"",IF($H938="Разминка","Разминка",IF($F938&lt;INDEX('Программа тренировок'!$E$6:$E$25,$M938),"Ниже диапазона",IF(AND($F938&gt;=INDEX('Программа тренировок'!$F$6:$F$25,$M938),$G938&gt;=INDEX('Программа тренировок'!$L$6:$L$25,$M938)),"Верх диапазона: пора добавлять вес",IF($G938&lt;INDEX('Программа тренировок'!$L$6:$L$25,$M938),"RIR ниже цели","В диапазоне")))))</f>
        <v/>
      </c>
      <c r="M938" s="23" t="str">
        <f aca="false">IF($C938="","",IFERROR(MATCH($C938,'Программа тренировок'!$C$6:$C$25,0),""))</f>
        <v/>
      </c>
    </row>
    <row r="939" customFormat="false" ht="15" hidden="false" customHeight="true" outlineLevel="0" collapsed="false">
      <c r="A939" s="20"/>
      <c r="B939" s="21"/>
      <c r="C939" s="19"/>
      <c r="D939" s="18"/>
      <c r="E939" s="17"/>
      <c r="F939" s="18"/>
      <c r="G939" s="18"/>
      <c r="H939" s="21"/>
      <c r="I939" s="19"/>
      <c r="J939" s="8" t="str">
        <f aca="false">IF(OR(E939="",F939=""),"",E939*F939)</f>
        <v/>
      </c>
      <c r="K939" s="22" t="str">
        <f aca="false">IF($M939="","",INDEX('Программа тренировок'!$G$6:$G$25,$M939))</f>
        <v/>
      </c>
      <c r="L939" s="23" t="str">
        <f aca="false">IF(OR($M939="",$F939="",$G939=""),"",IF($H939="Разминка","Разминка",IF($F939&lt;INDEX('Программа тренировок'!$E$6:$E$25,$M939),"Ниже диапазона",IF(AND($F939&gt;=INDEX('Программа тренировок'!$F$6:$F$25,$M939),$G939&gt;=INDEX('Программа тренировок'!$L$6:$L$25,$M939)),"Верх диапазона: пора добавлять вес",IF($G939&lt;INDEX('Программа тренировок'!$L$6:$L$25,$M939),"RIR ниже цели","В диапазоне")))))</f>
        <v/>
      </c>
      <c r="M939" s="23" t="str">
        <f aca="false">IF($C939="","",IFERROR(MATCH($C939,'Программа тренировок'!$C$6:$C$25,0),""))</f>
        <v/>
      </c>
    </row>
    <row r="940" customFormat="false" ht="15" hidden="false" customHeight="true" outlineLevel="0" collapsed="false">
      <c r="A940" s="20"/>
      <c r="B940" s="21"/>
      <c r="C940" s="19"/>
      <c r="D940" s="18"/>
      <c r="E940" s="17"/>
      <c r="F940" s="18"/>
      <c r="G940" s="18"/>
      <c r="H940" s="21"/>
      <c r="I940" s="19"/>
      <c r="J940" s="8" t="str">
        <f aca="false">IF(OR(E940="",F940=""),"",E940*F940)</f>
        <v/>
      </c>
      <c r="K940" s="22" t="str">
        <f aca="false">IF($M940="","",INDEX('Программа тренировок'!$G$6:$G$25,$M940))</f>
        <v/>
      </c>
      <c r="L940" s="23" t="str">
        <f aca="false">IF(OR($M940="",$F940="",$G940=""),"",IF($H940="Разминка","Разминка",IF($F940&lt;INDEX('Программа тренировок'!$E$6:$E$25,$M940),"Ниже диапазона",IF(AND($F940&gt;=INDEX('Программа тренировок'!$F$6:$F$25,$M940),$G940&gt;=INDEX('Программа тренировок'!$L$6:$L$25,$M940)),"Верх диапазона: пора добавлять вес",IF($G940&lt;INDEX('Программа тренировок'!$L$6:$L$25,$M940),"RIR ниже цели","В диапазоне")))))</f>
        <v/>
      </c>
      <c r="M940" s="23" t="str">
        <f aca="false">IF($C940="","",IFERROR(MATCH($C940,'Программа тренировок'!$C$6:$C$25,0),""))</f>
        <v/>
      </c>
    </row>
    <row r="941" customFormat="false" ht="15" hidden="false" customHeight="true" outlineLevel="0" collapsed="false">
      <c r="A941" s="20"/>
      <c r="B941" s="21"/>
      <c r="C941" s="19"/>
      <c r="D941" s="18"/>
      <c r="E941" s="17"/>
      <c r="F941" s="18"/>
      <c r="G941" s="18"/>
      <c r="H941" s="21"/>
      <c r="I941" s="19"/>
      <c r="J941" s="8" t="str">
        <f aca="false">IF(OR(E941="",F941=""),"",E941*F941)</f>
        <v/>
      </c>
      <c r="K941" s="22" t="str">
        <f aca="false">IF($M941="","",INDEX('Программа тренировок'!$G$6:$G$25,$M941))</f>
        <v/>
      </c>
      <c r="L941" s="23" t="str">
        <f aca="false">IF(OR($M941="",$F941="",$G941=""),"",IF($H941="Разминка","Разминка",IF($F941&lt;INDEX('Программа тренировок'!$E$6:$E$25,$M941),"Ниже диапазона",IF(AND($F941&gt;=INDEX('Программа тренировок'!$F$6:$F$25,$M941),$G941&gt;=INDEX('Программа тренировок'!$L$6:$L$25,$M941)),"Верх диапазона: пора добавлять вес",IF($G941&lt;INDEX('Программа тренировок'!$L$6:$L$25,$M941),"RIR ниже цели","В диапазоне")))))</f>
        <v/>
      </c>
      <c r="M941" s="23" t="str">
        <f aca="false">IF($C941="","",IFERROR(MATCH($C941,'Программа тренировок'!$C$6:$C$25,0),""))</f>
        <v/>
      </c>
    </row>
    <row r="942" customFormat="false" ht="15" hidden="false" customHeight="true" outlineLevel="0" collapsed="false">
      <c r="A942" s="20"/>
      <c r="B942" s="21"/>
      <c r="C942" s="19"/>
      <c r="D942" s="18"/>
      <c r="E942" s="17"/>
      <c r="F942" s="18"/>
      <c r="G942" s="18"/>
      <c r="H942" s="21"/>
      <c r="I942" s="19"/>
      <c r="J942" s="8" t="str">
        <f aca="false">IF(OR(E942="",F942=""),"",E942*F942)</f>
        <v/>
      </c>
      <c r="K942" s="22" t="str">
        <f aca="false">IF($M942="","",INDEX('Программа тренировок'!$G$6:$G$25,$M942))</f>
        <v/>
      </c>
      <c r="L942" s="23" t="str">
        <f aca="false">IF(OR($M942="",$F942="",$G942=""),"",IF($H942="Разминка","Разминка",IF($F942&lt;INDEX('Программа тренировок'!$E$6:$E$25,$M942),"Ниже диапазона",IF(AND($F942&gt;=INDEX('Программа тренировок'!$F$6:$F$25,$M942),$G942&gt;=INDEX('Программа тренировок'!$L$6:$L$25,$M942)),"Верх диапазона: пора добавлять вес",IF($G942&lt;INDEX('Программа тренировок'!$L$6:$L$25,$M942),"RIR ниже цели","В диапазоне")))))</f>
        <v/>
      </c>
      <c r="M942" s="23" t="str">
        <f aca="false">IF($C942="","",IFERROR(MATCH($C942,'Программа тренировок'!$C$6:$C$25,0),""))</f>
        <v/>
      </c>
    </row>
    <row r="943" customFormat="false" ht="15" hidden="false" customHeight="true" outlineLevel="0" collapsed="false">
      <c r="A943" s="20"/>
      <c r="B943" s="21"/>
      <c r="C943" s="19"/>
      <c r="D943" s="18"/>
      <c r="E943" s="17"/>
      <c r="F943" s="18"/>
      <c r="G943" s="18"/>
      <c r="H943" s="21"/>
      <c r="I943" s="19"/>
      <c r="J943" s="8" t="str">
        <f aca="false">IF(OR(E943="",F943=""),"",E943*F943)</f>
        <v/>
      </c>
      <c r="K943" s="22" t="str">
        <f aca="false">IF($M943="","",INDEX('Программа тренировок'!$G$6:$G$25,$M943))</f>
        <v/>
      </c>
      <c r="L943" s="23" t="str">
        <f aca="false">IF(OR($M943="",$F943="",$G943=""),"",IF($H943="Разминка","Разминка",IF($F943&lt;INDEX('Программа тренировок'!$E$6:$E$25,$M943),"Ниже диапазона",IF(AND($F943&gt;=INDEX('Программа тренировок'!$F$6:$F$25,$M943),$G943&gt;=INDEX('Программа тренировок'!$L$6:$L$25,$M943)),"Верх диапазона: пора добавлять вес",IF($G943&lt;INDEX('Программа тренировок'!$L$6:$L$25,$M943),"RIR ниже цели","В диапазоне")))))</f>
        <v/>
      </c>
      <c r="M943" s="23" t="str">
        <f aca="false">IF($C943="","",IFERROR(MATCH($C943,'Программа тренировок'!$C$6:$C$25,0),""))</f>
        <v/>
      </c>
    </row>
    <row r="944" customFormat="false" ht="15" hidden="false" customHeight="true" outlineLevel="0" collapsed="false">
      <c r="A944" s="20"/>
      <c r="B944" s="21"/>
      <c r="C944" s="19"/>
      <c r="D944" s="18"/>
      <c r="E944" s="17"/>
      <c r="F944" s="18"/>
      <c r="G944" s="18"/>
      <c r="H944" s="21"/>
      <c r="I944" s="19"/>
      <c r="J944" s="8" t="str">
        <f aca="false">IF(OR(E944="",F944=""),"",E944*F944)</f>
        <v/>
      </c>
      <c r="K944" s="22" t="str">
        <f aca="false">IF($M944="","",INDEX('Программа тренировок'!$G$6:$G$25,$M944))</f>
        <v/>
      </c>
      <c r="L944" s="23" t="str">
        <f aca="false">IF(OR($M944="",$F944="",$G944=""),"",IF($H944="Разминка","Разминка",IF($F944&lt;INDEX('Программа тренировок'!$E$6:$E$25,$M944),"Ниже диапазона",IF(AND($F944&gt;=INDEX('Программа тренировок'!$F$6:$F$25,$M944),$G944&gt;=INDEX('Программа тренировок'!$L$6:$L$25,$M944)),"Верх диапазона: пора добавлять вес",IF($G944&lt;INDEX('Программа тренировок'!$L$6:$L$25,$M944),"RIR ниже цели","В диапазоне")))))</f>
        <v/>
      </c>
      <c r="M944" s="23" t="str">
        <f aca="false">IF($C944="","",IFERROR(MATCH($C944,'Программа тренировок'!$C$6:$C$25,0),""))</f>
        <v/>
      </c>
    </row>
    <row r="945" customFormat="false" ht="15" hidden="false" customHeight="true" outlineLevel="0" collapsed="false">
      <c r="A945" s="20"/>
      <c r="B945" s="21"/>
      <c r="C945" s="19"/>
      <c r="D945" s="18"/>
      <c r="E945" s="17"/>
      <c r="F945" s="18"/>
      <c r="G945" s="18"/>
      <c r="H945" s="21"/>
      <c r="I945" s="19"/>
      <c r="J945" s="8" t="str">
        <f aca="false">IF(OR(E945="",F945=""),"",E945*F945)</f>
        <v/>
      </c>
      <c r="K945" s="22" t="str">
        <f aca="false">IF($M945="","",INDEX('Программа тренировок'!$G$6:$G$25,$M945))</f>
        <v/>
      </c>
      <c r="L945" s="23" t="str">
        <f aca="false">IF(OR($M945="",$F945="",$G945=""),"",IF($H945="Разминка","Разминка",IF($F945&lt;INDEX('Программа тренировок'!$E$6:$E$25,$M945),"Ниже диапазона",IF(AND($F945&gt;=INDEX('Программа тренировок'!$F$6:$F$25,$M945),$G945&gt;=INDEX('Программа тренировок'!$L$6:$L$25,$M945)),"Верх диапазона: пора добавлять вес",IF($G945&lt;INDEX('Программа тренировок'!$L$6:$L$25,$M945),"RIR ниже цели","В диапазоне")))))</f>
        <v/>
      </c>
      <c r="M945" s="23" t="str">
        <f aca="false">IF($C945="","",IFERROR(MATCH($C945,'Программа тренировок'!$C$6:$C$25,0),""))</f>
        <v/>
      </c>
    </row>
    <row r="946" customFormat="false" ht="15" hidden="false" customHeight="true" outlineLevel="0" collapsed="false">
      <c r="A946" s="20"/>
      <c r="B946" s="21"/>
      <c r="C946" s="19"/>
      <c r="D946" s="18"/>
      <c r="E946" s="17"/>
      <c r="F946" s="18"/>
      <c r="G946" s="18"/>
      <c r="H946" s="21"/>
      <c r="I946" s="19"/>
      <c r="J946" s="8" t="str">
        <f aca="false">IF(OR(E946="",F946=""),"",E946*F946)</f>
        <v/>
      </c>
      <c r="K946" s="22" t="str">
        <f aca="false">IF($M946="","",INDEX('Программа тренировок'!$G$6:$G$25,$M946))</f>
        <v/>
      </c>
      <c r="L946" s="23" t="str">
        <f aca="false">IF(OR($M946="",$F946="",$G946=""),"",IF($H946="Разминка","Разминка",IF($F946&lt;INDEX('Программа тренировок'!$E$6:$E$25,$M946),"Ниже диапазона",IF(AND($F946&gt;=INDEX('Программа тренировок'!$F$6:$F$25,$M946),$G946&gt;=INDEX('Программа тренировок'!$L$6:$L$25,$M946)),"Верх диапазона: пора добавлять вес",IF($G946&lt;INDEX('Программа тренировок'!$L$6:$L$25,$M946),"RIR ниже цели","В диапазоне")))))</f>
        <v/>
      </c>
      <c r="M946" s="23" t="str">
        <f aca="false">IF($C946="","",IFERROR(MATCH($C946,'Программа тренировок'!$C$6:$C$25,0),""))</f>
        <v/>
      </c>
    </row>
    <row r="947" customFormat="false" ht="15" hidden="false" customHeight="true" outlineLevel="0" collapsed="false">
      <c r="A947" s="20"/>
      <c r="B947" s="21"/>
      <c r="C947" s="19"/>
      <c r="D947" s="18"/>
      <c r="E947" s="17"/>
      <c r="F947" s="18"/>
      <c r="G947" s="18"/>
      <c r="H947" s="21"/>
      <c r="I947" s="19"/>
      <c r="J947" s="8" t="str">
        <f aca="false">IF(OR(E947="",F947=""),"",E947*F947)</f>
        <v/>
      </c>
      <c r="K947" s="22" t="str">
        <f aca="false">IF($M947="","",INDEX('Программа тренировок'!$G$6:$G$25,$M947))</f>
        <v/>
      </c>
      <c r="L947" s="23" t="str">
        <f aca="false">IF(OR($M947="",$F947="",$G947=""),"",IF($H947="Разминка","Разминка",IF($F947&lt;INDEX('Программа тренировок'!$E$6:$E$25,$M947),"Ниже диапазона",IF(AND($F947&gt;=INDEX('Программа тренировок'!$F$6:$F$25,$M947),$G947&gt;=INDEX('Программа тренировок'!$L$6:$L$25,$M947)),"Верх диапазона: пора добавлять вес",IF($G947&lt;INDEX('Программа тренировок'!$L$6:$L$25,$M947),"RIR ниже цели","В диапазоне")))))</f>
        <v/>
      </c>
      <c r="M947" s="23" t="str">
        <f aca="false">IF($C947="","",IFERROR(MATCH($C947,'Программа тренировок'!$C$6:$C$25,0),""))</f>
        <v/>
      </c>
    </row>
    <row r="948" customFormat="false" ht="15" hidden="false" customHeight="true" outlineLevel="0" collapsed="false">
      <c r="A948" s="20"/>
      <c r="B948" s="21"/>
      <c r="C948" s="19"/>
      <c r="D948" s="18"/>
      <c r="E948" s="17"/>
      <c r="F948" s="18"/>
      <c r="G948" s="18"/>
      <c r="H948" s="21"/>
      <c r="I948" s="19"/>
      <c r="J948" s="8" t="str">
        <f aca="false">IF(OR(E948="",F948=""),"",E948*F948)</f>
        <v/>
      </c>
      <c r="K948" s="22" t="str">
        <f aca="false">IF($M948="","",INDEX('Программа тренировок'!$G$6:$G$25,$M948))</f>
        <v/>
      </c>
      <c r="L948" s="23" t="str">
        <f aca="false">IF(OR($M948="",$F948="",$G948=""),"",IF($H948="Разминка","Разминка",IF($F948&lt;INDEX('Программа тренировок'!$E$6:$E$25,$M948),"Ниже диапазона",IF(AND($F948&gt;=INDEX('Программа тренировок'!$F$6:$F$25,$M948),$G948&gt;=INDEX('Программа тренировок'!$L$6:$L$25,$M948)),"Верх диапазона: пора добавлять вес",IF($G948&lt;INDEX('Программа тренировок'!$L$6:$L$25,$M948),"RIR ниже цели","В диапазоне")))))</f>
        <v/>
      </c>
      <c r="M948" s="23" t="str">
        <f aca="false">IF($C948="","",IFERROR(MATCH($C948,'Программа тренировок'!$C$6:$C$25,0),""))</f>
        <v/>
      </c>
    </row>
    <row r="949" customFormat="false" ht="15" hidden="false" customHeight="true" outlineLevel="0" collapsed="false">
      <c r="A949" s="20"/>
      <c r="B949" s="21"/>
      <c r="C949" s="19"/>
      <c r="D949" s="18"/>
      <c r="E949" s="17"/>
      <c r="F949" s="18"/>
      <c r="G949" s="18"/>
      <c r="H949" s="21"/>
      <c r="I949" s="19"/>
      <c r="J949" s="8" t="str">
        <f aca="false">IF(OR(E949="",F949=""),"",E949*F949)</f>
        <v/>
      </c>
      <c r="K949" s="22" t="str">
        <f aca="false">IF($M949="","",INDEX('Программа тренировок'!$G$6:$G$25,$M949))</f>
        <v/>
      </c>
      <c r="L949" s="23" t="str">
        <f aca="false">IF(OR($M949="",$F949="",$G949=""),"",IF($H949="Разминка","Разминка",IF($F949&lt;INDEX('Программа тренировок'!$E$6:$E$25,$M949),"Ниже диапазона",IF(AND($F949&gt;=INDEX('Программа тренировок'!$F$6:$F$25,$M949),$G949&gt;=INDEX('Программа тренировок'!$L$6:$L$25,$M949)),"Верх диапазона: пора добавлять вес",IF($G949&lt;INDEX('Программа тренировок'!$L$6:$L$25,$M949),"RIR ниже цели","В диапазоне")))))</f>
        <v/>
      </c>
      <c r="M949" s="23" t="str">
        <f aca="false">IF($C949="","",IFERROR(MATCH($C949,'Программа тренировок'!$C$6:$C$25,0),""))</f>
        <v/>
      </c>
    </row>
    <row r="950" customFormat="false" ht="15" hidden="false" customHeight="true" outlineLevel="0" collapsed="false">
      <c r="A950" s="20"/>
      <c r="B950" s="21"/>
      <c r="C950" s="19"/>
      <c r="D950" s="18"/>
      <c r="E950" s="17"/>
      <c r="F950" s="18"/>
      <c r="G950" s="18"/>
      <c r="H950" s="21"/>
      <c r="I950" s="19"/>
      <c r="J950" s="8" t="str">
        <f aca="false">IF(OR(E950="",F950=""),"",E950*F950)</f>
        <v/>
      </c>
      <c r="K950" s="22" t="str">
        <f aca="false">IF($M950="","",INDEX('Программа тренировок'!$G$6:$G$25,$M950))</f>
        <v/>
      </c>
      <c r="L950" s="23" t="str">
        <f aca="false">IF(OR($M950="",$F950="",$G950=""),"",IF($H950="Разминка","Разминка",IF($F950&lt;INDEX('Программа тренировок'!$E$6:$E$25,$M950),"Ниже диапазона",IF(AND($F950&gt;=INDEX('Программа тренировок'!$F$6:$F$25,$M950),$G950&gt;=INDEX('Программа тренировок'!$L$6:$L$25,$M950)),"Верх диапазона: пора добавлять вес",IF($G950&lt;INDEX('Программа тренировок'!$L$6:$L$25,$M950),"RIR ниже цели","В диапазоне")))))</f>
        <v/>
      </c>
      <c r="M950" s="23" t="str">
        <f aca="false">IF($C950="","",IFERROR(MATCH($C950,'Программа тренировок'!$C$6:$C$25,0),""))</f>
        <v/>
      </c>
    </row>
    <row r="951" customFormat="false" ht="15" hidden="false" customHeight="true" outlineLevel="0" collapsed="false">
      <c r="A951" s="20"/>
      <c r="B951" s="21"/>
      <c r="C951" s="19"/>
      <c r="D951" s="18"/>
      <c r="E951" s="17"/>
      <c r="F951" s="18"/>
      <c r="G951" s="18"/>
      <c r="H951" s="21"/>
      <c r="I951" s="19"/>
      <c r="J951" s="8" t="str">
        <f aca="false">IF(OR(E951="",F951=""),"",E951*F951)</f>
        <v/>
      </c>
      <c r="K951" s="22" t="str">
        <f aca="false">IF($M951="","",INDEX('Программа тренировок'!$G$6:$G$25,$M951))</f>
        <v/>
      </c>
      <c r="L951" s="23" t="str">
        <f aca="false">IF(OR($M951="",$F951="",$G951=""),"",IF($H951="Разминка","Разминка",IF($F951&lt;INDEX('Программа тренировок'!$E$6:$E$25,$M951),"Ниже диапазона",IF(AND($F951&gt;=INDEX('Программа тренировок'!$F$6:$F$25,$M951),$G951&gt;=INDEX('Программа тренировок'!$L$6:$L$25,$M951)),"Верх диапазона: пора добавлять вес",IF($G951&lt;INDEX('Программа тренировок'!$L$6:$L$25,$M951),"RIR ниже цели","В диапазоне")))))</f>
        <v/>
      </c>
      <c r="M951" s="23" t="str">
        <f aca="false">IF($C951="","",IFERROR(MATCH($C951,'Программа тренировок'!$C$6:$C$25,0),""))</f>
        <v/>
      </c>
    </row>
    <row r="952" customFormat="false" ht="15" hidden="false" customHeight="true" outlineLevel="0" collapsed="false">
      <c r="A952" s="20"/>
      <c r="B952" s="21"/>
      <c r="C952" s="19"/>
      <c r="D952" s="18"/>
      <c r="E952" s="17"/>
      <c r="F952" s="18"/>
      <c r="G952" s="18"/>
      <c r="H952" s="21"/>
      <c r="I952" s="19"/>
      <c r="J952" s="8" t="str">
        <f aca="false">IF(OR(E952="",F952=""),"",E952*F952)</f>
        <v/>
      </c>
      <c r="K952" s="22" t="str">
        <f aca="false">IF($M952="","",INDEX('Программа тренировок'!$G$6:$G$25,$M952))</f>
        <v/>
      </c>
      <c r="L952" s="23" t="str">
        <f aca="false">IF(OR($M952="",$F952="",$G952=""),"",IF($H952="Разминка","Разминка",IF($F952&lt;INDEX('Программа тренировок'!$E$6:$E$25,$M952),"Ниже диапазона",IF(AND($F952&gt;=INDEX('Программа тренировок'!$F$6:$F$25,$M952),$G952&gt;=INDEX('Программа тренировок'!$L$6:$L$25,$M952)),"Верх диапазона: пора добавлять вес",IF($G952&lt;INDEX('Программа тренировок'!$L$6:$L$25,$M952),"RIR ниже цели","В диапазоне")))))</f>
        <v/>
      </c>
      <c r="M952" s="23" t="str">
        <f aca="false">IF($C952="","",IFERROR(MATCH($C952,'Программа тренировок'!$C$6:$C$25,0),""))</f>
        <v/>
      </c>
    </row>
    <row r="953" customFormat="false" ht="15" hidden="false" customHeight="true" outlineLevel="0" collapsed="false">
      <c r="A953" s="20"/>
      <c r="B953" s="21"/>
      <c r="C953" s="19"/>
      <c r="D953" s="18"/>
      <c r="E953" s="17"/>
      <c r="F953" s="18"/>
      <c r="G953" s="18"/>
      <c r="H953" s="21"/>
      <c r="I953" s="19"/>
      <c r="J953" s="8" t="str">
        <f aca="false">IF(OR(E953="",F953=""),"",E953*F953)</f>
        <v/>
      </c>
      <c r="K953" s="22" t="str">
        <f aca="false">IF($M953="","",INDEX('Программа тренировок'!$G$6:$G$25,$M953))</f>
        <v/>
      </c>
      <c r="L953" s="23" t="str">
        <f aca="false">IF(OR($M953="",$F953="",$G953=""),"",IF($H953="Разминка","Разминка",IF($F953&lt;INDEX('Программа тренировок'!$E$6:$E$25,$M953),"Ниже диапазона",IF(AND($F953&gt;=INDEX('Программа тренировок'!$F$6:$F$25,$M953),$G953&gt;=INDEX('Программа тренировок'!$L$6:$L$25,$M953)),"Верх диапазона: пора добавлять вес",IF($G953&lt;INDEX('Программа тренировок'!$L$6:$L$25,$M953),"RIR ниже цели","В диапазоне")))))</f>
        <v/>
      </c>
      <c r="M953" s="23" t="str">
        <f aca="false">IF($C953="","",IFERROR(MATCH($C953,'Программа тренировок'!$C$6:$C$25,0),""))</f>
        <v/>
      </c>
    </row>
    <row r="954" customFormat="false" ht="15" hidden="false" customHeight="true" outlineLevel="0" collapsed="false">
      <c r="A954" s="20"/>
      <c r="B954" s="21"/>
      <c r="C954" s="19"/>
      <c r="D954" s="18"/>
      <c r="E954" s="17"/>
      <c r="F954" s="18"/>
      <c r="G954" s="18"/>
      <c r="H954" s="21"/>
      <c r="I954" s="19"/>
      <c r="J954" s="8" t="str">
        <f aca="false">IF(OR(E954="",F954=""),"",E954*F954)</f>
        <v/>
      </c>
      <c r="K954" s="22" t="str">
        <f aca="false">IF($M954="","",INDEX('Программа тренировок'!$G$6:$G$25,$M954))</f>
        <v/>
      </c>
      <c r="L954" s="23" t="str">
        <f aca="false">IF(OR($M954="",$F954="",$G954=""),"",IF($H954="Разминка","Разминка",IF($F954&lt;INDEX('Программа тренировок'!$E$6:$E$25,$M954),"Ниже диапазона",IF(AND($F954&gt;=INDEX('Программа тренировок'!$F$6:$F$25,$M954),$G954&gt;=INDEX('Программа тренировок'!$L$6:$L$25,$M954)),"Верх диапазона: пора добавлять вес",IF($G954&lt;INDEX('Программа тренировок'!$L$6:$L$25,$M954),"RIR ниже цели","В диапазоне")))))</f>
        <v/>
      </c>
      <c r="M954" s="23" t="str">
        <f aca="false">IF($C954="","",IFERROR(MATCH($C954,'Программа тренировок'!$C$6:$C$25,0),""))</f>
        <v/>
      </c>
    </row>
    <row r="955" customFormat="false" ht="15" hidden="false" customHeight="true" outlineLevel="0" collapsed="false">
      <c r="A955" s="20"/>
      <c r="B955" s="21"/>
      <c r="C955" s="19"/>
      <c r="D955" s="18"/>
      <c r="E955" s="17"/>
      <c r="F955" s="18"/>
      <c r="G955" s="18"/>
      <c r="H955" s="21"/>
      <c r="I955" s="19"/>
      <c r="J955" s="8" t="str">
        <f aca="false">IF(OR(E955="",F955=""),"",E955*F955)</f>
        <v/>
      </c>
      <c r="K955" s="22" t="str">
        <f aca="false">IF($M955="","",INDEX('Программа тренировок'!$G$6:$G$25,$M955))</f>
        <v/>
      </c>
      <c r="L955" s="23" t="str">
        <f aca="false">IF(OR($M955="",$F955="",$G955=""),"",IF($H955="Разминка","Разминка",IF($F955&lt;INDEX('Программа тренировок'!$E$6:$E$25,$M955),"Ниже диапазона",IF(AND($F955&gt;=INDEX('Программа тренировок'!$F$6:$F$25,$M955),$G955&gt;=INDEX('Программа тренировок'!$L$6:$L$25,$M955)),"Верх диапазона: пора добавлять вес",IF($G955&lt;INDEX('Программа тренировок'!$L$6:$L$25,$M955),"RIR ниже цели","В диапазоне")))))</f>
        <v/>
      </c>
      <c r="M955" s="23" t="str">
        <f aca="false">IF($C955="","",IFERROR(MATCH($C955,'Программа тренировок'!$C$6:$C$25,0),""))</f>
        <v/>
      </c>
    </row>
    <row r="956" customFormat="false" ht="15" hidden="false" customHeight="true" outlineLevel="0" collapsed="false">
      <c r="A956" s="20"/>
      <c r="B956" s="21"/>
      <c r="C956" s="19"/>
      <c r="D956" s="18"/>
      <c r="E956" s="17"/>
      <c r="F956" s="18"/>
      <c r="G956" s="18"/>
      <c r="H956" s="21"/>
      <c r="I956" s="19"/>
      <c r="J956" s="8" t="str">
        <f aca="false">IF(OR(E956="",F956=""),"",E956*F956)</f>
        <v/>
      </c>
      <c r="K956" s="22" t="str">
        <f aca="false">IF($M956="","",INDEX('Программа тренировок'!$G$6:$G$25,$M956))</f>
        <v/>
      </c>
      <c r="L956" s="23" t="str">
        <f aca="false">IF(OR($M956="",$F956="",$G956=""),"",IF($H956="Разминка","Разминка",IF($F956&lt;INDEX('Программа тренировок'!$E$6:$E$25,$M956),"Ниже диапазона",IF(AND($F956&gt;=INDEX('Программа тренировок'!$F$6:$F$25,$M956),$G956&gt;=INDEX('Программа тренировок'!$L$6:$L$25,$M956)),"Верх диапазона: пора добавлять вес",IF($G956&lt;INDEX('Программа тренировок'!$L$6:$L$25,$M956),"RIR ниже цели","В диапазоне")))))</f>
        <v/>
      </c>
      <c r="M956" s="23" t="str">
        <f aca="false">IF($C956="","",IFERROR(MATCH($C956,'Программа тренировок'!$C$6:$C$25,0),""))</f>
        <v/>
      </c>
    </row>
    <row r="957" customFormat="false" ht="15" hidden="false" customHeight="true" outlineLevel="0" collapsed="false">
      <c r="A957" s="20"/>
      <c r="B957" s="21"/>
      <c r="C957" s="19"/>
      <c r="D957" s="18"/>
      <c r="E957" s="17"/>
      <c r="F957" s="18"/>
      <c r="G957" s="18"/>
      <c r="H957" s="21"/>
      <c r="I957" s="19"/>
      <c r="J957" s="8" t="str">
        <f aca="false">IF(OR(E957="",F957=""),"",E957*F957)</f>
        <v/>
      </c>
      <c r="K957" s="22" t="str">
        <f aca="false">IF($M957="","",INDEX('Программа тренировок'!$G$6:$G$25,$M957))</f>
        <v/>
      </c>
      <c r="L957" s="23" t="str">
        <f aca="false">IF(OR($M957="",$F957="",$G957=""),"",IF($H957="Разминка","Разминка",IF($F957&lt;INDEX('Программа тренировок'!$E$6:$E$25,$M957),"Ниже диапазона",IF(AND($F957&gt;=INDEX('Программа тренировок'!$F$6:$F$25,$M957),$G957&gt;=INDEX('Программа тренировок'!$L$6:$L$25,$M957)),"Верх диапазона: пора добавлять вес",IF($G957&lt;INDEX('Программа тренировок'!$L$6:$L$25,$M957),"RIR ниже цели","В диапазоне")))))</f>
        <v/>
      </c>
      <c r="M957" s="23" t="str">
        <f aca="false">IF($C957="","",IFERROR(MATCH($C957,'Программа тренировок'!$C$6:$C$25,0),""))</f>
        <v/>
      </c>
    </row>
    <row r="958" customFormat="false" ht="15" hidden="false" customHeight="true" outlineLevel="0" collapsed="false">
      <c r="A958" s="20"/>
      <c r="B958" s="21"/>
      <c r="C958" s="19"/>
      <c r="D958" s="18"/>
      <c r="E958" s="17"/>
      <c r="F958" s="18"/>
      <c r="G958" s="18"/>
      <c r="H958" s="21"/>
      <c r="I958" s="19"/>
      <c r="J958" s="8" t="str">
        <f aca="false">IF(OR(E958="",F958=""),"",E958*F958)</f>
        <v/>
      </c>
      <c r="K958" s="22" t="str">
        <f aca="false">IF($M958="","",INDEX('Программа тренировок'!$G$6:$G$25,$M958))</f>
        <v/>
      </c>
      <c r="L958" s="23" t="str">
        <f aca="false">IF(OR($M958="",$F958="",$G958=""),"",IF($H958="Разминка","Разминка",IF($F958&lt;INDEX('Программа тренировок'!$E$6:$E$25,$M958),"Ниже диапазона",IF(AND($F958&gt;=INDEX('Программа тренировок'!$F$6:$F$25,$M958),$G958&gt;=INDEX('Программа тренировок'!$L$6:$L$25,$M958)),"Верх диапазона: пора добавлять вес",IF($G958&lt;INDEX('Программа тренировок'!$L$6:$L$25,$M958),"RIR ниже цели","В диапазоне")))))</f>
        <v/>
      </c>
      <c r="M958" s="23" t="str">
        <f aca="false">IF($C958="","",IFERROR(MATCH($C958,'Программа тренировок'!$C$6:$C$25,0),""))</f>
        <v/>
      </c>
    </row>
    <row r="959" customFormat="false" ht="15" hidden="false" customHeight="true" outlineLevel="0" collapsed="false">
      <c r="A959" s="20"/>
      <c r="B959" s="21"/>
      <c r="C959" s="19"/>
      <c r="D959" s="18"/>
      <c r="E959" s="17"/>
      <c r="F959" s="18"/>
      <c r="G959" s="18"/>
      <c r="H959" s="21"/>
      <c r="I959" s="19"/>
      <c r="J959" s="8" t="str">
        <f aca="false">IF(OR(E959="",F959=""),"",E959*F959)</f>
        <v/>
      </c>
      <c r="K959" s="22" t="str">
        <f aca="false">IF($M959="","",INDEX('Программа тренировок'!$G$6:$G$25,$M959))</f>
        <v/>
      </c>
      <c r="L959" s="23" t="str">
        <f aca="false">IF(OR($M959="",$F959="",$G959=""),"",IF($H959="Разминка","Разминка",IF($F959&lt;INDEX('Программа тренировок'!$E$6:$E$25,$M959),"Ниже диапазона",IF(AND($F959&gt;=INDEX('Программа тренировок'!$F$6:$F$25,$M959),$G959&gt;=INDEX('Программа тренировок'!$L$6:$L$25,$M959)),"Верх диапазона: пора добавлять вес",IF($G959&lt;INDEX('Программа тренировок'!$L$6:$L$25,$M959),"RIR ниже цели","В диапазоне")))))</f>
        <v/>
      </c>
      <c r="M959" s="23" t="str">
        <f aca="false">IF($C959="","",IFERROR(MATCH($C959,'Программа тренировок'!$C$6:$C$25,0),""))</f>
        <v/>
      </c>
    </row>
    <row r="960" customFormat="false" ht="15" hidden="false" customHeight="true" outlineLevel="0" collapsed="false">
      <c r="A960" s="20"/>
      <c r="B960" s="21"/>
      <c r="C960" s="19"/>
      <c r="D960" s="18"/>
      <c r="E960" s="17"/>
      <c r="F960" s="18"/>
      <c r="G960" s="18"/>
      <c r="H960" s="21"/>
      <c r="I960" s="19"/>
      <c r="J960" s="8" t="str">
        <f aca="false">IF(OR(E960="",F960=""),"",E960*F960)</f>
        <v/>
      </c>
      <c r="K960" s="22" t="str">
        <f aca="false">IF($M960="","",INDEX('Программа тренировок'!$G$6:$G$25,$M960))</f>
        <v/>
      </c>
      <c r="L960" s="23" t="str">
        <f aca="false">IF(OR($M960="",$F960="",$G960=""),"",IF($H960="Разминка","Разминка",IF($F960&lt;INDEX('Программа тренировок'!$E$6:$E$25,$M960),"Ниже диапазона",IF(AND($F960&gt;=INDEX('Программа тренировок'!$F$6:$F$25,$M960),$G960&gt;=INDEX('Программа тренировок'!$L$6:$L$25,$M960)),"Верх диапазона: пора добавлять вес",IF($G960&lt;INDEX('Программа тренировок'!$L$6:$L$25,$M960),"RIR ниже цели","В диапазоне")))))</f>
        <v/>
      </c>
      <c r="M960" s="23" t="str">
        <f aca="false">IF($C960="","",IFERROR(MATCH($C960,'Программа тренировок'!$C$6:$C$25,0),""))</f>
        <v/>
      </c>
    </row>
    <row r="961" customFormat="false" ht="15" hidden="false" customHeight="true" outlineLevel="0" collapsed="false">
      <c r="A961" s="20"/>
      <c r="B961" s="21"/>
      <c r="C961" s="19"/>
      <c r="D961" s="18"/>
      <c r="E961" s="17"/>
      <c r="F961" s="18"/>
      <c r="G961" s="18"/>
      <c r="H961" s="21"/>
      <c r="I961" s="19"/>
      <c r="J961" s="8" t="str">
        <f aca="false">IF(OR(E961="",F961=""),"",E961*F961)</f>
        <v/>
      </c>
      <c r="K961" s="22" t="str">
        <f aca="false">IF($M961="","",INDEX('Программа тренировок'!$G$6:$G$25,$M961))</f>
        <v/>
      </c>
      <c r="L961" s="23" t="str">
        <f aca="false">IF(OR($M961="",$F961="",$G961=""),"",IF($H961="Разминка","Разминка",IF($F961&lt;INDEX('Программа тренировок'!$E$6:$E$25,$M961),"Ниже диапазона",IF(AND($F961&gt;=INDEX('Программа тренировок'!$F$6:$F$25,$M961),$G961&gt;=INDEX('Программа тренировок'!$L$6:$L$25,$M961)),"Верх диапазона: пора добавлять вес",IF($G961&lt;INDEX('Программа тренировок'!$L$6:$L$25,$M961),"RIR ниже цели","В диапазоне")))))</f>
        <v/>
      </c>
      <c r="M961" s="23" t="str">
        <f aca="false">IF($C961="","",IFERROR(MATCH($C961,'Программа тренировок'!$C$6:$C$25,0),""))</f>
        <v/>
      </c>
    </row>
    <row r="962" customFormat="false" ht="15" hidden="false" customHeight="true" outlineLevel="0" collapsed="false">
      <c r="A962" s="20"/>
      <c r="B962" s="21"/>
      <c r="C962" s="19"/>
      <c r="D962" s="18"/>
      <c r="E962" s="17"/>
      <c r="F962" s="18"/>
      <c r="G962" s="18"/>
      <c r="H962" s="21"/>
      <c r="I962" s="19"/>
      <c r="J962" s="8" t="str">
        <f aca="false">IF(OR(E962="",F962=""),"",E962*F962)</f>
        <v/>
      </c>
      <c r="K962" s="22" t="str">
        <f aca="false">IF($M962="","",INDEX('Программа тренировок'!$G$6:$G$25,$M962))</f>
        <v/>
      </c>
      <c r="L962" s="23" t="str">
        <f aca="false">IF(OR($M962="",$F962="",$G962=""),"",IF($H962="Разминка","Разминка",IF($F962&lt;INDEX('Программа тренировок'!$E$6:$E$25,$M962),"Ниже диапазона",IF(AND($F962&gt;=INDEX('Программа тренировок'!$F$6:$F$25,$M962),$G962&gt;=INDEX('Программа тренировок'!$L$6:$L$25,$M962)),"Верх диапазона: пора добавлять вес",IF($G962&lt;INDEX('Программа тренировок'!$L$6:$L$25,$M962),"RIR ниже цели","В диапазоне")))))</f>
        <v/>
      </c>
      <c r="M962" s="23" t="str">
        <f aca="false">IF($C962="","",IFERROR(MATCH($C962,'Программа тренировок'!$C$6:$C$25,0),""))</f>
        <v/>
      </c>
    </row>
    <row r="963" customFormat="false" ht="15" hidden="false" customHeight="true" outlineLevel="0" collapsed="false">
      <c r="A963" s="20"/>
      <c r="B963" s="21"/>
      <c r="C963" s="19"/>
      <c r="D963" s="18"/>
      <c r="E963" s="17"/>
      <c r="F963" s="18"/>
      <c r="G963" s="18"/>
      <c r="H963" s="21"/>
      <c r="I963" s="19"/>
      <c r="J963" s="8" t="str">
        <f aca="false">IF(OR(E963="",F963=""),"",E963*F963)</f>
        <v/>
      </c>
      <c r="K963" s="22" t="str">
        <f aca="false">IF($M963="","",INDEX('Программа тренировок'!$G$6:$G$25,$M963))</f>
        <v/>
      </c>
      <c r="L963" s="23" t="str">
        <f aca="false">IF(OR($M963="",$F963="",$G963=""),"",IF($H963="Разминка","Разминка",IF($F963&lt;INDEX('Программа тренировок'!$E$6:$E$25,$M963),"Ниже диапазона",IF(AND($F963&gt;=INDEX('Программа тренировок'!$F$6:$F$25,$M963),$G963&gt;=INDEX('Программа тренировок'!$L$6:$L$25,$M963)),"Верх диапазона: пора добавлять вес",IF($G963&lt;INDEX('Программа тренировок'!$L$6:$L$25,$M963),"RIR ниже цели","В диапазоне")))))</f>
        <v/>
      </c>
      <c r="M963" s="23" t="str">
        <f aca="false">IF($C963="","",IFERROR(MATCH($C963,'Программа тренировок'!$C$6:$C$25,0),""))</f>
        <v/>
      </c>
    </row>
    <row r="964" customFormat="false" ht="15" hidden="false" customHeight="true" outlineLevel="0" collapsed="false">
      <c r="A964" s="20"/>
      <c r="B964" s="21"/>
      <c r="C964" s="19"/>
      <c r="D964" s="18"/>
      <c r="E964" s="17"/>
      <c r="F964" s="18"/>
      <c r="G964" s="18"/>
      <c r="H964" s="21"/>
      <c r="I964" s="19"/>
      <c r="J964" s="8" t="str">
        <f aca="false">IF(OR(E964="",F964=""),"",E964*F964)</f>
        <v/>
      </c>
      <c r="K964" s="22" t="str">
        <f aca="false">IF($M964="","",INDEX('Программа тренировок'!$G$6:$G$25,$M964))</f>
        <v/>
      </c>
      <c r="L964" s="23" t="str">
        <f aca="false">IF(OR($M964="",$F964="",$G964=""),"",IF($H964="Разминка","Разминка",IF($F964&lt;INDEX('Программа тренировок'!$E$6:$E$25,$M964),"Ниже диапазона",IF(AND($F964&gt;=INDEX('Программа тренировок'!$F$6:$F$25,$M964),$G964&gt;=INDEX('Программа тренировок'!$L$6:$L$25,$M964)),"Верх диапазона: пора добавлять вес",IF($G964&lt;INDEX('Программа тренировок'!$L$6:$L$25,$M964),"RIR ниже цели","В диапазоне")))))</f>
        <v/>
      </c>
      <c r="M964" s="23" t="str">
        <f aca="false">IF($C964="","",IFERROR(MATCH($C964,'Программа тренировок'!$C$6:$C$25,0),""))</f>
        <v/>
      </c>
    </row>
    <row r="965" customFormat="false" ht="15" hidden="false" customHeight="true" outlineLevel="0" collapsed="false">
      <c r="A965" s="20"/>
      <c r="B965" s="21"/>
      <c r="C965" s="19"/>
      <c r="D965" s="18"/>
      <c r="E965" s="17"/>
      <c r="F965" s="18"/>
      <c r="G965" s="18"/>
      <c r="H965" s="21"/>
      <c r="I965" s="19"/>
      <c r="J965" s="8" t="str">
        <f aca="false">IF(OR(E965="",F965=""),"",E965*F965)</f>
        <v/>
      </c>
      <c r="K965" s="22" t="str">
        <f aca="false">IF($M965="","",INDEX('Программа тренировок'!$G$6:$G$25,$M965))</f>
        <v/>
      </c>
      <c r="L965" s="23" t="str">
        <f aca="false">IF(OR($M965="",$F965="",$G965=""),"",IF($H965="Разминка","Разминка",IF($F965&lt;INDEX('Программа тренировок'!$E$6:$E$25,$M965),"Ниже диапазона",IF(AND($F965&gt;=INDEX('Программа тренировок'!$F$6:$F$25,$M965),$G965&gt;=INDEX('Программа тренировок'!$L$6:$L$25,$M965)),"Верх диапазона: пора добавлять вес",IF($G965&lt;INDEX('Программа тренировок'!$L$6:$L$25,$M965),"RIR ниже цели","В диапазоне")))))</f>
        <v/>
      </c>
      <c r="M965" s="23" t="str">
        <f aca="false">IF($C965="","",IFERROR(MATCH($C965,'Программа тренировок'!$C$6:$C$25,0),""))</f>
        <v/>
      </c>
    </row>
    <row r="966" customFormat="false" ht="15" hidden="false" customHeight="true" outlineLevel="0" collapsed="false">
      <c r="A966" s="20"/>
      <c r="B966" s="21"/>
      <c r="C966" s="19"/>
      <c r="D966" s="18"/>
      <c r="E966" s="17"/>
      <c r="F966" s="18"/>
      <c r="G966" s="18"/>
      <c r="H966" s="21"/>
      <c r="I966" s="19"/>
      <c r="J966" s="8" t="str">
        <f aca="false">IF(OR(E966="",F966=""),"",E966*F966)</f>
        <v/>
      </c>
      <c r="K966" s="22" t="str">
        <f aca="false">IF($M966="","",INDEX('Программа тренировок'!$G$6:$G$25,$M966))</f>
        <v/>
      </c>
      <c r="L966" s="23" t="str">
        <f aca="false">IF(OR($M966="",$F966="",$G966=""),"",IF($H966="Разминка","Разминка",IF($F966&lt;INDEX('Программа тренировок'!$E$6:$E$25,$M966),"Ниже диапазона",IF(AND($F966&gt;=INDEX('Программа тренировок'!$F$6:$F$25,$M966),$G966&gt;=INDEX('Программа тренировок'!$L$6:$L$25,$M966)),"Верх диапазона: пора добавлять вес",IF($G966&lt;INDEX('Программа тренировок'!$L$6:$L$25,$M966),"RIR ниже цели","В диапазоне")))))</f>
        <v/>
      </c>
      <c r="M966" s="23" t="str">
        <f aca="false">IF($C966="","",IFERROR(MATCH($C966,'Программа тренировок'!$C$6:$C$25,0),""))</f>
        <v/>
      </c>
    </row>
    <row r="967" customFormat="false" ht="15" hidden="false" customHeight="true" outlineLevel="0" collapsed="false">
      <c r="A967" s="20"/>
      <c r="B967" s="21"/>
      <c r="C967" s="19"/>
      <c r="D967" s="18"/>
      <c r="E967" s="17"/>
      <c r="F967" s="18"/>
      <c r="G967" s="18"/>
      <c r="H967" s="21"/>
      <c r="I967" s="19"/>
      <c r="J967" s="8" t="str">
        <f aca="false">IF(OR(E967="",F967=""),"",E967*F967)</f>
        <v/>
      </c>
      <c r="K967" s="22" t="str">
        <f aca="false">IF($M967="","",INDEX('Программа тренировок'!$G$6:$G$25,$M967))</f>
        <v/>
      </c>
      <c r="L967" s="23" t="str">
        <f aca="false">IF(OR($M967="",$F967="",$G967=""),"",IF($H967="Разминка","Разминка",IF($F967&lt;INDEX('Программа тренировок'!$E$6:$E$25,$M967),"Ниже диапазона",IF(AND($F967&gt;=INDEX('Программа тренировок'!$F$6:$F$25,$M967),$G967&gt;=INDEX('Программа тренировок'!$L$6:$L$25,$M967)),"Верх диапазона: пора добавлять вес",IF($G967&lt;INDEX('Программа тренировок'!$L$6:$L$25,$M967),"RIR ниже цели","В диапазоне")))))</f>
        <v/>
      </c>
      <c r="M967" s="23" t="str">
        <f aca="false">IF($C967="","",IFERROR(MATCH($C967,'Программа тренировок'!$C$6:$C$25,0),""))</f>
        <v/>
      </c>
    </row>
    <row r="968" customFormat="false" ht="15" hidden="false" customHeight="true" outlineLevel="0" collapsed="false">
      <c r="A968" s="20"/>
      <c r="B968" s="21"/>
      <c r="C968" s="19"/>
      <c r="D968" s="18"/>
      <c r="E968" s="17"/>
      <c r="F968" s="18"/>
      <c r="G968" s="18"/>
      <c r="H968" s="21"/>
      <c r="I968" s="19"/>
      <c r="J968" s="8" t="str">
        <f aca="false">IF(OR(E968="",F968=""),"",E968*F968)</f>
        <v/>
      </c>
      <c r="K968" s="22" t="str">
        <f aca="false">IF($M968="","",INDEX('Программа тренировок'!$G$6:$G$25,$M968))</f>
        <v/>
      </c>
      <c r="L968" s="23" t="str">
        <f aca="false">IF(OR($M968="",$F968="",$G968=""),"",IF($H968="Разминка","Разминка",IF($F968&lt;INDEX('Программа тренировок'!$E$6:$E$25,$M968),"Ниже диапазона",IF(AND($F968&gt;=INDEX('Программа тренировок'!$F$6:$F$25,$M968),$G968&gt;=INDEX('Программа тренировок'!$L$6:$L$25,$M968)),"Верх диапазона: пора добавлять вес",IF($G968&lt;INDEX('Программа тренировок'!$L$6:$L$25,$M968),"RIR ниже цели","В диапазоне")))))</f>
        <v/>
      </c>
      <c r="M968" s="23" t="str">
        <f aca="false">IF($C968="","",IFERROR(MATCH($C968,'Программа тренировок'!$C$6:$C$25,0),""))</f>
        <v/>
      </c>
    </row>
    <row r="969" customFormat="false" ht="15" hidden="false" customHeight="true" outlineLevel="0" collapsed="false">
      <c r="A969" s="20"/>
      <c r="B969" s="21"/>
      <c r="C969" s="19"/>
      <c r="D969" s="18"/>
      <c r="E969" s="17"/>
      <c r="F969" s="18"/>
      <c r="G969" s="18"/>
      <c r="H969" s="21"/>
      <c r="I969" s="19"/>
      <c r="J969" s="8" t="str">
        <f aca="false">IF(OR(E969="",F969=""),"",E969*F969)</f>
        <v/>
      </c>
      <c r="K969" s="22" t="str">
        <f aca="false">IF($M969="","",INDEX('Программа тренировок'!$G$6:$G$25,$M969))</f>
        <v/>
      </c>
      <c r="L969" s="23" t="str">
        <f aca="false">IF(OR($M969="",$F969="",$G969=""),"",IF($H969="Разминка","Разминка",IF($F969&lt;INDEX('Программа тренировок'!$E$6:$E$25,$M969),"Ниже диапазона",IF(AND($F969&gt;=INDEX('Программа тренировок'!$F$6:$F$25,$M969),$G969&gt;=INDEX('Программа тренировок'!$L$6:$L$25,$M969)),"Верх диапазона: пора добавлять вес",IF($G969&lt;INDEX('Программа тренировок'!$L$6:$L$25,$M969),"RIR ниже цели","В диапазоне")))))</f>
        <v/>
      </c>
      <c r="M969" s="23" t="str">
        <f aca="false">IF($C969="","",IFERROR(MATCH($C969,'Программа тренировок'!$C$6:$C$25,0),""))</f>
        <v/>
      </c>
    </row>
    <row r="970" customFormat="false" ht="15" hidden="false" customHeight="true" outlineLevel="0" collapsed="false">
      <c r="A970" s="20"/>
      <c r="B970" s="21"/>
      <c r="C970" s="19"/>
      <c r="D970" s="18"/>
      <c r="E970" s="17"/>
      <c r="F970" s="18"/>
      <c r="G970" s="18"/>
      <c r="H970" s="21"/>
      <c r="I970" s="19"/>
      <c r="J970" s="8" t="str">
        <f aca="false">IF(OR(E970="",F970=""),"",E970*F970)</f>
        <v/>
      </c>
      <c r="K970" s="22" t="str">
        <f aca="false">IF($M970="","",INDEX('Программа тренировок'!$G$6:$G$25,$M970))</f>
        <v/>
      </c>
      <c r="L970" s="23" t="str">
        <f aca="false">IF(OR($M970="",$F970="",$G970=""),"",IF($H970="Разминка","Разминка",IF($F970&lt;INDEX('Программа тренировок'!$E$6:$E$25,$M970),"Ниже диапазона",IF(AND($F970&gt;=INDEX('Программа тренировок'!$F$6:$F$25,$M970),$G970&gt;=INDEX('Программа тренировок'!$L$6:$L$25,$M970)),"Верх диапазона: пора добавлять вес",IF($G970&lt;INDEX('Программа тренировок'!$L$6:$L$25,$M970),"RIR ниже цели","В диапазоне")))))</f>
        <v/>
      </c>
      <c r="M970" s="23" t="str">
        <f aca="false">IF($C970="","",IFERROR(MATCH($C970,'Программа тренировок'!$C$6:$C$25,0),""))</f>
        <v/>
      </c>
    </row>
    <row r="971" customFormat="false" ht="15" hidden="false" customHeight="true" outlineLevel="0" collapsed="false">
      <c r="A971" s="20"/>
      <c r="B971" s="21"/>
      <c r="C971" s="19"/>
      <c r="D971" s="18"/>
      <c r="E971" s="17"/>
      <c r="F971" s="18"/>
      <c r="G971" s="18"/>
      <c r="H971" s="21"/>
      <c r="I971" s="19"/>
      <c r="J971" s="8" t="str">
        <f aca="false">IF(OR(E971="",F971=""),"",E971*F971)</f>
        <v/>
      </c>
      <c r="K971" s="22" t="str">
        <f aca="false">IF($M971="","",INDEX('Программа тренировок'!$G$6:$G$25,$M971))</f>
        <v/>
      </c>
      <c r="L971" s="23" t="str">
        <f aca="false">IF(OR($M971="",$F971="",$G971=""),"",IF($H971="Разминка","Разминка",IF($F971&lt;INDEX('Программа тренировок'!$E$6:$E$25,$M971),"Ниже диапазона",IF(AND($F971&gt;=INDEX('Программа тренировок'!$F$6:$F$25,$M971),$G971&gt;=INDEX('Программа тренировок'!$L$6:$L$25,$M971)),"Верх диапазона: пора добавлять вес",IF($G971&lt;INDEX('Программа тренировок'!$L$6:$L$25,$M971),"RIR ниже цели","В диапазоне")))))</f>
        <v/>
      </c>
      <c r="M971" s="23" t="str">
        <f aca="false">IF($C971="","",IFERROR(MATCH($C971,'Программа тренировок'!$C$6:$C$25,0),""))</f>
        <v/>
      </c>
    </row>
    <row r="972" customFormat="false" ht="15" hidden="false" customHeight="true" outlineLevel="0" collapsed="false">
      <c r="A972" s="20"/>
      <c r="B972" s="21"/>
      <c r="C972" s="19"/>
      <c r="D972" s="18"/>
      <c r="E972" s="17"/>
      <c r="F972" s="18"/>
      <c r="G972" s="18"/>
      <c r="H972" s="21"/>
      <c r="I972" s="19"/>
      <c r="J972" s="8" t="str">
        <f aca="false">IF(OR(E972="",F972=""),"",E972*F972)</f>
        <v/>
      </c>
      <c r="K972" s="22" t="str">
        <f aca="false">IF($M972="","",INDEX('Программа тренировок'!$G$6:$G$25,$M972))</f>
        <v/>
      </c>
      <c r="L972" s="23" t="str">
        <f aca="false">IF(OR($M972="",$F972="",$G972=""),"",IF($H972="Разминка","Разминка",IF($F972&lt;INDEX('Программа тренировок'!$E$6:$E$25,$M972),"Ниже диапазона",IF(AND($F972&gt;=INDEX('Программа тренировок'!$F$6:$F$25,$M972),$G972&gt;=INDEX('Программа тренировок'!$L$6:$L$25,$M972)),"Верх диапазона: пора добавлять вес",IF($G972&lt;INDEX('Программа тренировок'!$L$6:$L$25,$M972),"RIR ниже цели","В диапазоне")))))</f>
        <v/>
      </c>
      <c r="M972" s="23" t="str">
        <f aca="false">IF($C972="","",IFERROR(MATCH($C972,'Программа тренировок'!$C$6:$C$25,0),""))</f>
        <v/>
      </c>
    </row>
    <row r="973" customFormat="false" ht="15" hidden="false" customHeight="true" outlineLevel="0" collapsed="false">
      <c r="A973" s="20"/>
      <c r="B973" s="21"/>
      <c r="C973" s="19"/>
      <c r="D973" s="18"/>
      <c r="E973" s="17"/>
      <c r="F973" s="18"/>
      <c r="G973" s="18"/>
      <c r="H973" s="21"/>
      <c r="I973" s="19"/>
      <c r="J973" s="8" t="str">
        <f aca="false">IF(OR(E973="",F973=""),"",E973*F973)</f>
        <v/>
      </c>
      <c r="K973" s="22" t="str">
        <f aca="false">IF($M973="","",INDEX('Программа тренировок'!$G$6:$G$25,$M973))</f>
        <v/>
      </c>
      <c r="L973" s="23" t="str">
        <f aca="false">IF(OR($M973="",$F973="",$G973=""),"",IF($H973="Разминка","Разминка",IF($F973&lt;INDEX('Программа тренировок'!$E$6:$E$25,$M973),"Ниже диапазона",IF(AND($F973&gt;=INDEX('Программа тренировок'!$F$6:$F$25,$M973),$G973&gt;=INDEX('Программа тренировок'!$L$6:$L$25,$M973)),"Верх диапазона: пора добавлять вес",IF($G973&lt;INDEX('Программа тренировок'!$L$6:$L$25,$M973),"RIR ниже цели","В диапазоне")))))</f>
        <v/>
      </c>
      <c r="M973" s="23" t="str">
        <f aca="false">IF($C973="","",IFERROR(MATCH($C973,'Программа тренировок'!$C$6:$C$25,0),""))</f>
        <v/>
      </c>
    </row>
    <row r="974" customFormat="false" ht="15" hidden="false" customHeight="true" outlineLevel="0" collapsed="false">
      <c r="A974" s="20"/>
      <c r="B974" s="21"/>
      <c r="C974" s="19"/>
      <c r="D974" s="18"/>
      <c r="E974" s="17"/>
      <c r="F974" s="18"/>
      <c r="G974" s="18"/>
      <c r="H974" s="21"/>
      <c r="I974" s="19"/>
      <c r="J974" s="8" t="str">
        <f aca="false">IF(OR(E974="",F974=""),"",E974*F974)</f>
        <v/>
      </c>
      <c r="K974" s="22" t="str">
        <f aca="false">IF($M974="","",INDEX('Программа тренировок'!$G$6:$G$25,$M974))</f>
        <v/>
      </c>
      <c r="L974" s="23" t="str">
        <f aca="false">IF(OR($M974="",$F974="",$G974=""),"",IF($H974="Разминка","Разминка",IF($F974&lt;INDEX('Программа тренировок'!$E$6:$E$25,$M974),"Ниже диапазона",IF(AND($F974&gt;=INDEX('Программа тренировок'!$F$6:$F$25,$M974),$G974&gt;=INDEX('Программа тренировок'!$L$6:$L$25,$M974)),"Верх диапазона: пора добавлять вес",IF($G974&lt;INDEX('Программа тренировок'!$L$6:$L$25,$M974),"RIR ниже цели","В диапазоне")))))</f>
        <v/>
      </c>
      <c r="M974" s="23" t="str">
        <f aca="false">IF($C974="","",IFERROR(MATCH($C974,'Программа тренировок'!$C$6:$C$25,0),""))</f>
        <v/>
      </c>
    </row>
    <row r="975" customFormat="false" ht="15" hidden="false" customHeight="true" outlineLevel="0" collapsed="false">
      <c r="A975" s="20"/>
      <c r="B975" s="21"/>
      <c r="C975" s="19"/>
      <c r="D975" s="18"/>
      <c r="E975" s="17"/>
      <c r="F975" s="18"/>
      <c r="G975" s="18"/>
      <c r="H975" s="21"/>
      <c r="I975" s="19"/>
      <c r="J975" s="8" t="str">
        <f aca="false">IF(OR(E975="",F975=""),"",E975*F975)</f>
        <v/>
      </c>
      <c r="K975" s="22" t="str">
        <f aca="false">IF($M975="","",INDEX('Программа тренировок'!$G$6:$G$25,$M975))</f>
        <v/>
      </c>
      <c r="L975" s="23" t="str">
        <f aca="false">IF(OR($M975="",$F975="",$G975=""),"",IF($H975="Разминка","Разминка",IF($F975&lt;INDEX('Программа тренировок'!$E$6:$E$25,$M975),"Ниже диапазона",IF(AND($F975&gt;=INDEX('Программа тренировок'!$F$6:$F$25,$M975),$G975&gt;=INDEX('Программа тренировок'!$L$6:$L$25,$M975)),"Верх диапазона: пора добавлять вес",IF($G975&lt;INDEX('Программа тренировок'!$L$6:$L$25,$M975),"RIR ниже цели","В диапазоне")))))</f>
        <v/>
      </c>
      <c r="M975" s="23" t="str">
        <f aca="false">IF($C975="","",IFERROR(MATCH($C975,'Программа тренировок'!$C$6:$C$25,0),""))</f>
        <v/>
      </c>
    </row>
    <row r="976" customFormat="false" ht="15" hidden="false" customHeight="true" outlineLevel="0" collapsed="false">
      <c r="A976" s="20"/>
      <c r="B976" s="21"/>
      <c r="C976" s="19"/>
      <c r="D976" s="18"/>
      <c r="E976" s="17"/>
      <c r="F976" s="18"/>
      <c r="G976" s="18"/>
      <c r="H976" s="21"/>
      <c r="I976" s="19"/>
      <c r="J976" s="8" t="str">
        <f aca="false">IF(OR(E976="",F976=""),"",E976*F976)</f>
        <v/>
      </c>
      <c r="K976" s="22" t="str">
        <f aca="false">IF($M976="","",INDEX('Программа тренировок'!$G$6:$G$25,$M976))</f>
        <v/>
      </c>
      <c r="L976" s="23" t="str">
        <f aca="false">IF(OR($M976="",$F976="",$G976=""),"",IF($H976="Разминка","Разминка",IF($F976&lt;INDEX('Программа тренировок'!$E$6:$E$25,$M976),"Ниже диапазона",IF(AND($F976&gt;=INDEX('Программа тренировок'!$F$6:$F$25,$M976),$G976&gt;=INDEX('Программа тренировок'!$L$6:$L$25,$M976)),"Верх диапазона: пора добавлять вес",IF($G976&lt;INDEX('Программа тренировок'!$L$6:$L$25,$M976),"RIR ниже цели","В диапазоне")))))</f>
        <v/>
      </c>
      <c r="M976" s="23" t="str">
        <f aca="false">IF($C976="","",IFERROR(MATCH($C976,'Программа тренировок'!$C$6:$C$25,0),""))</f>
        <v/>
      </c>
    </row>
    <row r="977" customFormat="false" ht="15" hidden="false" customHeight="true" outlineLevel="0" collapsed="false">
      <c r="A977" s="20"/>
      <c r="B977" s="21"/>
      <c r="C977" s="19"/>
      <c r="D977" s="18"/>
      <c r="E977" s="17"/>
      <c r="F977" s="18"/>
      <c r="G977" s="18"/>
      <c r="H977" s="21"/>
      <c r="I977" s="19"/>
      <c r="J977" s="8" t="str">
        <f aca="false">IF(OR(E977="",F977=""),"",E977*F977)</f>
        <v/>
      </c>
      <c r="K977" s="22" t="str">
        <f aca="false">IF($M977="","",INDEX('Программа тренировок'!$G$6:$G$25,$M977))</f>
        <v/>
      </c>
      <c r="L977" s="23" t="str">
        <f aca="false">IF(OR($M977="",$F977="",$G977=""),"",IF($H977="Разминка","Разминка",IF($F977&lt;INDEX('Программа тренировок'!$E$6:$E$25,$M977),"Ниже диапазона",IF(AND($F977&gt;=INDEX('Программа тренировок'!$F$6:$F$25,$M977),$G977&gt;=INDEX('Программа тренировок'!$L$6:$L$25,$M977)),"Верх диапазона: пора добавлять вес",IF($G977&lt;INDEX('Программа тренировок'!$L$6:$L$25,$M977),"RIR ниже цели","В диапазоне")))))</f>
        <v/>
      </c>
      <c r="M977" s="23" t="str">
        <f aca="false">IF($C977="","",IFERROR(MATCH($C977,'Программа тренировок'!$C$6:$C$25,0),""))</f>
        <v/>
      </c>
    </row>
    <row r="978" customFormat="false" ht="15" hidden="false" customHeight="true" outlineLevel="0" collapsed="false">
      <c r="A978" s="20"/>
      <c r="B978" s="21"/>
      <c r="C978" s="19"/>
      <c r="D978" s="18"/>
      <c r="E978" s="17"/>
      <c r="F978" s="18"/>
      <c r="G978" s="18"/>
      <c r="H978" s="21"/>
      <c r="I978" s="19"/>
      <c r="J978" s="8" t="str">
        <f aca="false">IF(OR(E978="",F978=""),"",E978*F978)</f>
        <v/>
      </c>
      <c r="K978" s="22" t="str">
        <f aca="false">IF($M978="","",INDEX('Программа тренировок'!$G$6:$G$25,$M978))</f>
        <v/>
      </c>
      <c r="L978" s="23" t="str">
        <f aca="false">IF(OR($M978="",$F978="",$G978=""),"",IF($H978="Разминка","Разминка",IF($F978&lt;INDEX('Программа тренировок'!$E$6:$E$25,$M978),"Ниже диапазона",IF(AND($F978&gt;=INDEX('Программа тренировок'!$F$6:$F$25,$M978),$G978&gt;=INDEX('Программа тренировок'!$L$6:$L$25,$M978)),"Верх диапазона: пора добавлять вес",IF($G978&lt;INDEX('Программа тренировок'!$L$6:$L$25,$M978),"RIR ниже цели","В диапазоне")))))</f>
        <v/>
      </c>
      <c r="M978" s="23" t="str">
        <f aca="false">IF($C978="","",IFERROR(MATCH($C978,'Программа тренировок'!$C$6:$C$25,0),""))</f>
        <v/>
      </c>
    </row>
    <row r="979" customFormat="false" ht="15" hidden="false" customHeight="true" outlineLevel="0" collapsed="false">
      <c r="A979" s="20"/>
      <c r="B979" s="21"/>
      <c r="C979" s="19"/>
      <c r="D979" s="18"/>
      <c r="E979" s="17"/>
      <c r="F979" s="18"/>
      <c r="G979" s="18"/>
      <c r="H979" s="21"/>
      <c r="I979" s="19"/>
      <c r="J979" s="8" t="str">
        <f aca="false">IF(OR(E979="",F979=""),"",E979*F979)</f>
        <v/>
      </c>
      <c r="K979" s="22" t="str">
        <f aca="false">IF($M979="","",INDEX('Программа тренировок'!$G$6:$G$25,$M979))</f>
        <v/>
      </c>
      <c r="L979" s="23" t="str">
        <f aca="false">IF(OR($M979="",$F979="",$G979=""),"",IF($H979="Разминка","Разминка",IF($F979&lt;INDEX('Программа тренировок'!$E$6:$E$25,$M979),"Ниже диапазона",IF(AND($F979&gt;=INDEX('Программа тренировок'!$F$6:$F$25,$M979),$G979&gt;=INDEX('Программа тренировок'!$L$6:$L$25,$M979)),"Верх диапазона: пора добавлять вес",IF($G979&lt;INDEX('Программа тренировок'!$L$6:$L$25,$M979),"RIR ниже цели","В диапазоне")))))</f>
        <v/>
      </c>
      <c r="M979" s="23" t="str">
        <f aca="false">IF($C979="","",IFERROR(MATCH($C979,'Программа тренировок'!$C$6:$C$25,0),""))</f>
        <v/>
      </c>
    </row>
    <row r="980" customFormat="false" ht="15" hidden="false" customHeight="true" outlineLevel="0" collapsed="false">
      <c r="A980" s="20"/>
      <c r="B980" s="21"/>
      <c r="C980" s="19"/>
      <c r="D980" s="18"/>
      <c r="E980" s="17"/>
      <c r="F980" s="18"/>
      <c r="G980" s="18"/>
      <c r="H980" s="21"/>
      <c r="I980" s="19"/>
      <c r="J980" s="8" t="str">
        <f aca="false">IF(OR(E980="",F980=""),"",E980*F980)</f>
        <v/>
      </c>
      <c r="K980" s="22" t="str">
        <f aca="false">IF($M980="","",INDEX('Программа тренировок'!$G$6:$G$25,$M980))</f>
        <v/>
      </c>
      <c r="L980" s="23" t="str">
        <f aca="false">IF(OR($M980="",$F980="",$G980=""),"",IF($H980="Разминка","Разминка",IF($F980&lt;INDEX('Программа тренировок'!$E$6:$E$25,$M980),"Ниже диапазона",IF(AND($F980&gt;=INDEX('Программа тренировок'!$F$6:$F$25,$M980),$G980&gt;=INDEX('Программа тренировок'!$L$6:$L$25,$M980)),"Верх диапазона: пора добавлять вес",IF($G980&lt;INDEX('Программа тренировок'!$L$6:$L$25,$M980),"RIR ниже цели","В диапазоне")))))</f>
        <v/>
      </c>
      <c r="M980" s="23" t="str">
        <f aca="false">IF($C980="","",IFERROR(MATCH($C980,'Программа тренировок'!$C$6:$C$25,0),""))</f>
        <v/>
      </c>
    </row>
    <row r="981" customFormat="false" ht="15" hidden="false" customHeight="true" outlineLevel="0" collapsed="false">
      <c r="A981" s="20"/>
      <c r="B981" s="21"/>
      <c r="C981" s="19"/>
      <c r="D981" s="18"/>
      <c r="E981" s="17"/>
      <c r="F981" s="18"/>
      <c r="G981" s="18"/>
      <c r="H981" s="21"/>
      <c r="I981" s="19"/>
      <c r="J981" s="8" t="str">
        <f aca="false">IF(OR(E981="",F981=""),"",E981*F981)</f>
        <v/>
      </c>
      <c r="K981" s="22" t="str">
        <f aca="false">IF($M981="","",INDEX('Программа тренировок'!$G$6:$G$25,$M981))</f>
        <v/>
      </c>
      <c r="L981" s="23" t="str">
        <f aca="false">IF(OR($M981="",$F981="",$G981=""),"",IF($H981="Разминка","Разминка",IF($F981&lt;INDEX('Программа тренировок'!$E$6:$E$25,$M981),"Ниже диапазона",IF(AND($F981&gt;=INDEX('Программа тренировок'!$F$6:$F$25,$M981),$G981&gt;=INDEX('Программа тренировок'!$L$6:$L$25,$M981)),"Верх диапазона: пора добавлять вес",IF($G981&lt;INDEX('Программа тренировок'!$L$6:$L$25,$M981),"RIR ниже цели","В диапазоне")))))</f>
        <v/>
      </c>
      <c r="M981" s="23" t="str">
        <f aca="false">IF($C981="","",IFERROR(MATCH($C981,'Программа тренировок'!$C$6:$C$25,0),""))</f>
        <v/>
      </c>
    </row>
    <row r="982" customFormat="false" ht="15" hidden="false" customHeight="true" outlineLevel="0" collapsed="false">
      <c r="A982" s="20"/>
      <c r="B982" s="21"/>
      <c r="C982" s="19"/>
      <c r="D982" s="18"/>
      <c r="E982" s="17"/>
      <c r="F982" s="18"/>
      <c r="G982" s="18"/>
      <c r="H982" s="21"/>
      <c r="I982" s="19"/>
      <c r="J982" s="8" t="str">
        <f aca="false">IF(OR(E982="",F982=""),"",E982*F982)</f>
        <v/>
      </c>
      <c r="K982" s="22" t="str">
        <f aca="false">IF($M982="","",INDEX('Программа тренировок'!$G$6:$G$25,$M982))</f>
        <v/>
      </c>
      <c r="L982" s="23" t="str">
        <f aca="false">IF(OR($M982="",$F982="",$G982=""),"",IF($H982="Разминка","Разминка",IF($F982&lt;INDEX('Программа тренировок'!$E$6:$E$25,$M982),"Ниже диапазона",IF(AND($F982&gt;=INDEX('Программа тренировок'!$F$6:$F$25,$M982),$G982&gt;=INDEX('Программа тренировок'!$L$6:$L$25,$M982)),"Верх диапазона: пора добавлять вес",IF($G982&lt;INDEX('Программа тренировок'!$L$6:$L$25,$M982),"RIR ниже цели","В диапазоне")))))</f>
        <v/>
      </c>
      <c r="M982" s="23" t="str">
        <f aca="false">IF($C982="","",IFERROR(MATCH($C982,'Программа тренировок'!$C$6:$C$25,0),""))</f>
        <v/>
      </c>
    </row>
    <row r="983" customFormat="false" ht="15" hidden="false" customHeight="true" outlineLevel="0" collapsed="false">
      <c r="A983" s="20"/>
      <c r="B983" s="21"/>
      <c r="C983" s="19"/>
      <c r="D983" s="18"/>
      <c r="E983" s="17"/>
      <c r="F983" s="18"/>
      <c r="G983" s="18"/>
      <c r="H983" s="21"/>
      <c r="I983" s="19"/>
      <c r="J983" s="8" t="str">
        <f aca="false">IF(OR(E983="",F983=""),"",E983*F983)</f>
        <v/>
      </c>
      <c r="K983" s="22" t="str">
        <f aca="false">IF($M983="","",INDEX('Программа тренировок'!$G$6:$G$25,$M983))</f>
        <v/>
      </c>
      <c r="L983" s="23" t="str">
        <f aca="false">IF(OR($M983="",$F983="",$G983=""),"",IF($H983="Разминка","Разминка",IF($F983&lt;INDEX('Программа тренировок'!$E$6:$E$25,$M983),"Ниже диапазона",IF(AND($F983&gt;=INDEX('Программа тренировок'!$F$6:$F$25,$M983),$G983&gt;=INDEX('Программа тренировок'!$L$6:$L$25,$M983)),"Верх диапазона: пора добавлять вес",IF($G983&lt;INDEX('Программа тренировок'!$L$6:$L$25,$M983),"RIR ниже цели","В диапазоне")))))</f>
        <v/>
      </c>
      <c r="M983" s="23" t="str">
        <f aca="false">IF($C983="","",IFERROR(MATCH($C983,'Программа тренировок'!$C$6:$C$25,0),""))</f>
        <v/>
      </c>
    </row>
    <row r="984" customFormat="false" ht="15" hidden="false" customHeight="true" outlineLevel="0" collapsed="false">
      <c r="A984" s="20"/>
      <c r="B984" s="21"/>
      <c r="C984" s="19"/>
      <c r="D984" s="18"/>
      <c r="E984" s="17"/>
      <c r="F984" s="18"/>
      <c r="G984" s="18"/>
      <c r="H984" s="21"/>
      <c r="I984" s="19"/>
      <c r="J984" s="8" t="str">
        <f aca="false">IF(OR(E984="",F984=""),"",E984*F984)</f>
        <v/>
      </c>
      <c r="K984" s="22" t="str">
        <f aca="false">IF($M984="","",INDEX('Программа тренировок'!$G$6:$G$25,$M984))</f>
        <v/>
      </c>
      <c r="L984" s="23" t="str">
        <f aca="false">IF(OR($M984="",$F984="",$G984=""),"",IF($H984="Разминка","Разминка",IF($F984&lt;INDEX('Программа тренировок'!$E$6:$E$25,$M984),"Ниже диапазона",IF(AND($F984&gt;=INDEX('Программа тренировок'!$F$6:$F$25,$M984),$G984&gt;=INDEX('Программа тренировок'!$L$6:$L$25,$M984)),"Верх диапазона: пора добавлять вес",IF($G984&lt;INDEX('Программа тренировок'!$L$6:$L$25,$M984),"RIR ниже цели","В диапазоне")))))</f>
        <v/>
      </c>
      <c r="M984" s="23" t="str">
        <f aca="false">IF($C984="","",IFERROR(MATCH($C984,'Программа тренировок'!$C$6:$C$25,0),""))</f>
        <v/>
      </c>
    </row>
    <row r="985" customFormat="false" ht="15" hidden="false" customHeight="true" outlineLevel="0" collapsed="false">
      <c r="A985" s="20"/>
      <c r="B985" s="21"/>
      <c r="C985" s="19"/>
      <c r="D985" s="18"/>
      <c r="E985" s="17"/>
      <c r="F985" s="18"/>
      <c r="G985" s="18"/>
      <c r="H985" s="21"/>
      <c r="I985" s="19"/>
      <c r="J985" s="8" t="str">
        <f aca="false">IF(OR(E985="",F985=""),"",E985*F985)</f>
        <v/>
      </c>
      <c r="K985" s="22" t="str">
        <f aca="false">IF($M985="","",INDEX('Программа тренировок'!$G$6:$G$25,$M985))</f>
        <v/>
      </c>
      <c r="L985" s="23" t="str">
        <f aca="false">IF(OR($M985="",$F985="",$G985=""),"",IF($H985="Разминка","Разминка",IF($F985&lt;INDEX('Программа тренировок'!$E$6:$E$25,$M985),"Ниже диапазона",IF(AND($F985&gt;=INDEX('Программа тренировок'!$F$6:$F$25,$M985),$G985&gt;=INDEX('Программа тренировок'!$L$6:$L$25,$M985)),"Верх диапазона: пора добавлять вес",IF($G985&lt;INDEX('Программа тренировок'!$L$6:$L$25,$M985),"RIR ниже цели","В диапазоне")))))</f>
        <v/>
      </c>
      <c r="M985" s="23" t="str">
        <f aca="false">IF($C985="","",IFERROR(MATCH($C985,'Программа тренировок'!$C$6:$C$25,0),""))</f>
        <v/>
      </c>
    </row>
    <row r="986" customFormat="false" ht="15" hidden="false" customHeight="true" outlineLevel="0" collapsed="false">
      <c r="A986" s="20"/>
      <c r="B986" s="21"/>
      <c r="C986" s="19"/>
      <c r="D986" s="18"/>
      <c r="E986" s="17"/>
      <c r="F986" s="18"/>
      <c r="G986" s="18"/>
      <c r="H986" s="21"/>
      <c r="I986" s="19"/>
      <c r="J986" s="8" t="str">
        <f aca="false">IF(OR(E986="",F986=""),"",E986*F986)</f>
        <v/>
      </c>
      <c r="K986" s="22" t="str">
        <f aca="false">IF($M986="","",INDEX('Программа тренировок'!$G$6:$G$25,$M986))</f>
        <v/>
      </c>
      <c r="L986" s="23" t="str">
        <f aca="false">IF(OR($M986="",$F986="",$G986=""),"",IF($H986="Разминка","Разминка",IF($F986&lt;INDEX('Программа тренировок'!$E$6:$E$25,$M986),"Ниже диапазона",IF(AND($F986&gt;=INDEX('Программа тренировок'!$F$6:$F$25,$M986),$G986&gt;=INDEX('Программа тренировок'!$L$6:$L$25,$M986)),"Верх диапазона: пора добавлять вес",IF($G986&lt;INDEX('Программа тренировок'!$L$6:$L$25,$M986),"RIR ниже цели","В диапазоне")))))</f>
        <v/>
      </c>
      <c r="M986" s="23" t="str">
        <f aca="false">IF($C986="","",IFERROR(MATCH($C986,'Программа тренировок'!$C$6:$C$25,0),""))</f>
        <v/>
      </c>
    </row>
    <row r="987" customFormat="false" ht="15" hidden="false" customHeight="true" outlineLevel="0" collapsed="false">
      <c r="A987" s="20"/>
      <c r="B987" s="21"/>
      <c r="C987" s="19"/>
      <c r="D987" s="18"/>
      <c r="E987" s="17"/>
      <c r="F987" s="18"/>
      <c r="G987" s="18"/>
      <c r="H987" s="21"/>
      <c r="I987" s="19"/>
      <c r="J987" s="8" t="str">
        <f aca="false">IF(OR(E987="",F987=""),"",E987*F987)</f>
        <v/>
      </c>
      <c r="K987" s="22" t="str">
        <f aca="false">IF($M987="","",INDEX('Программа тренировок'!$G$6:$G$25,$M987))</f>
        <v/>
      </c>
      <c r="L987" s="23" t="str">
        <f aca="false">IF(OR($M987="",$F987="",$G987=""),"",IF($H987="Разминка","Разминка",IF($F987&lt;INDEX('Программа тренировок'!$E$6:$E$25,$M987),"Ниже диапазона",IF(AND($F987&gt;=INDEX('Программа тренировок'!$F$6:$F$25,$M987),$G987&gt;=INDEX('Программа тренировок'!$L$6:$L$25,$M987)),"Верх диапазона: пора добавлять вес",IF($G987&lt;INDEX('Программа тренировок'!$L$6:$L$25,$M987),"RIR ниже цели","В диапазоне")))))</f>
        <v/>
      </c>
      <c r="M987" s="23" t="str">
        <f aca="false">IF($C987="","",IFERROR(MATCH($C987,'Программа тренировок'!$C$6:$C$25,0),""))</f>
        <v/>
      </c>
    </row>
    <row r="988" customFormat="false" ht="15" hidden="false" customHeight="true" outlineLevel="0" collapsed="false">
      <c r="A988" s="20"/>
      <c r="B988" s="21"/>
      <c r="C988" s="19"/>
      <c r="D988" s="18"/>
      <c r="E988" s="17"/>
      <c r="F988" s="18"/>
      <c r="G988" s="18"/>
      <c r="H988" s="21"/>
      <c r="I988" s="19"/>
      <c r="J988" s="8" t="str">
        <f aca="false">IF(OR(E988="",F988=""),"",E988*F988)</f>
        <v/>
      </c>
      <c r="K988" s="22" t="str">
        <f aca="false">IF($M988="","",INDEX('Программа тренировок'!$G$6:$G$25,$M988))</f>
        <v/>
      </c>
      <c r="L988" s="23" t="str">
        <f aca="false">IF(OR($M988="",$F988="",$G988=""),"",IF($H988="Разминка","Разминка",IF($F988&lt;INDEX('Программа тренировок'!$E$6:$E$25,$M988),"Ниже диапазона",IF(AND($F988&gt;=INDEX('Программа тренировок'!$F$6:$F$25,$M988),$G988&gt;=INDEX('Программа тренировок'!$L$6:$L$25,$M988)),"Верх диапазона: пора добавлять вес",IF($G988&lt;INDEX('Программа тренировок'!$L$6:$L$25,$M988),"RIR ниже цели","В диапазоне")))))</f>
        <v/>
      </c>
      <c r="M988" s="23" t="str">
        <f aca="false">IF($C988="","",IFERROR(MATCH($C988,'Программа тренировок'!$C$6:$C$25,0),""))</f>
        <v/>
      </c>
    </row>
    <row r="989" customFormat="false" ht="15" hidden="false" customHeight="true" outlineLevel="0" collapsed="false">
      <c r="A989" s="20"/>
      <c r="B989" s="21"/>
      <c r="C989" s="19"/>
      <c r="D989" s="18"/>
      <c r="E989" s="17"/>
      <c r="F989" s="18"/>
      <c r="G989" s="18"/>
      <c r="H989" s="21"/>
      <c r="I989" s="19"/>
      <c r="J989" s="8" t="str">
        <f aca="false">IF(OR(E989="",F989=""),"",E989*F989)</f>
        <v/>
      </c>
      <c r="K989" s="22" t="str">
        <f aca="false">IF($M989="","",INDEX('Программа тренировок'!$G$6:$G$25,$M989))</f>
        <v/>
      </c>
      <c r="L989" s="23" t="str">
        <f aca="false">IF(OR($M989="",$F989="",$G989=""),"",IF($H989="Разминка","Разминка",IF($F989&lt;INDEX('Программа тренировок'!$E$6:$E$25,$M989),"Ниже диапазона",IF(AND($F989&gt;=INDEX('Программа тренировок'!$F$6:$F$25,$M989),$G989&gt;=INDEX('Программа тренировок'!$L$6:$L$25,$M989)),"Верх диапазона: пора добавлять вес",IF($G989&lt;INDEX('Программа тренировок'!$L$6:$L$25,$M989),"RIR ниже цели","В диапазоне")))))</f>
        <v/>
      </c>
      <c r="M989" s="23" t="str">
        <f aca="false">IF($C989="","",IFERROR(MATCH($C989,'Программа тренировок'!$C$6:$C$25,0),""))</f>
        <v/>
      </c>
    </row>
    <row r="990" customFormat="false" ht="15" hidden="false" customHeight="true" outlineLevel="0" collapsed="false">
      <c r="A990" s="20"/>
      <c r="B990" s="21"/>
      <c r="C990" s="19"/>
      <c r="D990" s="18"/>
      <c r="E990" s="17"/>
      <c r="F990" s="18"/>
      <c r="G990" s="18"/>
      <c r="H990" s="21"/>
      <c r="I990" s="19"/>
      <c r="J990" s="8" t="str">
        <f aca="false">IF(OR(E990="",F990=""),"",E990*F990)</f>
        <v/>
      </c>
      <c r="K990" s="22" t="str">
        <f aca="false">IF($M990="","",INDEX('Программа тренировок'!$G$6:$G$25,$M990))</f>
        <v/>
      </c>
      <c r="L990" s="23" t="str">
        <f aca="false">IF(OR($M990="",$F990="",$G990=""),"",IF($H990="Разминка","Разминка",IF($F990&lt;INDEX('Программа тренировок'!$E$6:$E$25,$M990),"Ниже диапазона",IF(AND($F990&gt;=INDEX('Программа тренировок'!$F$6:$F$25,$M990),$G990&gt;=INDEX('Программа тренировок'!$L$6:$L$25,$M990)),"Верх диапазона: пора добавлять вес",IF($G990&lt;INDEX('Программа тренировок'!$L$6:$L$25,$M990),"RIR ниже цели","В диапазоне")))))</f>
        <v/>
      </c>
      <c r="M990" s="23" t="str">
        <f aca="false">IF($C990="","",IFERROR(MATCH($C990,'Программа тренировок'!$C$6:$C$25,0),""))</f>
        <v/>
      </c>
    </row>
    <row r="991" customFormat="false" ht="15" hidden="false" customHeight="true" outlineLevel="0" collapsed="false">
      <c r="A991" s="20"/>
      <c r="B991" s="21"/>
      <c r="C991" s="19"/>
      <c r="D991" s="18"/>
      <c r="E991" s="17"/>
      <c r="F991" s="18"/>
      <c r="G991" s="18"/>
      <c r="H991" s="21"/>
      <c r="I991" s="19"/>
      <c r="J991" s="8" t="str">
        <f aca="false">IF(OR(E991="",F991=""),"",E991*F991)</f>
        <v/>
      </c>
      <c r="K991" s="22" t="str">
        <f aca="false">IF($M991="","",INDEX('Программа тренировок'!$G$6:$G$25,$M991))</f>
        <v/>
      </c>
      <c r="L991" s="23" t="str">
        <f aca="false">IF(OR($M991="",$F991="",$G991=""),"",IF($H991="Разминка","Разминка",IF($F991&lt;INDEX('Программа тренировок'!$E$6:$E$25,$M991),"Ниже диапазона",IF(AND($F991&gt;=INDEX('Программа тренировок'!$F$6:$F$25,$M991),$G991&gt;=INDEX('Программа тренировок'!$L$6:$L$25,$M991)),"Верх диапазона: пора добавлять вес",IF($G991&lt;INDEX('Программа тренировок'!$L$6:$L$25,$M991),"RIR ниже цели","В диапазоне")))))</f>
        <v/>
      </c>
      <c r="M991" s="23" t="str">
        <f aca="false">IF($C991="","",IFERROR(MATCH($C991,'Программа тренировок'!$C$6:$C$25,0),""))</f>
        <v/>
      </c>
    </row>
    <row r="992" customFormat="false" ht="15" hidden="false" customHeight="true" outlineLevel="0" collapsed="false">
      <c r="A992" s="20"/>
      <c r="B992" s="21"/>
      <c r="C992" s="19"/>
      <c r="D992" s="18"/>
      <c r="E992" s="17"/>
      <c r="F992" s="18"/>
      <c r="G992" s="18"/>
      <c r="H992" s="21"/>
      <c r="I992" s="19"/>
      <c r="J992" s="8" t="str">
        <f aca="false">IF(OR(E992="",F992=""),"",E992*F992)</f>
        <v/>
      </c>
      <c r="K992" s="22" t="str">
        <f aca="false">IF($M992="","",INDEX('Программа тренировок'!$G$6:$G$25,$M992))</f>
        <v/>
      </c>
      <c r="L992" s="23" t="str">
        <f aca="false">IF(OR($M992="",$F992="",$G992=""),"",IF($H992="Разминка","Разминка",IF($F992&lt;INDEX('Программа тренировок'!$E$6:$E$25,$M992),"Ниже диапазона",IF(AND($F992&gt;=INDEX('Программа тренировок'!$F$6:$F$25,$M992),$G992&gt;=INDEX('Программа тренировок'!$L$6:$L$25,$M992)),"Верх диапазона: пора добавлять вес",IF($G992&lt;INDEX('Программа тренировок'!$L$6:$L$25,$M992),"RIR ниже цели","В диапазоне")))))</f>
        <v/>
      </c>
      <c r="M992" s="23" t="str">
        <f aca="false">IF($C992="","",IFERROR(MATCH($C992,'Программа тренировок'!$C$6:$C$25,0),""))</f>
        <v/>
      </c>
    </row>
    <row r="993" customFormat="false" ht="15" hidden="false" customHeight="true" outlineLevel="0" collapsed="false">
      <c r="A993" s="20"/>
      <c r="B993" s="21"/>
      <c r="C993" s="19"/>
      <c r="D993" s="18"/>
      <c r="E993" s="17"/>
      <c r="F993" s="18"/>
      <c r="G993" s="18"/>
      <c r="H993" s="21"/>
      <c r="I993" s="19"/>
      <c r="J993" s="8" t="str">
        <f aca="false">IF(OR(E993="",F993=""),"",E993*F993)</f>
        <v/>
      </c>
      <c r="K993" s="22" t="str">
        <f aca="false">IF($M993="","",INDEX('Программа тренировок'!$G$6:$G$25,$M993))</f>
        <v/>
      </c>
      <c r="L993" s="23" t="str">
        <f aca="false">IF(OR($M993="",$F993="",$G993=""),"",IF($H993="Разминка","Разминка",IF($F993&lt;INDEX('Программа тренировок'!$E$6:$E$25,$M993),"Ниже диапазона",IF(AND($F993&gt;=INDEX('Программа тренировок'!$F$6:$F$25,$M993),$G993&gt;=INDEX('Программа тренировок'!$L$6:$L$25,$M993)),"Верх диапазона: пора добавлять вес",IF($G993&lt;INDEX('Программа тренировок'!$L$6:$L$25,$M993),"RIR ниже цели","В диапазоне")))))</f>
        <v/>
      </c>
      <c r="M993" s="23" t="str">
        <f aca="false">IF($C993="","",IFERROR(MATCH($C993,'Программа тренировок'!$C$6:$C$25,0),""))</f>
        <v/>
      </c>
    </row>
    <row r="994" customFormat="false" ht="15" hidden="false" customHeight="true" outlineLevel="0" collapsed="false">
      <c r="A994" s="20"/>
      <c r="B994" s="21"/>
      <c r="C994" s="19"/>
      <c r="D994" s="18"/>
      <c r="E994" s="17"/>
      <c r="F994" s="18"/>
      <c r="G994" s="18"/>
      <c r="H994" s="21"/>
      <c r="I994" s="19"/>
      <c r="J994" s="8" t="str">
        <f aca="false">IF(OR(E994="",F994=""),"",E994*F994)</f>
        <v/>
      </c>
      <c r="K994" s="22" t="str">
        <f aca="false">IF($M994="","",INDEX('Программа тренировок'!$G$6:$G$25,$M994))</f>
        <v/>
      </c>
      <c r="L994" s="23" t="str">
        <f aca="false">IF(OR($M994="",$F994="",$G994=""),"",IF($H994="Разминка","Разминка",IF($F994&lt;INDEX('Программа тренировок'!$E$6:$E$25,$M994),"Ниже диапазона",IF(AND($F994&gt;=INDEX('Программа тренировок'!$F$6:$F$25,$M994),$G994&gt;=INDEX('Программа тренировок'!$L$6:$L$25,$M994)),"Верх диапазона: пора добавлять вес",IF($G994&lt;INDEX('Программа тренировок'!$L$6:$L$25,$M994),"RIR ниже цели","В диапазоне")))))</f>
        <v/>
      </c>
      <c r="M994" s="23" t="str">
        <f aca="false">IF($C994="","",IFERROR(MATCH($C994,'Программа тренировок'!$C$6:$C$25,0),""))</f>
        <v/>
      </c>
    </row>
    <row r="995" customFormat="false" ht="15" hidden="false" customHeight="true" outlineLevel="0" collapsed="false">
      <c r="A995" s="20"/>
      <c r="B995" s="21"/>
      <c r="C995" s="19"/>
      <c r="D995" s="18"/>
      <c r="E995" s="17"/>
      <c r="F995" s="18"/>
      <c r="G995" s="18"/>
      <c r="H995" s="21"/>
      <c r="I995" s="19"/>
      <c r="J995" s="8" t="str">
        <f aca="false">IF(OR(E995="",F995=""),"",E995*F995)</f>
        <v/>
      </c>
      <c r="K995" s="22" t="str">
        <f aca="false">IF($M995="","",INDEX('Программа тренировок'!$G$6:$G$25,$M995))</f>
        <v/>
      </c>
      <c r="L995" s="23" t="str">
        <f aca="false">IF(OR($M995="",$F995="",$G995=""),"",IF($H995="Разминка","Разминка",IF($F995&lt;INDEX('Программа тренировок'!$E$6:$E$25,$M995),"Ниже диапазона",IF(AND($F995&gt;=INDEX('Программа тренировок'!$F$6:$F$25,$M995),$G995&gt;=INDEX('Программа тренировок'!$L$6:$L$25,$M995)),"Верх диапазона: пора добавлять вес",IF($G995&lt;INDEX('Программа тренировок'!$L$6:$L$25,$M995),"RIR ниже цели","В диапазоне")))))</f>
        <v/>
      </c>
      <c r="M995" s="23" t="str">
        <f aca="false">IF($C995="","",IFERROR(MATCH($C995,'Программа тренировок'!$C$6:$C$25,0),""))</f>
        <v/>
      </c>
    </row>
    <row r="996" customFormat="false" ht="15" hidden="false" customHeight="true" outlineLevel="0" collapsed="false">
      <c r="A996" s="20"/>
      <c r="B996" s="21"/>
      <c r="C996" s="19"/>
      <c r="D996" s="18"/>
      <c r="E996" s="17"/>
      <c r="F996" s="18"/>
      <c r="G996" s="18"/>
      <c r="H996" s="21"/>
      <c r="I996" s="19"/>
      <c r="J996" s="8" t="str">
        <f aca="false">IF(OR(E996="",F996=""),"",E996*F996)</f>
        <v/>
      </c>
      <c r="K996" s="22" t="str">
        <f aca="false">IF($M996="","",INDEX('Программа тренировок'!$G$6:$G$25,$M996))</f>
        <v/>
      </c>
      <c r="L996" s="23" t="str">
        <f aca="false">IF(OR($M996="",$F996="",$G996=""),"",IF($H996="Разминка","Разминка",IF($F996&lt;INDEX('Программа тренировок'!$E$6:$E$25,$M996),"Ниже диапазона",IF(AND($F996&gt;=INDEX('Программа тренировок'!$F$6:$F$25,$M996),$G996&gt;=INDEX('Программа тренировок'!$L$6:$L$25,$M996)),"Верх диапазона: пора добавлять вес",IF($G996&lt;INDEX('Программа тренировок'!$L$6:$L$25,$M996),"RIR ниже цели","В диапазоне")))))</f>
        <v/>
      </c>
      <c r="M996" s="23" t="str">
        <f aca="false">IF($C996="","",IFERROR(MATCH($C996,'Программа тренировок'!$C$6:$C$25,0),""))</f>
        <v/>
      </c>
    </row>
    <row r="997" customFormat="false" ht="15" hidden="false" customHeight="true" outlineLevel="0" collapsed="false">
      <c r="A997" s="20"/>
      <c r="B997" s="21"/>
      <c r="C997" s="19"/>
      <c r="D997" s="18"/>
      <c r="E997" s="17"/>
      <c r="F997" s="18"/>
      <c r="G997" s="18"/>
      <c r="H997" s="21"/>
      <c r="I997" s="19"/>
      <c r="J997" s="8" t="str">
        <f aca="false">IF(OR(E997="",F997=""),"",E997*F997)</f>
        <v/>
      </c>
      <c r="K997" s="22" t="str">
        <f aca="false">IF($M997="","",INDEX('Программа тренировок'!$G$6:$G$25,$M997))</f>
        <v/>
      </c>
      <c r="L997" s="23" t="str">
        <f aca="false">IF(OR($M997="",$F997="",$G997=""),"",IF($H997="Разминка","Разминка",IF($F997&lt;INDEX('Программа тренировок'!$E$6:$E$25,$M997),"Ниже диапазона",IF(AND($F997&gt;=INDEX('Программа тренировок'!$F$6:$F$25,$M997),$G997&gt;=INDEX('Программа тренировок'!$L$6:$L$25,$M997)),"Верх диапазона: пора добавлять вес",IF($G997&lt;INDEX('Программа тренировок'!$L$6:$L$25,$M997),"RIR ниже цели","В диапазоне")))))</f>
        <v/>
      </c>
      <c r="M997" s="23" t="str">
        <f aca="false">IF($C997="","",IFERROR(MATCH($C997,'Программа тренировок'!$C$6:$C$25,0),""))</f>
        <v/>
      </c>
    </row>
    <row r="998" customFormat="false" ht="15" hidden="false" customHeight="true" outlineLevel="0" collapsed="false">
      <c r="A998" s="20"/>
      <c r="B998" s="21"/>
      <c r="C998" s="19"/>
      <c r="D998" s="18"/>
      <c r="E998" s="17"/>
      <c r="F998" s="18"/>
      <c r="G998" s="18"/>
      <c r="H998" s="21"/>
      <c r="I998" s="19"/>
      <c r="J998" s="8" t="str">
        <f aca="false">IF(OR(E998="",F998=""),"",E998*F998)</f>
        <v/>
      </c>
      <c r="K998" s="22" t="str">
        <f aca="false">IF($M998="","",INDEX('Программа тренировок'!$G$6:$G$25,$M998))</f>
        <v/>
      </c>
      <c r="L998" s="23" t="str">
        <f aca="false">IF(OR($M998="",$F998="",$G998=""),"",IF($H998="Разминка","Разминка",IF($F998&lt;INDEX('Программа тренировок'!$E$6:$E$25,$M998),"Ниже диапазона",IF(AND($F998&gt;=INDEX('Программа тренировок'!$F$6:$F$25,$M998),$G998&gt;=INDEX('Программа тренировок'!$L$6:$L$25,$M998)),"Верх диапазона: пора добавлять вес",IF($G998&lt;INDEX('Программа тренировок'!$L$6:$L$25,$M998),"RIR ниже цели","В диапазоне")))))</f>
        <v/>
      </c>
      <c r="M998" s="23" t="str">
        <f aca="false">IF($C998="","",IFERROR(MATCH($C998,'Программа тренировок'!$C$6:$C$25,0),""))</f>
        <v/>
      </c>
    </row>
    <row r="999" customFormat="false" ht="15" hidden="false" customHeight="true" outlineLevel="0" collapsed="false">
      <c r="A999" s="20"/>
      <c r="B999" s="21"/>
      <c r="C999" s="19"/>
      <c r="D999" s="18"/>
      <c r="E999" s="17"/>
      <c r="F999" s="18"/>
      <c r="G999" s="18"/>
      <c r="H999" s="21"/>
      <c r="I999" s="19"/>
      <c r="J999" s="8" t="str">
        <f aca="false">IF(OR(E999="",F999=""),"",E999*F999)</f>
        <v/>
      </c>
      <c r="K999" s="22" t="str">
        <f aca="false">IF($M999="","",INDEX('Программа тренировок'!$G$6:$G$25,$M999))</f>
        <v/>
      </c>
      <c r="L999" s="23" t="str">
        <f aca="false">IF(OR($M999="",$F999="",$G999=""),"",IF($H999="Разминка","Разминка",IF($F999&lt;INDEX('Программа тренировок'!$E$6:$E$25,$M999),"Ниже диапазона",IF(AND($F999&gt;=INDEX('Программа тренировок'!$F$6:$F$25,$M999),$G999&gt;=INDEX('Программа тренировок'!$L$6:$L$25,$M999)),"Верх диапазона: пора добавлять вес",IF($G999&lt;INDEX('Программа тренировок'!$L$6:$L$25,$M999),"RIR ниже цели","В диапазоне")))))</f>
        <v/>
      </c>
      <c r="M999" s="23" t="str">
        <f aca="false">IF($C999="","",IFERROR(MATCH($C999,'Программа тренировок'!$C$6:$C$25,0),""))</f>
        <v/>
      </c>
    </row>
    <row r="1000" customFormat="false" ht="15" hidden="false" customHeight="true" outlineLevel="0" collapsed="false">
      <c r="A1000" s="20"/>
      <c r="B1000" s="21"/>
      <c r="C1000" s="19"/>
      <c r="D1000" s="18"/>
      <c r="E1000" s="17"/>
      <c r="F1000" s="18"/>
      <c r="G1000" s="18"/>
      <c r="H1000" s="21"/>
      <c r="I1000" s="19"/>
      <c r="J1000" s="8" t="str">
        <f aca="false">IF(OR(E1000="",F1000=""),"",E1000*F1000)</f>
        <v/>
      </c>
      <c r="K1000" s="22" t="str">
        <f aca="false">IF($M1000="","",INDEX('Программа тренировок'!$G$6:$G$25,$M1000))</f>
        <v/>
      </c>
      <c r="L1000" s="23" t="str">
        <f aca="false">IF(OR($M1000="",$F1000="",$G1000=""),"",IF($H1000="Разминка","Разминка",IF($F1000&lt;INDEX('Программа тренировок'!$E$6:$E$25,$M1000),"Ниже диапазона",IF(AND($F1000&gt;=INDEX('Программа тренировок'!$F$6:$F$25,$M1000),$G1000&gt;=INDEX('Программа тренировок'!$L$6:$L$25,$M1000)),"Верх диапазона: пора добавлять вес",IF($G1000&lt;INDEX('Программа тренировок'!$L$6:$L$25,$M1000),"RIR ниже цели","В диапазоне")))))</f>
        <v/>
      </c>
      <c r="M1000" s="23" t="str">
        <f aca="false">IF($C1000="","",IFERROR(MATCH($C1000,'Программа тренировок'!$C$6:$C$25,0),""))</f>
        <v/>
      </c>
    </row>
    <row r="1001" customFormat="false" ht="15" hidden="false" customHeight="true" outlineLevel="0" collapsed="false">
      <c r="A1001" s="20"/>
      <c r="B1001" s="21"/>
      <c r="C1001" s="19"/>
      <c r="D1001" s="18"/>
      <c r="E1001" s="17"/>
      <c r="F1001" s="18"/>
      <c r="G1001" s="18"/>
      <c r="H1001" s="21"/>
      <c r="I1001" s="19"/>
      <c r="J1001" s="8" t="str">
        <f aca="false">IF(OR(E1001="",F1001=""),"",E1001*F1001)</f>
        <v/>
      </c>
      <c r="K1001" s="22" t="str">
        <f aca="false">IF($M1001="","",INDEX('Программа тренировок'!$G$6:$G$25,$M1001))</f>
        <v/>
      </c>
      <c r="L1001" s="23" t="str">
        <f aca="false">IF(OR($M1001="",$F1001="",$G1001=""),"",IF($H1001="Разминка","Разминка",IF($F1001&lt;INDEX('Программа тренировок'!$E$6:$E$25,$M1001),"Ниже диапазона",IF(AND($F1001&gt;=INDEX('Программа тренировок'!$F$6:$F$25,$M1001),$G1001&gt;=INDEX('Программа тренировок'!$L$6:$L$25,$M1001)),"Верх диапазона: пора добавлять вес",IF($G1001&lt;INDEX('Программа тренировок'!$L$6:$L$25,$M1001),"RIR ниже цели","В диапазоне")))))</f>
        <v/>
      </c>
      <c r="M1001" s="23" t="str">
        <f aca="false">IF($C1001="","",IFERROR(MATCH($C1001,'Программа тренировок'!$C$6:$C$25,0),""))</f>
        <v/>
      </c>
    </row>
    <row r="1002" customFormat="false" ht="15" hidden="false" customHeight="true" outlineLevel="0" collapsed="false">
      <c r="A1002" s="20"/>
      <c r="B1002" s="21"/>
      <c r="C1002" s="19"/>
      <c r="D1002" s="18"/>
      <c r="E1002" s="17"/>
      <c r="F1002" s="18"/>
      <c r="G1002" s="18"/>
      <c r="H1002" s="21"/>
      <c r="I1002" s="19"/>
      <c r="J1002" s="8" t="str">
        <f aca="false">IF(OR(E1002="",F1002=""),"",E1002*F1002)</f>
        <v/>
      </c>
      <c r="K1002" s="22" t="str">
        <f aca="false">IF($M1002="","",INDEX('Программа тренировок'!$G$6:$G$25,$M1002))</f>
        <v/>
      </c>
      <c r="L1002" s="23" t="str">
        <f aca="false">IF(OR($M1002="",$F1002="",$G1002=""),"",IF($H1002="Разминка","Разминка",IF($F1002&lt;INDEX('Программа тренировок'!$E$6:$E$25,$M1002),"Ниже диапазона",IF(AND($F1002&gt;=INDEX('Программа тренировок'!$F$6:$F$25,$M1002),$G1002&gt;=INDEX('Программа тренировок'!$L$6:$L$25,$M1002)),"Верх диапазона: пора добавлять вес",IF($G1002&lt;INDEX('Программа тренировок'!$L$6:$L$25,$M1002),"RIR ниже цели","В диапазоне")))))</f>
        <v/>
      </c>
      <c r="M1002" s="23" t="str">
        <f aca="false">IF($C1002="","",IFERROR(MATCH($C1002,'Программа тренировок'!$C$6:$C$25,0),""))</f>
        <v/>
      </c>
    </row>
    <row r="1003" customFormat="false" ht="15" hidden="false" customHeight="true" outlineLevel="0" collapsed="false">
      <c r="A1003" s="20"/>
      <c r="B1003" s="21"/>
      <c r="C1003" s="19"/>
      <c r="D1003" s="18"/>
      <c r="E1003" s="17"/>
      <c r="F1003" s="18"/>
      <c r="G1003" s="18"/>
      <c r="H1003" s="21"/>
      <c r="I1003" s="19"/>
      <c r="J1003" s="8" t="str">
        <f aca="false">IF(OR(E1003="",F1003=""),"",E1003*F1003)</f>
        <v/>
      </c>
      <c r="K1003" s="22" t="str">
        <f aca="false">IF($M1003="","",INDEX('Программа тренировок'!$G$6:$G$25,$M1003))</f>
        <v/>
      </c>
      <c r="L1003" s="23" t="str">
        <f aca="false">IF(OR($M1003="",$F1003="",$G1003=""),"",IF($H1003="Разминка","Разминка",IF($F1003&lt;INDEX('Программа тренировок'!$E$6:$E$25,$M1003),"Ниже диапазона",IF(AND($F1003&gt;=INDEX('Программа тренировок'!$F$6:$F$25,$M1003),$G1003&gt;=INDEX('Программа тренировок'!$L$6:$L$25,$M1003)),"Верх диапазона: пора добавлять вес",IF($G1003&lt;INDEX('Программа тренировок'!$L$6:$L$25,$M1003),"RIR ниже цели","В диапазоне")))))</f>
        <v/>
      </c>
      <c r="M1003" s="23" t="str">
        <f aca="false">IF($C1003="","",IFERROR(MATCH($C1003,'Программа тренировок'!$C$6:$C$25,0),""))</f>
        <v/>
      </c>
    </row>
    <row r="1004" customFormat="false" ht="15" hidden="false" customHeight="true" outlineLevel="0" collapsed="false">
      <c r="A1004" s="20"/>
      <c r="B1004" s="21"/>
      <c r="C1004" s="19"/>
      <c r="D1004" s="18"/>
      <c r="E1004" s="17"/>
      <c r="F1004" s="18"/>
      <c r="G1004" s="18"/>
      <c r="H1004" s="21"/>
      <c r="I1004" s="19"/>
      <c r="J1004" s="8" t="str">
        <f aca="false">IF(OR(E1004="",F1004=""),"",E1004*F1004)</f>
        <v/>
      </c>
      <c r="K1004" s="22" t="str">
        <f aca="false">IF($M1004="","",INDEX('Программа тренировок'!$G$6:$G$25,$M1004))</f>
        <v/>
      </c>
      <c r="L1004" s="23" t="str">
        <f aca="false">IF(OR($M1004="",$F1004="",$G1004=""),"",IF($H1004="Разминка","Разминка",IF($F1004&lt;INDEX('Программа тренировок'!$E$6:$E$25,$M1004),"Ниже диапазона",IF(AND($F1004&gt;=INDEX('Программа тренировок'!$F$6:$F$25,$M1004),$G1004&gt;=INDEX('Программа тренировок'!$L$6:$L$25,$M1004)),"Верх диапазона: пора добавлять вес",IF($G1004&lt;INDEX('Программа тренировок'!$L$6:$L$25,$M1004),"RIR ниже цели","В диапазоне")))))</f>
        <v/>
      </c>
      <c r="M1004" s="23" t="str">
        <f aca="false">IF($C1004="","",IFERROR(MATCH($C1004,'Программа тренировок'!$C$6:$C$25,0),""))</f>
        <v/>
      </c>
    </row>
    <row r="1005" customFormat="false" ht="15" hidden="false" customHeight="true" outlineLevel="0" collapsed="false">
      <c r="A1005" s="20"/>
      <c r="B1005" s="21"/>
      <c r="C1005" s="19"/>
      <c r="D1005" s="18"/>
      <c r="E1005" s="17"/>
      <c r="F1005" s="18"/>
      <c r="G1005" s="18"/>
      <c r="H1005" s="21"/>
      <c r="I1005" s="19"/>
      <c r="J1005" s="8" t="str">
        <f aca="false">IF(OR(E1005="",F1005=""),"",E1005*F1005)</f>
        <v/>
      </c>
      <c r="K1005" s="22" t="str">
        <f aca="false">IF($M1005="","",INDEX('Программа тренировок'!$G$6:$G$25,$M1005))</f>
        <v/>
      </c>
      <c r="L1005" s="23" t="str">
        <f aca="false">IF(OR($M1005="",$F1005="",$G1005=""),"",IF($H1005="Разминка","Разминка",IF($F1005&lt;INDEX('Программа тренировок'!$E$6:$E$25,$M1005),"Ниже диапазона",IF(AND($F1005&gt;=INDEX('Программа тренировок'!$F$6:$F$25,$M1005),$G1005&gt;=INDEX('Программа тренировок'!$L$6:$L$25,$M1005)),"Верх диапазона: пора добавлять вес",IF($G1005&lt;INDEX('Программа тренировок'!$L$6:$L$25,$M1005),"RIR ниже цели","В диапазоне")))))</f>
        <v/>
      </c>
      <c r="M1005" s="23" t="str">
        <f aca="false">IF($C1005="","",IFERROR(MATCH($C1005,'Программа тренировок'!$C$6:$C$25,0),""))</f>
        <v/>
      </c>
    </row>
    <row r="1006" customFormat="false" ht="15" hidden="false" customHeight="true" outlineLevel="0" collapsed="false">
      <c r="A1006" s="20"/>
      <c r="B1006" s="21"/>
      <c r="C1006" s="19"/>
      <c r="D1006" s="18"/>
      <c r="E1006" s="17"/>
      <c r="F1006" s="18"/>
      <c r="G1006" s="18"/>
      <c r="H1006" s="21"/>
      <c r="I1006" s="19"/>
      <c r="J1006" s="8" t="str">
        <f aca="false">IF(OR(E1006="",F1006=""),"",E1006*F1006)</f>
        <v/>
      </c>
      <c r="K1006" s="22" t="str">
        <f aca="false">IF($M1006="","",INDEX('Программа тренировок'!$G$6:$G$25,$M1006))</f>
        <v/>
      </c>
      <c r="L1006" s="23" t="str">
        <f aca="false">IF(OR($M1006="",$F1006="",$G1006=""),"",IF($H1006="Разминка","Разминка",IF($F1006&lt;INDEX('Программа тренировок'!$E$6:$E$25,$M1006),"Ниже диапазона",IF(AND($F1006&gt;=INDEX('Программа тренировок'!$F$6:$F$25,$M1006),$G1006&gt;=INDEX('Программа тренировок'!$L$6:$L$25,$M1006)),"Верх диапазона: пора добавлять вес",IF($G1006&lt;INDEX('Программа тренировок'!$L$6:$L$25,$M1006),"RIR ниже цели","В диапазоне")))))</f>
        <v/>
      </c>
      <c r="M1006" s="23" t="str">
        <f aca="false">IF($C1006="","",IFERROR(MATCH($C1006,'Программа тренировок'!$C$6:$C$25,0),""))</f>
        <v/>
      </c>
    </row>
    <row r="1007" customFormat="false" ht="15" hidden="false" customHeight="true" outlineLevel="0" collapsed="false">
      <c r="A1007" s="20"/>
      <c r="B1007" s="21"/>
      <c r="C1007" s="19"/>
      <c r="D1007" s="18"/>
      <c r="E1007" s="17"/>
      <c r="F1007" s="18"/>
      <c r="G1007" s="18"/>
      <c r="H1007" s="21"/>
      <c r="I1007" s="19"/>
      <c r="J1007" s="8" t="str">
        <f aca="false">IF(OR(E1007="",F1007=""),"",E1007*F1007)</f>
        <v/>
      </c>
      <c r="K1007" s="22" t="str">
        <f aca="false">IF($M1007="","",INDEX('Программа тренировок'!$G$6:$G$25,$M1007))</f>
        <v/>
      </c>
      <c r="L1007" s="23" t="str">
        <f aca="false">IF(OR($M1007="",$F1007="",$G1007=""),"",IF($H1007="Разминка","Разминка",IF($F1007&lt;INDEX('Программа тренировок'!$E$6:$E$25,$M1007),"Ниже диапазона",IF(AND($F1007&gt;=INDEX('Программа тренировок'!$F$6:$F$25,$M1007),$G1007&gt;=INDEX('Программа тренировок'!$L$6:$L$25,$M1007)),"Верх диапазона: пора добавлять вес",IF($G1007&lt;INDEX('Программа тренировок'!$L$6:$L$25,$M1007),"RIR ниже цели","В диапазоне")))))</f>
        <v/>
      </c>
      <c r="M1007" s="23" t="str">
        <f aca="false">IF($C1007="","",IFERROR(MATCH($C1007,'Программа тренировок'!$C$6:$C$25,0),""))</f>
        <v/>
      </c>
    </row>
    <row r="1008" customFormat="false" ht="15" hidden="false" customHeight="true" outlineLevel="0" collapsed="false">
      <c r="A1008" s="20"/>
      <c r="B1008" s="21"/>
      <c r="C1008" s="19"/>
      <c r="D1008" s="18"/>
      <c r="E1008" s="17"/>
      <c r="F1008" s="18"/>
      <c r="G1008" s="18"/>
      <c r="H1008" s="21"/>
      <c r="I1008" s="19"/>
      <c r="J1008" s="8" t="str">
        <f aca="false">IF(OR(E1008="",F1008=""),"",E1008*F1008)</f>
        <v/>
      </c>
      <c r="K1008" s="22" t="str">
        <f aca="false">IF($M1008="","",INDEX('Программа тренировок'!$G$6:$G$25,$M1008))</f>
        <v/>
      </c>
      <c r="L1008" s="23" t="str">
        <f aca="false">IF(OR($M1008="",$F1008="",$G1008=""),"",IF($H1008="Разминка","Разминка",IF($F1008&lt;INDEX('Программа тренировок'!$E$6:$E$25,$M1008),"Ниже диапазона",IF(AND($F1008&gt;=INDEX('Программа тренировок'!$F$6:$F$25,$M1008),$G1008&gt;=INDEX('Программа тренировок'!$L$6:$L$25,$M1008)),"Верх диапазона: пора добавлять вес",IF($G1008&lt;INDEX('Программа тренировок'!$L$6:$L$25,$M1008),"RIR ниже цели","В диапазоне")))))</f>
        <v/>
      </c>
      <c r="M1008" s="23" t="str">
        <f aca="false">IF($C1008="","",IFERROR(MATCH($C1008,'Программа тренировок'!$C$6:$C$25,0),""))</f>
        <v/>
      </c>
    </row>
    <row r="1009" customFormat="false" ht="15" hidden="false" customHeight="true" outlineLevel="0" collapsed="false">
      <c r="A1009" s="20"/>
      <c r="B1009" s="21"/>
      <c r="C1009" s="19"/>
      <c r="D1009" s="18"/>
      <c r="E1009" s="17"/>
      <c r="F1009" s="18"/>
      <c r="G1009" s="18"/>
      <c r="H1009" s="21"/>
      <c r="I1009" s="19"/>
      <c r="J1009" s="8" t="str">
        <f aca="false">IF(OR(E1009="",F1009=""),"",E1009*F1009)</f>
        <v/>
      </c>
      <c r="K1009" s="22" t="str">
        <f aca="false">IF($M1009="","",INDEX('Программа тренировок'!$G$6:$G$25,$M1009))</f>
        <v/>
      </c>
      <c r="L1009" s="23" t="str">
        <f aca="false">IF(OR($M1009="",$F1009="",$G1009=""),"",IF($H1009="Разминка","Разминка",IF($F1009&lt;INDEX('Программа тренировок'!$E$6:$E$25,$M1009),"Ниже диапазона",IF(AND($F1009&gt;=INDEX('Программа тренировок'!$F$6:$F$25,$M1009),$G1009&gt;=INDEX('Программа тренировок'!$L$6:$L$25,$M1009)),"Верх диапазона: пора добавлять вес",IF($G1009&lt;INDEX('Программа тренировок'!$L$6:$L$25,$M1009),"RIR ниже цели","В диапазоне")))))</f>
        <v/>
      </c>
      <c r="M1009" s="23" t="str">
        <f aca="false">IF($C1009="","",IFERROR(MATCH($C1009,'Программа тренировок'!$C$6:$C$25,0),""))</f>
        <v/>
      </c>
    </row>
    <row r="1010" customFormat="false" ht="15" hidden="false" customHeight="true" outlineLevel="0" collapsed="false">
      <c r="A1010" s="20"/>
      <c r="B1010" s="21"/>
      <c r="C1010" s="19"/>
      <c r="D1010" s="18"/>
      <c r="E1010" s="17"/>
      <c r="F1010" s="18"/>
      <c r="G1010" s="18"/>
      <c r="H1010" s="21"/>
      <c r="I1010" s="19"/>
      <c r="J1010" s="8" t="str">
        <f aca="false">IF(OR(E1010="",F1010=""),"",E1010*F1010)</f>
        <v/>
      </c>
      <c r="K1010" s="22" t="str">
        <f aca="false">IF($M1010="","",INDEX('Программа тренировок'!$G$6:$G$25,$M1010))</f>
        <v/>
      </c>
      <c r="L1010" s="23" t="str">
        <f aca="false">IF(OR($M1010="",$F1010="",$G1010=""),"",IF($H1010="Разминка","Разминка",IF($F1010&lt;INDEX('Программа тренировок'!$E$6:$E$25,$M1010),"Ниже диапазона",IF(AND($F1010&gt;=INDEX('Программа тренировок'!$F$6:$F$25,$M1010),$G1010&gt;=INDEX('Программа тренировок'!$L$6:$L$25,$M1010)),"Верх диапазона: пора добавлять вес",IF($G1010&lt;INDEX('Программа тренировок'!$L$6:$L$25,$M1010),"RIR ниже цели","В диапазоне")))))</f>
        <v/>
      </c>
      <c r="M1010" s="23" t="str">
        <f aca="false">IF($C1010="","",IFERROR(MATCH($C1010,'Программа тренировок'!$C$6:$C$25,0),""))</f>
        <v/>
      </c>
    </row>
    <row r="1011" customFormat="false" ht="15" hidden="false" customHeight="true" outlineLevel="0" collapsed="false">
      <c r="A1011" s="20"/>
      <c r="B1011" s="21"/>
      <c r="C1011" s="19"/>
      <c r="D1011" s="18"/>
      <c r="E1011" s="17"/>
      <c r="F1011" s="18"/>
      <c r="G1011" s="18"/>
      <c r="H1011" s="21"/>
      <c r="I1011" s="19"/>
      <c r="J1011" s="8" t="str">
        <f aca="false">IF(OR(E1011="",F1011=""),"",E1011*F1011)</f>
        <v/>
      </c>
      <c r="K1011" s="22" t="str">
        <f aca="false">IF($M1011="","",INDEX('Программа тренировок'!$G$6:$G$25,$M1011))</f>
        <v/>
      </c>
      <c r="L1011" s="23" t="str">
        <f aca="false">IF(OR($M1011="",$F1011="",$G1011=""),"",IF($H1011="Разминка","Разминка",IF($F1011&lt;INDEX('Программа тренировок'!$E$6:$E$25,$M1011),"Ниже диапазона",IF(AND($F1011&gt;=INDEX('Программа тренировок'!$F$6:$F$25,$M1011),$G1011&gt;=INDEX('Программа тренировок'!$L$6:$L$25,$M1011)),"Верх диапазона: пора добавлять вес",IF($G1011&lt;INDEX('Программа тренировок'!$L$6:$L$25,$M1011),"RIR ниже цели","В диапазоне")))))</f>
        <v/>
      </c>
      <c r="M1011" s="23" t="str">
        <f aca="false">IF($C1011="","",IFERROR(MATCH($C1011,'Программа тренировок'!$C$6:$C$25,0),""))</f>
        <v/>
      </c>
    </row>
    <row r="1012" customFormat="false" ht="15" hidden="false" customHeight="true" outlineLevel="0" collapsed="false">
      <c r="A1012" s="20"/>
      <c r="B1012" s="21"/>
      <c r="C1012" s="19"/>
      <c r="D1012" s="18"/>
      <c r="E1012" s="17"/>
      <c r="F1012" s="18"/>
      <c r="G1012" s="18"/>
      <c r="H1012" s="21"/>
      <c r="I1012" s="19"/>
      <c r="J1012" s="8" t="str">
        <f aca="false">IF(OR(E1012="",F1012=""),"",E1012*F1012)</f>
        <v/>
      </c>
      <c r="K1012" s="22" t="str">
        <f aca="false">IF($M1012="","",INDEX('Программа тренировок'!$G$6:$G$25,$M1012))</f>
        <v/>
      </c>
      <c r="L1012" s="23" t="str">
        <f aca="false">IF(OR($M1012="",$F1012="",$G1012=""),"",IF($H1012="Разминка","Разминка",IF($F1012&lt;INDEX('Программа тренировок'!$E$6:$E$25,$M1012),"Ниже диапазона",IF(AND($F1012&gt;=INDEX('Программа тренировок'!$F$6:$F$25,$M1012),$G1012&gt;=INDEX('Программа тренировок'!$L$6:$L$25,$M1012)),"Верх диапазона: пора добавлять вес",IF($G1012&lt;INDEX('Программа тренировок'!$L$6:$L$25,$M1012),"RIR ниже цели","В диапазоне")))))</f>
        <v/>
      </c>
      <c r="M1012" s="23" t="str">
        <f aca="false">IF($C1012="","",IFERROR(MATCH($C1012,'Программа тренировок'!$C$6:$C$25,0),""))</f>
        <v/>
      </c>
    </row>
    <row r="1013" customFormat="false" ht="15" hidden="false" customHeight="true" outlineLevel="0" collapsed="false">
      <c r="A1013" s="20"/>
      <c r="B1013" s="21"/>
      <c r="C1013" s="19"/>
      <c r="D1013" s="18"/>
      <c r="E1013" s="17"/>
      <c r="F1013" s="18"/>
      <c r="G1013" s="18"/>
      <c r="H1013" s="21"/>
      <c r="I1013" s="19"/>
      <c r="J1013" s="8" t="str">
        <f aca="false">IF(OR(E1013="",F1013=""),"",E1013*F1013)</f>
        <v/>
      </c>
      <c r="K1013" s="22" t="str">
        <f aca="false">IF($M1013="","",INDEX('Программа тренировок'!$G$6:$G$25,$M1013))</f>
        <v/>
      </c>
      <c r="L1013" s="23" t="str">
        <f aca="false">IF(OR($M1013="",$F1013="",$G1013=""),"",IF($H1013="Разминка","Разминка",IF($F1013&lt;INDEX('Программа тренировок'!$E$6:$E$25,$M1013),"Ниже диапазона",IF(AND($F1013&gt;=INDEX('Программа тренировок'!$F$6:$F$25,$M1013),$G1013&gt;=INDEX('Программа тренировок'!$L$6:$L$25,$M1013)),"Верх диапазона: пора добавлять вес",IF($G1013&lt;INDEX('Программа тренировок'!$L$6:$L$25,$M1013),"RIR ниже цели","В диапазоне")))))</f>
        <v/>
      </c>
      <c r="M1013" s="23" t="str">
        <f aca="false">IF($C1013="","",IFERROR(MATCH($C1013,'Программа тренировок'!$C$6:$C$25,0),""))</f>
        <v/>
      </c>
    </row>
    <row r="1014" customFormat="false" ht="15" hidden="false" customHeight="true" outlineLevel="0" collapsed="false">
      <c r="A1014" s="20"/>
      <c r="B1014" s="21"/>
      <c r="C1014" s="19"/>
      <c r="D1014" s="18"/>
      <c r="E1014" s="17"/>
      <c r="F1014" s="18"/>
      <c r="G1014" s="18"/>
      <c r="H1014" s="21"/>
      <c r="I1014" s="19"/>
      <c r="J1014" s="8" t="str">
        <f aca="false">IF(OR(E1014="",F1014=""),"",E1014*F1014)</f>
        <v/>
      </c>
      <c r="K1014" s="22" t="str">
        <f aca="false">IF($M1014="","",INDEX('Программа тренировок'!$G$6:$G$25,$M1014))</f>
        <v/>
      </c>
      <c r="L1014" s="23" t="str">
        <f aca="false">IF(OR($M1014="",$F1014="",$G1014=""),"",IF($H1014="Разминка","Разминка",IF($F1014&lt;INDEX('Программа тренировок'!$E$6:$E$25,$M1014),"Ниже диапазона",IF(AND($F1014&gt;=INDEX('Программа тренировок'!$F$6:$F$25,$M1014),$G1014&gt;=INDEX('Программа тренировок'!$L$6:$L$25,$M1014)),"Верх диапазона: пора добавлять вес",IF($G1014&lt;INDEX('Программа тренировок'!$L$6:$L$25,$M1014),"RIR ниже цели","В диапазоне")))))</f>
        <v/>
      </c>
      <c r="M1014" s="23" t="str">
        <f aca="false">IF($C1014="","",IFERROR(MATCH($C1014,'Программа тренировок'!$C$6:$C$25,0),""))</f>
        <v/>
      </c>
    </row>
    <row r="1015" customFormat="false" ht="15" hidden="false" customHeight="true" outlineLevel="0" collapsed="false">
      <c r="A1015" s="20"/>
      <c r="B1015" s="21"/>
      <c r="C1015" s="19"/>
      <c r="D1015" s="18"/>
      <c r="E1015" s="17"/>
      <c r="F1015" s="18"/>
      <c r="G1015" s="18"/>
      <c r="H1015" s="21"/>
      <c r="I1015" s="19"/>
      <c r="J1015" s="8" t="str">
        <f aca="false">IF(OR(E1015="",F1015=""),"",E1015*F1015)</f>
        <v/>
      </c>
      <c r="K1015" s="22" t="str">
        <f aca="false">IF($M1015="","",INDEX('Программа тренировок'!$G$6:$G$25,$M1015))</f>
        <v/>
      </c>
      <c r="L1015" s="23" t="str">
        <f aca="false">IF(OR($M1015="",$F1015="",$G1015=""),"",IF($H1015="Разминка","Разминка",IF($F1015&lt;INDEX('Программа тренировок'!$E$6:$E$25,$M1015),"Ниже диапазона",IF(AND($F1015&gt;=INDEX('Программа тренировок'!$F$6:$F$25,$M1015),$G1015&gt;=INDEX('Программа тренировок'!$L$6:$L$25,$M1015)),"Верх диапазона: пора добавлять вес",IF($G1015&lt;INDEX('Программа тренировок'!$L$6:$L$25,$M1015),"RIR ниже цели","В диапазоне")))))</f>
        <v/>
      </c>
      <c r="M1015" s="23" t="str">
        <f aca="false">IF($C1015="","",IFERROR(MATCH($C1015,'Программа тренировок'!$C$6:$C$25,0),""))</f>
        <v/>
      </c>
    </row>
    <row r="1016" customFormat="false" ht="15" hidden="false" customHeight="true" outlineLevel="0" collapsed="false">
      <c r="A1016" s="20"/>
      <c r="B1016" s="21"/>
      <c r="C1016" s="19"/>
      <c r="D1016" s="18"/>
      <c r="E1016" s="17"/>
      <c r="F1016" s="18"/>
      <c r="G1016" s="18"/>
      <c r="H1016" s="21"/>
      <c r="I1016" s="19"/>
      <c r="J1016" s="8" t="str">
        <f aca="false">IF(OR(E1016="",F1016=""),"",E1016*F1016)</f>
        <v/>
      </c>
      <c r="K1016" s="22" t="str">
        <f aca="false">IF($M1016="","",INDEX('Программа тренировок'!$G$6:$G$25,$M1016))</f>
        <v/>
      </c>
      <c r="L1016" s="23" t="str">
        <f aca="false">IF(OR($M1016="",$F1016="",$G1016=""),"",IF($H1016="Разминка","Разминка",IF($F1016&lt;INDEX('Программа тренировок'!$E$6:$E$25,$M1016),"Ниже диапазона",IF(AND($F1016&gt;=INDEX('Программа тренировок'!$F$6:$F$25,$M1016),$G1016&gt;=INDEX('Программа тренировок'!$L$6:$L$25,$M1016)),"Верх диапазона: пора добавлять вес",IF($G1016&lt;INDEX('Программа тренировок'!$L$6:$L$25,$M1016),"RIR ниже цели","В диапазоне")))))</f>
        <v/>
      </c>
      <c r="M1016" s="23" t="str">
        <f aca="false">IF($C1016="","",IFERROR(MATCH($C1016,'Программа тренировок'!$C$6:$C$25,0),""))</f>
        <v/>
      </c>
    </row>
    <row r="1017" customFormat="false" ht="15" hidden="false" customHeight="true" outlineLevel="0" collapsed="false">
      <c r="A1017" s="20"/>
      <c r="B1017" s="21"/>
      <c r="C1017" s="19"/>
      <c r="D1017" s="18"/>
      <c r="E1017" s="17"/>
      <c r="F1017" s="18"/>
      <c r="G1017" s="18"/>
      <c r="H1017" s="21"/>
      <c r="I1017" s="19"/>
      <c r="J1017" s="8" t="str">
        <f aca="false">IF(OR(E1017="",F1017=""),"",E1017*F1017)</f>
        <v/>
      </c>
      <c r="K1017" s="22" t="str">
        <f aca="false">IF($M1017="","",INDEX('Программа тренировок'!$G$6:$G$25,$M1017))</f>
        <v/>
      </c>
      <c r="L1017" s="23" t="str">
        <f aca="false">IF(OR($M1017="",$F1017="",$G1017=""),"",IF($H1017="Разминка","Разминка",IF($F1017&lt;INDEX('Программа тренировок'!$E$6:$E$25,$M1017),"Ниже диапазона",IF(AND($F1017&gt;=INDEX('Программа тренировок'!$F$6:$F$25,$M1017),$G1017&gt;=INDEX('Программа тренировок'!$L$6:$L$25,$M1017)),"Верх диапазона: пора добавлять вес",IF($G1017&lt;INDEX('Программа тренировок'!$L$6:$L$25,$M1017),"RIR ниже цели","В диапазоне")))))</f>
        <v/>
      </c>
      <c r="M1017" s="23" t="str">
        <f aca="false">IF($C1017="","",IFERROR(MATCH($C1017,'Программа тренировок'!$C$6:$C$25,0),""))</f>
        <v/>
      </c>
    </row>
    <row r="1018" customFormat="false" ht="15" hidden="false" customHeight="true" outlineLevel="0" collapsed="false">
      <c r="A1018" s="20"/>
      <c r="B1018" s="21"/>
      <c r="C1018" s="19"/>
      <c r="D1018" s="18"/>
      <c r="E1018" s="17"/>
      <c r="F1018" s="18"/>
      <c r="G1018" s="18"/>
      <c r="H1018" s="21"/>
      <c r="I1018" s="19"/>
      <c r="J1018" s="8" t="str">
        <f aca="false">IF(OR(E1018="",F1018=""),"",E1018*F1018)</f>
        <v/>
      </c>
      <c r="K1018" s="22" t="str">
        <f aca="false">IF($M1018="","",INDEX('Программа тренировок'!$G$6:$G$25,$M1018))</f>
        <v/>
      </c>
      <c r="L1018" s="23" t="str">
        <f aca="false">IF(OR($M1018="",$F1018="",$G1018=""),"",IF($H1018="Разминка","Разминка",IF($F1018&lt;INDEX('Программа тренировок'!$E$6:$E$25,$M1018),"Ниже диапазона",IF(AND($F1018&gt;=INDEX('Программа тренировок'!$F$6:$F$25,$M1018),$G1018&gt;=INDEX('Программа тренировок'!$L$6:$L$25,$M1018)),"Верх диапазона: пора добавлять вес",IF($G1018&lt;INDEX('Программа тренировок'!$L$6:$L$25,$M1018),"RIR ниже цели","В диапазоне")))))</f>
        <v/>
      </c>
      <c r="M1018" s="23" t="str">
        <f aca="false">IF($C1018="","",IFERROR(MATCH($C1018,'Программа тренировок'!$C$6:$C$25,0),""))</f>
        <v/>
      </c>
    </row>
    <row r="1019" customFormat="false" ht="15" hidden="false" customHeight="true" outlineLevel="0" collapsed="false">
      <c r="A1019" s="20"/>
      <c r="B1019" s="21"/>
      <c r="C1019" s="19"/>
      <c r="D1019" s="18"/>
      <c r="E1019" s="17"/>
      <c r="F1019" s="18"/>
      <c r="G1019" s="18"/>
      <c r="H1019" s="21"/>
      <c r="I1019" s="19"/>
      <c r="J1019" s="8" t="str">
        <f aca="false">IF(OR(E1019="",F1019=""),"",E1019*F1019)</f>
        <v/>
      </c>
      <c r="K1019" s="22" t="str">
        <f aca="false">IF($M1019="","",INDEX('Программа тренировок'!$G$6:$G$25,$M1019))</f>
        <v/>
      </c>
      <c r="L1019" s="23" t="str">
        <f aca="false">IF(OR($M1019="",$F1019="",$G1019=""),"",IF($H1019="Разминка","Разминка",IF($F1019&lt;INDEX('Программа тренировок'!$E$6:$E$25,$M1019),"Ниже диапазона",IF(AND($F1019&gt;=INDEX('Программа тренировок'!$F$6:$F$25,$M1019),$G1019&gt;=INDEX('Программа тренировок'!$L$6:$L$25,$M1019)),"Верх диапазона: пора добавлять вес",IF($G1019&lt;INDEX('Программа тренировок'!$L$6:$L$25,$M1019),"RIR ниже цели","В диапазоне")))))</f>
        <v/>
      </c>
      <c r="M1019" s="23" t="str">
        <f aca="false">IF($C1019="","",IFERROR(MATCH($C1019,'Программа тренировок'!$C$6:$C$25,0),""))</f>
        <v/>
      </c>
    </row>
    <row r="1020" customFormat="false" ht="15" hidden="false" customHeight="true" outlineLevel="0" collapsed="false">
      <c r="A1020" s="20"/>
      <c r="B1020" s="21"/>
      <c r="C1020" s="19"/>
      <c r="D1020" s="18"/>
      <c r="E1020" s="17"/>
      <c r="F1020" s="18"/>
      <c r="G1020" s="18"/>
      <c r="H1020" s="21"/>
      <c r="I1020" s="19"/>
      <c r="J1020" s="8" t="str">
        <f aca="false">IF(OR(E1020="",F1020=""),"",E1020*F1020)</f>
        <v/>
      </c>
      <c r="K1020" s="22" t="str">
        <f aca="false">IF($M1020="","",INDEX('Программа тренировок'!$G$6:$G$25,$M1020))</f>
        <v/>
      </c>
      <c r="L1020" s="23" t="str">
        <f aca="false">IF(OR($M1020="",$F1020="",$G1020=""),"",IF($H1020="Разминка","Разминка",IF($F1020&lt;INDEX('Программа тренировок'!$E$6:$E$25,$M1020),"Ниже диапазона",IF(AND($F1020&gt;=INDEX('Программа тренировок'!$F$6:$F$25,$M1020),$G1020&gt;=INDEX('Программа тренировок'!$L$6:$L$25,$M1020)),"Верх диапазона: пора добавлять вес",IF($G1020&lt;INDEX('Программа тренировок'!$L$6:$L$25,$M1020),"RIR ниже цели","В диапазоне")))))</f>
        <v/>
      </c>
      <c r="M1020" s="23" t="str">
        <f aca="false">IF($C1020="","",IFERROR(MATCH($C1020,'Программа тренировок'!$C$6:$C$25,0),""))</f>
        <v/>
      </c>
    </row>
    <row r="1021" customFormat="false" ht="15" hidden="false" customHeight="true" outlineLevel="0" collapsed="false">
      <c r="A1021" s="20"/>
      <c r="B1021" s="21"/>
      <c r="C1021" s="19"/>
      <c r="D1021" s="18"/>
      <c r="E1021" s="17"/>
      <c r="F1021" s="18"/>
      <c r="G1021" s="18"/>
      <c r="H1021" s="21"/>
      <c r="I1021" s="19"/>
      <c r="J1021" s="8" t="str">
        <f aca="false">IF(OR(E1021="",F1021=""),"",E1021*F1021)</f>
        <v/>
      </c>
      <c r="K1021" s="22" t="str">
        <f aca="false">IF($M1021="","",INDEX('Программа тренировок'!$G$6:$G$25,$M1021))</f>
        <v/>
      </c>
      <c r="L1021" s="23" t="str">
        <f aca="false">IF(OR($M1021="",$F1021="",$G1021=""),"",IF($H1021="Разминка","Разминка",IF($F1021&lt;INDEX('Программа тренировок'!$E$6:$E$25,$M1021),"Ниже диапазона",IF(AND($F1021&gt;=INDEX('Программа тренировок'!$F$6:$F$25,$M1021),$G1021&gt;=INDEX('Программа тренировок'!$L$6:$L$25,$M1021)),"Верх диапазона: пора добавлять вес",IF($G1021&lt;INDEX('Программа тренировок'!$L$6:$L$25,$M1021),"RIR ниже цели","В диапазоне")))))</f>
        <v/>
      </c>
      <c r="M1021" s="23" t="str">
        <f aca="false">IF($C1021="","",IFERROR(MATCH($C1021,'Программа тренировок'!$C$6:$C$25,0),""))</f>
        <v/>
      </c>
    </row>
    <row r="1022" customFormat="false" ht="15" hidden="false" customHeight="true" outlineLevel="0" collapsed="false">
      <c r="A1022" s="20"/>
      <c r="B1022" s="21"/>
      <c r="C1022" s="19"/>
      <c r="D1022" s="18"/>
      <c r="E1022" s="17"/>
      <c r="F1022" s="18"/>
      <c r="G1022" s="18"/>
      <c r="H1022" s="21"/>
      <c r="I1022" s="19"/>
      <c r="J1022" s="8" t="str">
        <f aca="false">IF(OR(E1022="",F1022=""),"",E1022*F1022)</f>
        <v/>
      </c>
      <c r="K1022" s="22" t="str">
        <f aca="false">IF($M1022="","",INDEX('Программа тренировок'!$G$6:$G$25,$M1022))</f>
        <v/>
      </c>
      <c r="L1022" s="23" t="str">
        <f aca="false">IF(OR($M1022="",$F1022="",$G1022=""),"",IF($H1022="Разминка","Разминка",IF($F1022&lt;INDEX('Программа тренировок'!$E$6:$E$25,$M1022),"Ниже диапазона",IF(AND($F1022&gt;=INDEX('Программа тренировок'!$F$6:$F$25,$M1022),$G1022&gt;=INDEX('Программа тренировок'!$L$6:$L$25,$M1022)),"Верх диапазона: пора добавлять вес",IF($G1022&lt;INDEX('Программа тренировок'!$L$6:$L$25,$M1022),"RIR ниже цели","В диапазоне")))))</f>
        <v/>
      </c>
      <c r="M1022" s="23" t="str">
        <f aca="false">IF($C1022="","",IFERROR(MATCH($C1022,'Программа тренировок'!$C$6:$C$25,0),""))</f>
        <v/>
      </c>
    </row>
    <row r="1023" customFormat="false" ht="15" hidden="false" customHeight="true" outlineLevel="0" collapsed="false">
      <c r="A1023" s="20"/>
      <c r="B1023" s="21"/>
      <c r="C1023" s="19"/>
      <c r="D1023" s="18"/>
      <c r="E1023" s="17"/>
      <c r="F1023" s="18"/>
      <c r="G1023" s="18"/>
      <c r="H1023" s="21"/>
      <c r="I1023" s="19"/>
      <c r="J1023" s="8" t="str">
        <f aca="false">IF(OR(E1023="",F1023=""),"",E1023*F1023)</f>
        <v/>
      </c>
      <c r="K1023" s="22" t="str">
        <f aca="false">IF($M1023="","",INDEX('Программа тренировок'!$G$6:$G$25,$M1023))</f>
        <v/>
      </c>
      <c r="L1023" s="23" t="str">
        <f aca="false">IF(OR($M1023="",$F1023="",$G1023=""),"",IF($H1023="Разминка","Разминка",IF($F1023&lt;INDEX('Программа тренировок'!$E$6:$E$25,$M1023),"Ниже диапазона",IF(AND($F1023&gt;=INDEX('Программа тренировок'!$F$6:$F$25,$M1023),$G1023&gt;=INDEX('Программа тренировок'!$L$6:$L$25,$M1023)),"Верх диапазона: пора добавлять вес",IF($G1023&lt;INDEX('Программа тренировок'!$L$6:$L$25,$M1023),"RIR ниже цели","В диапазоне")))))</f>
        <v/>
      </c>
      <c r="M1023" s="23" t="str">
        <f aca="false">IF($C1023="","",IFERROR(MATCH($C1023,'Программа тренировок'!$C$6:$C$25,0),""))</f>
        <v/>
      </c>
    </row>
    <row r="1024" customFormat="false" ht="15" hidden="false" customHeight="true" outlineLevel="0" collapsed="false">
      <c r="A1024" s="20"/>
      <c r="B1024" s="21"/>
      <c r="C1024" s="19"/>
      <c r="D1024" s="18"/>
      <c r="E1024" s="17"/>
      <c r="F1024" s="18"/>
      <c r="G1024" s="18"/>
      <c r="H1024" s="21"/>
      <c r="I1024" s="19"/>
      <c r="J1024" s="8" t="str">
        <f aca="false">IF(OR(E1024="",F1024=""),"",E1024*F1024)</f>
        <v/>
      </c>
      <c r="K1024" s="22" t="str">
        <f aca="false">IF($M1024="","",INDEX('Программа тренировок'!$G$6:$G$25,$M1024))</f>
        <v/>
      </c>
      <c r="L1024" s="23" t="str">
        <f aca="false">IF(OR($M1024="",$F1024="",$G1024=""),"",IF($H1024="Разминка","Разминка",IF($F1024&lt;INDEX('Программа тренировок'!$E$6:$E$25,$M1024),"Ниже диапазона",IF(AND($F1024&gt;=INDEX('Программа тренировок'!$F$6:$F$25,$M1024),$G1024&gt;=INDEX('Программа тренировок'!$L$6:$L$25,$M1024)),"Верх диапазона: пора добавлять вес",IF($G1024&lt;INDEX('Программа тренировок'!$L$6:$L$25,$M1024),"RIR ниже цели","В диапазоне")))))</f>
        <v/>
      </c>
      <c r="M1024" s="23" t="str">
        <f aca="false">IF($C1024="","",IFERROR(MATCH($C1024,'Программа тренировок'!$C$6:$C$25,0),""))</f>
        <v/>
      </c>
    </row>
    <row r="1025" customFormat="false" ht="15" hidden="false" customHeight="true" outlineLevel="0" collapsed="false">
      <c r="A1025" s="20"/>
      <c r="B1025" s="21"/>
      <c r="C1025" s="19"/>
      <c r="D1025" s="18"/>
      <c r="E1025" s="17"/>
      <c r="F1025" s="18"/>
      <c r="G1025" s="18"/>
      <c r="H1025" s="21"/>
      <c r="I1025" s="19"/>
      <c r="J1025" s="8" t="str">
        <f aca="false">IF(OR(E1025="",F1025=""),"",E1025*F1025)</f>
        <v/>
      </c>
      <c r="K1025" s="22" t="str">
        <f aca="false">IF($M1025="","",INDEX('Программа тренировок'!$G$6:$G$25,$M1025))</f>
        <v/>
      </c>
      <c r="L1025" s="23" t="str">
        <f aca="false">IF(OR($M1025="",$F1025="",$G1025=""),"",IF($H1025="Разминка","Разминка",IF($F1025&lt;INDEX('Программа тренировок'!$E$6:$E$25,$M1025),"Ниже диапазона",IF(AND($F1025&gt;=INDEX('Программа тренировок'!$F$6:$F$25,$M1025),$G1025&gt;=INDEX('Программа тренировок'!$L$6:$L$25,$M1025)),"Верх диапазона: пора добавлять вес",IF($G1025&lt;INDEX('Программа тренировок'!$L$6:$L$25,$M1025),"RIR ниже цели","В диапазоне")))))</f>
        <v/>
      </c>
      <c r="M1025" s="23" t="str">
        <f aca="false">IF($C1025="","",IFERROR(MATCH($C1025,'Программа тренировок'!$C$6:$C$25,0),""))</f>
        <v/>
      </c>
    </row>
    <row r="1026" customFormat="false" ht="15" hidden="false" customHeight="true" outlineLevel="0" collapsed="false">
      <c r="A1026" s="20"/>
      <c r="B1026" s="21"/>
      <c r="C1026" s="19"/>
      <c r="D1026" s="18"/>
      <c r="E1026" s="17"/>
      <c r="F1026" s="18"/>
      <c r="G1026" s="18"/>
      <c r="H1026" s="21"/>
      <c r="I1026" s="19"/>
      <c r="J1026" s="8" t="str">
        <f aca="false">IF(OR(E1026="",F1026=""),"",E1026*F1026)</f>
        <v/>
      </c>
      <c r="K1026" s="22" t="str">
        <f aca="false">IF($M1026="","",INDEX('Программа тренировок'!$G$6:$G$25,$M1026))</f>
        <v/>
      </c>
      <c r="L1026" s="23" t="str">
        <f aca="false">IF(OR($M1026="",$F1026="",$G1026=""),"",IF($H1026="Разминка","Разминка",IF($F1026&lt;INDEX('Программа тренировок'!$E$6:$E$25,$M1026),"Ниже диапазона",IF(AND($F1026&gt;=INDEX('Программа тренировок'!$F$6:$F$25,$M1026),$G1026&gt;=INDEX('Программа тренировок'!$L$6:$L$25,$M1026)),"Верх диапазона: пора добавлять вес",IF($G1026&lt;INDEX('Программа тренировок'!$L$6:$L$25,$M1026),"RIR ниже цели","В диапазоне")))))</f>
        <v/>
      </c>
      <c r="M1026" s="23" t="str">
        <f aca="false">IF($C1026="","",IFERROR(MATCH($C1026,'Программа тренировок'!$C$6:$C$25,0),""))</f>
        <v/>
      </c>
    </row>
    <row r="1027" customFormat="false" ht="15" hidden="false" customHeight="true" outlineLevel="0" collapsed="false">
      <c r="A1027" s="20"/>
      <c r="B1027" s="21"/>
      <c r="C1027" s="19"/>
      <c r="D1027" s="18"/>
      <c r="E1027" s="17"/>
      <c r="F1027" s="18"/>
      <c r="G1027" s="18"/>
      <c r="H1027" s="21"/>
      <c r="I1027" s="19"/>
      <c r="J1027" s="8" t="str">
        <f aca="false">IF(OR(E1027="",F1027=""),"",E1027*F1027)</f>
        <v/>
      </c>
      <c r="K1027" s="22" t="str">
        <f aca="false">IF($M1027="","",INDEX('Программа тренировок'!$G$6:$G$25,$M1027))</f>
        <v/>
      </c>
      <c r="L1027" s="23" t="str">
        <f aca="false">IF(OR($M1027="",$F1027="",$G1027=""),"",IF($H1027="Разминка","Разминка",IF($F1027&lt;INDEX('Программа тренировок'!$E$6:$E$25,$M1027),"Ниже диапазона",IF(AND($F1027&gt;=INDEX('Программа тренировок'!$F$6:$F$25,$M1027),$G1027&gt;=INDEX('Программа тренировок'!$L$6:$L$25,$M1027)),"Верх диапазона: пора добавлять вес",IF($G1027&lt;INDEX('Программа тренировок'!$L$6:$L$25,$M1027),"RIR ниже цели","В диапазоне")))))</f>
        <v/>
      </c>
      <c r="M1027" s="23" t="str">
        <f aca="false">IF($C1027="","",IFERROR(MATCH($C1027,'Программа тренировок'!$C$6:$C$25,0),""))</f>
        <v/>
      </c>
    </row>
    <row r="1028" customFormat="false" ht="15" hidden="false" customHeight="true" outlineLevel="0" collapsed="false">
      <c r="A1028" s="20"/>
      <c r="B1028" s="21"/>
      <c r="C1028" s="19"/>
      <c r="D1028" s="18"/>
      <c r="E1028" s="17"/>
      <c r="F1028" s="18"/>
      <c r="G1028" s="18"/>
      <c r="H1028" s="21"/>
      <c r="I1028" s="19"/>
      <c r="J1028" s="8" t="str">
        <f aca="false">IF(OR(E1028="",F1028=""),"",E1028*F1028)</f>
        <v/>
      </c>
      <c r="K1028" s="22" t="str">
        <f aca="false">IF($M1028="","",INDEX('Программа тренировок'!$G$6:$G$25,$M1028))</f>
        <v/>
      </c>
      <c r="L1028" s="23" t="str">
        <f aca="false">IF(OR($M1028="",$F1028="",$G1028=""),"",IF($H1028="Разминка","Разминка",IF($F1028&lt;INDEX('Программа тренировок'!$E$6:$E$25,$M1028),"Ниже диапазона",IF(AND($F1028&gt;=INDEX('Программа тренировок'!$F$6:$F$25,$M1028),$G1028&gt;=INDEX('Программа тренировок'!$L$6:$L$25,$M1028)),"Верх диапазона: пора добавлять вес",IF($G1028&lt;INDEX('Программа тренировок'!$L$6:$L$25,$M1028),"RIR ниже цели","В диапазоне")))))</f>
        <v/>
      </c>
      <c r="M1028" s="23" t="str">
        <f aca="false">IF($C1028="","",IFERROR(MATCH($C1028,'Программа тренировок'!$C$6:$C$25,0),""))</f>
        <v/>
      </c>
    </row>
    <row r="1029" customFormat="false" ht="15" hidden="false" customHeight="true" outlineLevel="0" collapsed="false">
      <c r="A1029" s="20"/>
      <c r="B1029" s="21"/>
      <c r="C1029" s="19"/>
      <c r="D1029" s="18"/>
      <c r="E1029" s="17"/>
      <c r="F1029" s="18"/>
      <c r="G1029" s="18"/>
      <c r="H1029" s="21"/>
      <c r="I1029" s="19"/>
      <c r="J1029" s="8" t="str">
        <f aca="false">IF(OR(E1029="",F1029=""),"",E1029*F1029)</f>
        <v/>
      </c>
      <c r="K1029" s="22" t="str">
        <f aca="false">IF($M1029="","",INDEX('Программа тренировок'!$G$6:$G$25,$M1029))</f>
        <v/>
      </c>
      <c r="L1029" s="23" t="str">
        <f aca="false">IF(OR($M1029="",$F1029="",$G1029=""),"",IF($H1029="Разминка","Разминка",IF($F1029&lt;INDEX('Программа тренировок'!$E$6:$E$25,$M1029),"Ниже диапазона",IF(AND($F1029&gt;=INDEX('Программа тренировок'!$F$6:$F$25,$M1029),$G1029&gt;=INDEX('Программа тренировок'!$L$6:$L$25,$M1029)),"Верх диапазона: пора добавлять вес",IF($G1029&lt;INDEX('Программа тренировок'!$L$6:$L$25,$M1029),"RIR ниже цели","В диапазоне")))))</f>
        <v/>
      </c>
      <c r="M1029" s="23" t="str">
        <f aca="false">IF($C1029="","",IFERROR(MATCH($C1029,'Программа тренировок'!$C$6:$C$25,0),""))</f>
        <v/>
      </c>
    </row>
    <row r="1030" customFormat="false" ht="15" hidden="false" customHeight="true" outlineLevel="0" collapsed="false">
      <c r="A1030" s="20"/>
      <c r="B1030" s="21"/>
      <c r="C1030" s="19"/>
      <c r="D1030" s="18"/>
      <c r="E1030" s="17"/>
      <c r="F1030" s="18"/>
      <c r="G1030" s="18"/>
      <c r="H1030" s="21"/>
      <c r="I1030" s="19"/>
      <c r="J1030" s="8" t="str">
        <f aca="false">IF(OR(E1030="",F1030=""),"",E1030*F1030)</f>
        <v/>
      </c>
      <c r="K1030" s="22" t="str">
        <f aca="false">IF($M1030="","",INDEX('Программа тренировок'!$G$6:$G$25,$M1030))</f>
        <v/>
      </c>
      <c r="L1030" s="23" t="str">
        <f aca="false">IF(OR($M1030="",$F1030="",$G1030=""),"",IF($H1030="Разминка","Разминка",IF($F1030&lt;INDEX('Программа тренировок'!$E$6:$E$25,$M1030),"Ниже диапазона",IF(AND($F1030&gt;=INDEX('Программа тренировок'!$F$6:$F$25,$M1030),$G1030&gt;=INDEX('Программа тренировок'!$L$6:$L$25,$M1030)),"Верх диапазона: пора добавлять вес",IF($G1030&lt;INDEX('Программа тренировок'!$L$6:$L$25,$M1030),"RIR ниже цели","В диапазоне")))))</f>
        <v/>
      </c>
      <c r="M1030" s="23" t="str">
        <f aca="false">IF($C1030="","",IFERROR(MATCH($C1030,'Программа тренировок'!$C$6:$C$25,0),""))</f>
        <v/>
      </c>
    </row>
    <row r="1031" customFormat="false" ht="15" hidden="false" customHeight="true" outlineLevel="0" collapsed="false">
      <c r="A1031" s="20"/>
      <c r="B1031" s="21"/>
      <c r="C1031" s="19"/>
      <c r="D1031" s="18"/>
      <c r="E1031" s="17"/>
      <c r="F1031" s="18"/>
      <c r="G1031" s="18"/>
      <c r="H1031" s="21"/>
      <c r="I1031" s="19"/>
      <c r="J1031" s="8" t="str">
        <f aca="false">IF(OR(E1031="",F1031=""),"",E1031*F1031)</f>
        <v/>
      </c>
      <c r="K1031" s="22" t="str">
        <f aca="false">IF($M1031="","",INDEX('Программа тренировок'!$G$6:$G$25,$M1031))</f>
        <v/>
      </c>
      <c r="L1031" s="23" t="str">
        <f aca="false">IF(OR($M1031="",$F1031="",$G1031=""),"",IF($H1031="Разминка","Разминка",IF($F1031&lt;INDEX('Программа тренировок'!$E$6:$E$25,$M1031),"Ниже диапазона",IF(AND($F1031&gt;=INDEX('Программа тренировок'!$F$6:$F$25,$M1031),$G1031&gt;=INDEX('Программа тренировок'!$L$6:$L$25,$M1031)),"Верх диапазона: пора добавлять вес",IF($G1031&lt;INDEX('Программа тренировок'!$L$6:$L$25,$M1031),"RIR ниже цели","В диапазоне")))))</f>
        <v/>
      </c>
      <c r="M1031" s="23" t="str">
        <f aca="false">IF($C1031="","",IFERROR(MATCH($C1031,'Программа тренировок'!$C$6:$C$25,0),""))</f>
        <v/>
      </c>
    </row>
    <row r="1032" customFormat="false" ht="15" hidden="false" customHeight="true" outlineLevel="0" collapsed="false">
      <c r="A1032" s="20"/>
      <c r="B1032" s="21"/>
      <c r="C1032" s="19"/>
      <c r="D1032" s="18"/>
      <c r="E1032" s="17"/>
      <c r="F1032" s="18"/>
      <c r="G1032" s="18"/>
      <c r="H1032" s="21"/>
      <c r="I1032" s="19"/>
      <c r="J1032" s="8" t="str">
        <f aca="false">IF(OR(E1032="",F1032=""),"",E1032*F1032)</f>
        <v/>
      </c>
      <c r="K1032" s="22" t="str">
        <f aca="false">IF($M1032="","",INDEX('Программа тренировок'!$G$6:$G$25,$M1032))</f>
        <v/>
      </c>
      <c r="L1032" s="23" t="str">
        <f aca="false">IF(OR($M1032="",$F1032="",$G1032=""),"",IF($H1032="Разминка","Разминка",IF($F1032&lt;INDEX('Программа тренировок'!$E$6:$E$25,$M1032),"Ниже диапазона",IF(AND($F1032&gt;=INDEX('Программа тренировок'!$F$6:$F$25,$M1032),$G1032&gt;=INDEX('Программа тренировок'!$L$6:$L$25,$M1032)),"Верх диапазона: пора добавлять вес",IF($G1032&lt;INDEX('Программа тренировок'!$L$6:$L$25,$M1032),"RIR ниже цели","В диапазоне")))))</f>
        <v/>
      </c>
      <c r="M1032" s="23" t="str">
        <f aca="false">IF($C1032="","",IFERROR(MATCH($C1032,'Программа тренировок'!$C$6:$C$25,0),""))</f>
        <v/>
      </c>
    </row>
    <row r="1033" customFormat="false" ht="15" hidden="false" customHeight="true" outlineLevel="0" collapsed="false">
      <c r="A1033" s="20"/>
      <c r="B1033" s="21"/>
      <c r="C1033" s="19"/>
      <c r="D1033" s="18"/>
      <c r="E1033" s="17"/>
      <c r="F1033" s="18"/>
      <c r="G1033" s="18"/>
      <c r="H1033" s="21"/>
      <c r="I1033" s="19"/>
      <c r="J1033" s="8" t="str">
        <f aca="false">IF(OR(E1033="",F1033=""),"",E1033*F1033)</f>
        <v/>
      </c>
      <c r="K1033" s="22" t="str">
        <f aca="false">IF($M1033="","",INDEX('Программа тренировок'!$G$6:$G$25,$M1033))</f>
        <v/>
      </c>
      <c r="L1033" s="23" t="str">
        <f aca="false">IF(OR($M1033="",$F1033="",$G1033=""),"",IF($H1033="Разминка","Разминка",IF($F1033&lt;INDEX('Программа тренировок'!$E$6:$E$25,$M1033),"Ниже диапазона",IF(AND($F1033&gt;=INDEX('Программа тренировок'!$F$6:$F$25,$M1033),$G1033&gt;=INDEX('Программа тренировок'!$L$6:$L$25,$M1033)),"Верх диапазона: пора добавлять вес",IF($G1033&lt;INDEX('Программа тренировок'!$L$6:$L$25,$M1033),"RIR ниже цели","В диапазоне")))))</f>
        <v/>
      </c>
      <c r="M1033" s="23" t="str">
        <f aca="false">IF($C1033="","",IFERROR(MATCH($C1033,'Программа тренировок'!$C$6:$C$25,0),""))</f>
        <v/>
      </c>
    </row>
    <row r="1034" customFormat="false" ht="15" hidden="false" customHeight="true" outlineLevel="0" collapsed="false">
      <c r="A1034" s="20"/>
      <c r="B1034" s="21"/>
      <c r="C1034" s="19"/>
      <c r="D1034" s="18"/>
      <c r="E1034" s="17"/>
      <c r="F1034" s="18"/>
      <c r="G1034" s="18"/>
      <c r="H1034" s="21"/>
      <c r="I1034" s="19"/>
      <c r="J1034" s="8" t="str">
        <f aca="false">IF(OR(E1034="",F1034=""),"",E1034*F1034)</f>
        <v/>
      </c>
      <c r="K1034" s="22" t="str">
        <f aca="false">IF($M1034="","",INDEX('Программа тренировок'!$G$6:$G$25,$M1034))</f>
        <v/>
      </c>
      <c r="L1034" s="23" t="str">
        <f aca="false">IF(OR($M1034="",$F1034="",$G1034=""),"",IF($H1034="Разминка","Разминка",IF($F1034&lt;INDEX('Программа тренировок'!$E$6:$E$25,$M1034),"Ниже диапазона",IF(AND($F1034&gt;=INDEX('Программа тренировок'!$F$6:$F$25,$M1034),$G1034&gt;=INDEX('Программа тренировок'!$L$6:$L$25,$M1034)),"Верх диапазона: пора добавлять вес",IF($G1034&lt;INDEX('Программа тренировок'!$L$6:$L$25,$M1034),"RIR ниже цели","В диапазоне")))))</f>
        <v/>
      </c>
      <c r="M1034" s="23" t="str">
        <f aca="false">IF($C1034="","",IFERROR(MATCH($C1034,'Программа тренировок'!$C$6:$C$25,0),""))</f>
        <v/>
      </c>
    </row>
    <row r="1035" customFormat="false" ht="15" hidden="false" customHeight="true" outlineLevel="0" collapsed="false">
      <c r="A1035" s="20"/>
      <c r="B1035" s="21"/>
      <c r="C1035" s="19"/>
      <c r="D1035" s="18"/>
      <c r="E1035" s="17"/>
      <c r="F1035" s="18"/>
      <c r="G1035" s="18"/>
      <c r="H1035" s="21"/>
      <c r="I1035" s="19"/>
      <c r="J1035" s="8" t="str">
        <f aca="false">IF(OR(E1035="",F1035=""),"",E1035*F1035)</f>
        <v/>
      </c>
      <c r="K1035" s="22" t="str">
        <f aca="false">IF($M1035="","",INDEX('Программа тренировок'!$G$6:$G$25,$M1035))</f>
        <v/>
      </c>
      <c r="L1035" s="23" t="str">
        <f aca="false">IF(OR($M1035="",$F1035="",$G1035=""),"",IF($H1035="Разминка","Разминка",IF($F1035&lt;INDEX('Программа тренировок'!$E$6:$E$25,$M1035),"Ниже диапазона",IF(AND($F1035&gt;=INDEX('Программа тренировок'!$F$6:$F$25,$M1035),$G1035&gt;=INDEX('Программа тренировок'!$L$6:$L$25,$M1035)),"Верх диапазона: пора добавлять вес",IF($G1035&lt;INDEX('Программа тренировок'!$L$6:$L$25,$M1035),"RIR ниже цели","В диапазоне")))))</f>
        <v/>
      </c>
      <c r="M1035" s="23" t="str">
        <f aca="false">IF($C1035="","",IFERROR(MATCH($C1035,'Программа тренировок'!$C$6:$C$25,0),""))</f>
        <v/>
      </c>
    </row>
    <row r="1036" customFormat="false" ht="15" hidden="false" customHeight="true" outlineLevel="0" collapsed="false">
      <c r="A1036" s="20"/>
      <c r="B1036" s="21"/>
      <c r="C1036" s="19"/>
      <c r="D1036" s="18"/>
      <c r="E1036" s="17"/>
      <c r="F1036" s="18"/>
      <c r="G1036" s="18"/>
      <c r="H1036" s="21"/>
      <c r="I1036" s="19"/>
      <c r="J1036" s="8" t="str">
        <f aca="false">IF(OR(E1036="",F1036=""),"",E1036*F1036)</f>
        <v/>
      </c>
      <c r="K1036" s="22" t="str">
        <f aca="false">IF($M1036="","",INDEX('Программа тренировок'!$G$6:$G$25,$M1036))</f>
        <v/>
      </c>
      <c r="L1036" s="23" t="str">
        <f aca="false">IF(OR($M1036="",$F1036="",$G1036=""),"",IF($H1036="Разминка","Разминка",IF($F1036&lt;INDEX('Программа тренировок'!$E$6:$E$25,$M1036),"Ниже диапазона",IF(AND($F1036&gt;=INDEX('Программа тренировок'!$F$6:$F$25,$M1036),$G1036&gt;=INDEX('Программа тренировок'!$L$6:$L$25,$M1036)),"Верх диапазона: пора добавлять вес",IF($G1036&lt;INDEX('Программа тренировок'!$L$6:$L$25,$M1036),"RIR ниже цели","В диапазоне")))))</f>
        <v/>
      </c>
      <c r="M1036" s="23" t="str">
        <f aca="false">IF($C1036="","",IFERROR(MATCH($C1036,'Программа тренировок'!$C$6:$C$25,0),""))</f>
        <v/>
      </c>
    </row>
    <row r="1037" customFormat="false" ht="15" hidden="false" customHeight="true" outlineLevel="0" collapsed="false">
      <c r="A1037" s="20"/>
      <c r="B1037" s="21"/>
      <c r="C1037" s="19"/>
      <c r="D1037" s="18"/>
      <c r="E1037" s="17"/>
      <c r="F1037" s="18"/>
      <c r="G1037" s="18"/>
      <c r="H1037" s="21"/>
      <c r="I1037" s="19"/>
      <c r="J1037" s="8" t="str">
        <f aca="false">IF(OR(E1037="",F1037=""),"",E1037*F1037)</f>
        <v/>
      </c>
      <c r="K1037" s="22" t="str">
        <f aca="false">IF($M1037="","",INDEX('Программа тренировок'!$G$6:$G$25,$M1037))</f>
        <v/>
      </c>
      <c r="L1037" s="23" t="str">
        <f aca="false">IF(OR($M1037="",$F1037="",$G1037=""),"",IF($H1037="Разминка","Разминка",IF($F1037&lt;INDEX('Программа тренировок'!$E$6:$E$25,$M1037),"Ниже диапазона",IF(AND($F1037&gt;=INDEX('Программа тренировок'!$F$6:$F$25,$M1037),$G1037&gt;=INDEX('Программа тренировок'!$L$6:$L$25,$M1037)),"Верх диапазона: пора добавлять вес",IF($G1037&lt;INDEX('Программа тренировок'!$L$6:$L$25,$M1037),"RIR ниже цели","В диапазоне")))))</f>
        <v/>
      </c>
      <c r="M1037" s="23" t="str">
        <f aca="false">IF($C1037="","",IFERROR(MATCH($C1037,'Программа тренировок'!$C$6:$C$25,0),""))</f>
        <v/>
      </c>
    </row>
    <row r="1038" customFormat="false" ht="15" hidden="false" customHeight="true" outlineLevel="0" collapsed="false">
      <c r="A1038" s="20"/>
      <c r="B1038" s="21"/>
      <c r="C1038" s="19"/>
      <c r="D1038" s="18"/>
      <c r="E1038" s="17"/>
      <c r="F1038" s="18"/>
      <c r="G1038" s="18"/>
      <c r="H1038" s="21"/>
      <c r="I1038" s="19"/>
      <c r="J1038" s="8" t="str">
        <f aca="false">IF(OR(E1038="",F1038=""),"",E1038*F1038)</f>
        <v/>
      </c>
      <c r="K1038" s="22" t="str">
        <f aca="false">IF($M1038="","",INDEX('Программа тренировок'!$G$6:$G$25,$M1038))</f>
        <v/>
      </c>
      <c r="L1038" s="23" t="str">
        <f aca="false">IF(OR($M1038="",$F1038="",$G1038=""),"",IF($H1038="Разминка","Разминка",IF($F1038&lt;INDEX('Программа тренировок'!$E$6:$E$25,$M1038),"Ниже диапазона",IF(AND($F1038&gt;=INDEX('Программа тренировок'!$F$6:$F$25,$M1038),$G1038&gt;=INDEX('Программа тренировок'!$L$6:$L$25,$M1038)),"Верх диапазона: пора добавлять вес",IF($G1038&lt;INDEX('Программа тренировок'!$L$6:$L$25,$M1038),"RIR ниже цели","В диапазоне")))))</f>
        <v/>
      </c>
      <c r="M1038" s="23" t="str">
        <f aca="false">IF($C1038="","",IFERROR(MATCH($C1038,'Программа тренировок'!$C$6:$C$25,0),""))</f>
        <v/>
      </c>
    </row>
    <row r="1039" customFormat="false" ht="15" hidden="false" customHeight="true" outlineLevel="0" collapsed="false">
      <c r="A1039" s="20"/>
      <c r="B1039" s="21"/>
      <c r="C1039" s="19"/>
      <c r="D1039" s="18"/>
      <c r="E1039" s="17"/>
      <c r="F1039" s="18"/>
      <c r="G1039" s="18"/>
      <c r="H1039" s="21"/>
      <c r="I1039" s="19"/>
      <c r="J1039" s="8" t="str">
        <f aca="false">IF(OR(E1039="",F1039=""),"",E1039*F1039)</f>
        <v/>
      </c>
      <c r="K1039" s="22" t="str">
        <f aca="false">IF($M1039="","",INDEX('Программа тренировок'!$G$6:$G$25,$M1039))</f>
        <v/>
      </c>
      <c r="L1039" s="23" t="str">
        <f aca="false">IF(OR($M1039="",$F1039="",$G1039=""),"",IF($H1039="Разминка","Разминка",IF($F1039&lt;INDEX('Программа тренировок'!$E$6:$E$25,$M1039),"Ниже диапазона",IF(AND($F1039&gt;=INDEX('Программа тренировок'!$F$6:$F$25,$M1039),$G1039&gt;=INDEX('Программа тренировок'!$L$6:$L$25,$M1039)),"Верх диапазона: пора добавлять вес",IF($G1039&lt;INDEX('Программа тренировок'!$L$6:$L$25,$M1039),"RIR ниже цели","В диапазоне")))))</f>
        <v/>
      </c>
      <c r="M1039" s="23" t="str">
        <f aca="false">IF($C1039="","",IFERROR(MATCH($C1039,'Программа тренировок'!$C$6:$C$25,0),""))</f>
        <v/>
      </c>
    </row>
    <row r="1040" customFormat="false" ht="15" hidden="false" customHeight="true" outlineLevel="0" collapsed="false">
      <c r="A1040" s="20"/>
      <c r="B1040" s="21"/>
      <c r="C1040" s="19"/>
      <c r="D1040" s="18"/>
      <c r="E1040" s="17"/>
      <c r="F1040" s="18"/>
      <c r="G1040" s="18"/>
      <c r="H1040" s="21"/>
      <c r="I1040" s="19"/>
      <c r="J1040" s="8" t="str">
        <f aca="false">IF(OR(E1040="",F1040=""),"",E1040*F1040)</f>
        <v/>
      </c>
      <c r="K1040" s="22" t="str">
        <f aca="false">IF($M1040="","",INDEX('Программа тренировок'!$G$6:$G$25,$M1040))</f>
        <v/>
      </c>
      <c r="L1040" s="23" t="str">
        <f aca="false">IF(OR($M1040="",$F1040="",$G1040=""),"",IF($H1040="Разминка","Разминка",IF($F1040&lt;INDEX('Программа тренировок'!$E$6:$E$25,$M1040),"Ниже диапазона",IF(AND($F1040&gt;=INDEX('Программа тренировок'!$F$6:$F$25,$M1040),$G1040&gt;=INDEX('Программа тренировок'!$L$6:$L$25,$M1040)),"Верх диапазона: пора добавлять вес",IF($G1040&lt;INDEX('Программа тренировок'!$L$6:$L$25,$M1040),"RIR ниже цели","В диапазоне")))))</f>
        <v/>
      </c>
      <c r="M1040" s="23" t="str">
        <f aca="false">IF($C1040="","",IFERROR(MATCH($C1040,'Программа тренировок'!$C$6:$C$25,0),""))</f>
        <v/>
      </c>
    </row>
    <row r="1041" customFormat="false" ht="15" hidden="false" customHeight="true" outlineLevel="0" collapsed="false">
      <c r="A1041" s="20"/>
      <c r="B1041" s="21"/>
      <c r="C1041" s="19"/>
      <c r="D1041" s="18"/>
      <c r="E1041" s="17"/>
      <c r="F1041" s="18"/>
      <c r="G1041" s="18"/>
      <c r="H1041" s="21"/>
      <c r="I1041" s="19"/>
      <c r="J1041" s="8" t="str">
        <f aca="false">IF(OR(E1041="",F1041=""),"",E1041*F1041)</f>
        <v/>
      </c>
      <c r="K1041" s="22" t="str">
        <f aca="false">IF($M1041="","",INDEX('Программа тренировок'!$G$6:$G$25,$M1041))</f>
        <v/>
      </c>
      <c r="L1041" s="23" t="str">
        <f aca="false">IF(OR($M1041="",$F1041="",$G1041=""),"",IF($H1041="Разминка","Разминка",IF($F1041&lt;INDEX('Программа тренировок'!$E$6:$E$25,$M1041),"Ниже диапазона",IF(AND($F1041&gt;=INDEX('Программа тренировок'!$F$6:$F$25,$M1041),$G1041&gt;=INDEX('Программа тренировок'!$L$6:$L$25,$M1041)),"Верх диапазона: пора добавлять вес",IF($G1041&lt;INDEX('Программа тренировок'!$L$6:$L$25,$M1041),"RIR ниже цели","В диапазоне")))))</f>
        <v/>
      </c>
      <c r="M1041" s="23" t="str">
        <f aca="false">IF($C1041="","",IFERROR(MATCH($C1041,'Программа тренировок'!$C$6:$C$25,0),""))</f>
        <v/>
      </c>
    </row>
    <row r="1042" customFormat="false" ht="15" hidden="false" customHeight="true" outlineLevel="0" collapsed="false">
      <c r="A1042" s="20"/>
      <c r="B1042" s="21"/>
      <c r="C1042" s="19"/>
      <c r="D1042" s="18"/>
      <c r="E1042" s="17"/>
      <c r="F1042" s="18"/>
      <c r="G1042" s="18"/>
      <c r="H1042" s="21"/>
      <c r="I1042" s="19"/>
      <c r="J1042" s="8" t="str">
        <f aca="false">IF(OR(E1042="",F1042=""),"",E1042*F1042)</f>
        <v/>
      </c>
      <c r="K1042" s="22" t="str">
        <f aca="false">IF($M1042="","",INDEX('Программа тренировок'!$G$6:$G$25,$M1042))</f>
        <v/>
      </c>
      <c r="L1042" s="23" t="str">
        <f aca="false">IF(OR($M1042="",$F1042="",$G1042=""),"",IF($H1042="Разминка","Разминка",IF($F1042&lt;INDEX('Программа тренировок'!$E$6:$E$25,$M1042),"Ниже диапазона",IF(AND($F1042&gt;=INDEX('Программа тренировок'!$F$6:$F$25,$M1042),$G1042&gt;=INDEX('Программа тренировок'!$L$6:$L$25,$M1042)),"Верх диапазона: пора добавлять вес",IF($G1042&lt;INDEX('Программа тренировок'!$L$6:$L$25,$M1042),"RIR ниже цели","В диапазоне")))))</f>
        <v/>
      </c>
      <c r="M1042" s="23" t="str">
        <f aca="false">IF($C1042="","",IFERROR(MATCH($C1042,'Программа тренировок'!$C$6:$C$25,0),""))</f>
        <v/>
      </c>
    </row>
    <row r="1043" customFormat="false" ht="15" hidden="false" customHeight="true" outlineLevel="0" collapsed="false">
      <c r="A1043" s="20"/>
      <c r="B1043" s="21"/>
      <c r="C1043" s="19"/>
      <c r="D1043" s="18"/>
      <c r="E1043" s="17"/>
      <c r="F1043" s="18"/>
      <c r="G1043" s="18"/>
      <c r="H1043" s="21"/>
      <c r="I1043" s="19"/>
      <c r="J1043" s="8" t="str">
        <f aca="false">IF(OR(E1043="",F1043=""),"",E1043*F1043)</f>
        <v/>
      </c>
      <c r="K1043" s="22" t="str">
        <f aca="false">IF($M1043="","",INDEX('Программа тренировок'!$G$6:$G$25,$M1043))</f>
        <v/>
      </c>
      <c r="L1043" s="23" t="str">
        <f aca="false">IF(OR($M1043="",$F1043="",$G1043=""),"",IF($H1043="Разминка","Разминка",IF($F1043&lt;INDEX('Программа тренировок'!$E$6:$E$25,$M1043),"Ниже диапазона",IF(AND($F1043&gt;=INDEX('Программа тренировок'!$F$6:$F$25,$M1043),$G1043&gt;=INDEX('Программа тренировок'!$L$6:$L$25,$M1043)),"Верх диапазона: пора добавлять вес",IF($G1043&lt;INDEX('Программа тренировок'!$L$6:$L$25,$M1043),"RIR ниже цели","В диапазоне")))))</f>
        <v/>
      </c>
      <c r="M1043" s="23" t="str">
        <f aca="false">IF($C1043="","",IFERROR(MATCH($C1043,'Программа тренировок'!$C$6:$C$25,0),""))</f>
        <v/>
      </c>
    </row>
    <row r="1044" customFormat="false" ht="15" hidden="false" customHeight="true" outlineLevel="0" collapsed="false">
      <c r="A1044" s="20"/>
      <c r="B1044" s="21"/>
      <c r="C1044" s="19"/>
      <c r="D1044" s="18"/>
      <c r="E1044" s="17"/>
      <c r="F1044" s="18"/>
      <c r="G1044" s="18"/>
      <c r="H1044" s="21"/>
      <c r="I1044" s="19"/>
      <c r="J1044" s="8" t="str">
        <f aca="false">IF(OR(E1044="",F1044=""),"",E1044*F1044)</f>
        <v/>
      </c>
      <c r="K1044" s="22" t="str">
        <f aca="false">IF($M1044="","",INDEX('Программа тренировок'!$G$6:$G$25,$M1044))</f>
        <v/>
      </c>
      <c r="L1044" s="23" t="str">
        <f aca="false">IF(OR($M1044="",$F1044="",$G1044=""),"",IF($H1044="Разминка","Разминка",IF($F1044&lt;INDEX('Программа тренировок'!$E$6:$E$25,$M1044),"Ниже диапазона",IF(AND($F1044&gt;=INDEX('Программа тренировок'!$F$6:$F$25,$M1044),$G1044&gt;=INDEX('Программа тренировок'!$L$6:$L$25,$M1044)),"Верх диапазона: пора добавлять вес",IF($G1044&lt;INDEX('Программа тренировок'!$L$6:$L$25,$M1044),"RIR ниже цели","В диапазоне")))))</f>
        <v/>
      </c>
      <c r="M1044" s="23" t="str">
        <f aca="false">IF($C1044="","",IFERROR(MATCH($C1044,'Программа тренировок'!$C$6:$C$25,0),""))</f>
        <v/>
      </c>
    </row>
    <row r="1045" customFormat="false" ht="15" hidden="false" customHeight="true" outlineLevel="0" collapsed="false">
      <c r="A1045" s="20"/>
      <c r="B1045" s="21"/>
      <c r="C1045" s="19"/>
      <c r="D1045" s="18"/>
      <c r="E1045" s="17"/>
      <c r="F1045" s="18"/>
      <c r="G1045" s="18"/>
      <c r="H1045" s="21"/>
      <c r="I1045" s="19"/>
      <c r="J1045" s="8" t="str">
        <f aca="false">IF(OR(E1045="",F1045=""),"",E1045*F1045)</f>
        <v/>
      </c>
      <c r="K1045" s="22" t="str">
        <f aca="false">IF($M1045="","",INDEX('Программа тренировок'!$G$6:$G$25,$M1045))</f>
        <v/>
      </c>
      <c r="L1045" s="23" t="str">
        <f aca="false">IF(OR($M1045="",$F1045="",$G1045=""),"",IF($H1045="Разминка","Разминка",IF($F1045&lt;INDEX('Программа тренировок'!$E$6:$E$25,$M1045),"Ниже диапазона",IF(AND($F1045&gt;=INDEX('Программа тренировок'!$F$6:$F$25,$M1045),$G1045&gt;=INDEX('Программа тренировок'!$L$6:$L$25,$M1045)),"Верх диапазона: пора добавлять вес",IF($G1045&lt;INDEX('Программа тренировок'!$L$6:$L$25,$M1045),"RIR ниже цели","В диапазоне")))))</f>
        <v/>
      </c>
      <c r="M1045" s="23" t="str">
        <f aca="false">IF($C1045="","",IFERROR(MATCH($C1045,'Программа тренировок'!$C$6:$C$25,0),""))</f>
        <v/>
      </c>
    </row>
    <row r="1046" customFormat="false" ht="15" hidden="false" customHeight="true" outlineLevel="0" collapsed="false">
      <c r="A1046" s="20"/>
      <c r="B1046" s="21"/>
      <c r="C1046" s="19"/>
      <c r="D1046" s="18"/>
      <c r="E1046" s="17"/>
      <c r="F1046" s="18"/>
      <c r="G1046" s="18"/>
      <c r="H1046" s="21"/>
      <c r="I1046" s="19"/>
      <c r="J1046" s="8" t="str">
        <f aca="false">IF(OR(E1046="",F1046=""),"",E1046*F1046)</f>
        <v/>
      </c>
      <c r="K1046" s="22" t="str">
        <f aca="false">IF($M1046="","",INDEX('Программа тренировок'!$G$6:$G$25,$M1046))</f>
        <v/>
      </c>
      <c r="L1046" s="23" t="str">
        <f aca="false">IF(OR($M1046="",$F1046="",$G1046=""),"",IF($H1046="Разминка","Разминка",IF($F1046&lt;INDEX('Программа тренировок'!$E$6:$E$25,$M1046),"Ниже диапазона",IF(AND($F1046&gt;=INDEX('Программа тренировок'!$F$6:$F$25,$M1046),$G1046&gt;=INDEX('Программа тренировок'!$L$6:$L$25,$M1046)),"Верх диапазона: пора добавлять вес",IF($G1046&lt;INDEX('Программа тренировок'!$L$6:$L$25,$M1046),"RIR ниже цели","В диапазоне")))))</f>
        <v/>
      </c>
      <c r="M1046" s="23" t="str">
        <f aca="false">IF($C1046="","",IFERROR(MATCH($C1046,'Программа тренировок'!$C$6:$C$25,0),""))</f>
        <v/>
      </c>
    </row>
    <row r="1047" customFormat="false" ht="15" hidden="false" customHeight="true" outlineLevel="0" collapsed="false">
      <c r="A1047" s="20"/>
      <c r="B1047" s="21"/>
      <c r="C1047" s="19"/>
      <c r="D1047" s="18"/>
      <c r="E1047" s="17"/>
      <c r="F1047" s="18"/>
      <c r="G1047" s="18"/>
      <c r="H1047" s="21"/>
      <c r="I1047" s="19"/>
      <c r="J1047" s="8" t="str">
        <f aca="false">IF(OR(E1047="",F1047=""),"",E1047*F1047)</f>
        <v/>
      </c>
      <c r="K1047" s="22" t="str">
        <f aca="false">IF($M1047="","",INDEX('Программа тренировок'!$G$6:$G$25,$M1047))</f>
        <v/>
      </c>
      <c r="L1047" s="23" t="str">
        <f aca="false">IF(OR($M1047="",$F1047="",$G1047=""),"",IF($H1047="Разминка","Разминка",IF($F1047&lt;INDEX('Программа тренировок'!$E$6:$E$25,$M1047),"Ниже диапазона",IF(AND($F1047&gt;=INDEX('Программа тренировок'!$F$6:$F$25,$M1047),$G1047&gt;=INDEX('Программа тренировок'!$L$6:$L$25,$M1047)),"Верх диапазона: пора добавлять вес",IF($G1047&lt;INDEX('Программа тренировок'!$L$6:$L$25,$M1047),"RIR ниже цели","В диапазоне")))))</f>
        <v/>
      </c>
      <c r="M1047" s="23" t="str">
        <f aca="false">IF($C1047="","",IFERROR(MATCH($C1047,'Программа тренировок'!$C$6:$C$25,0),""))</f>
        <v/>
      </c>
    </row>
    <row r="1048" customFormat="false" ht="15" hidden="false" customHeight="true" outlineLevel="0" collapsed="false">
      <c r="A1048" s="20"/>
      <c r="B1048" s="21"/>
      <c r="C1048" s="19"/>
      <c r="D1048" s="18"/>
      <c r="E1048" s="17"/>
      <c r="F1048" s="18"/>
      <c r="G1048" s="18"/>
      <c r="H1048" s="21"/>
      <c r="I1048" s="19"/>
      <c r="J1048" s="8" t="str">
        <f aca="false">IF(OR(E1048="",F1048=""),"",E1048*F1048)</f>
        <v/>
      </c>
      <c r="K1048" s="22" t="str">
        <f aca="false">IF($M1048="","",INDEX('Программа тренировок'!$G$6:$G$25,$M1048))</f>
        <v/>
      </c>
      <c r="L1048" s="23" t="str">
        <f aca="false">IF(OR($M1048="",$F1048="",$G1048=""),"",IF($H1048="Разминка","Разминка",IF($F1048&lt;INDEX('Программа тренировок'!$E$6:$E$25,$M1048),"Ниже диапазона",IF(AND($F1048&gt;=INDEX('Программа тренировок'!$F$6:$F$25,$M1048),$G1048&gt;=INDEX('Программа тренировок'!$L$6:$L$25,$M1048)),"Верх диапазона: пора добавлять вес",IF($G1048&lt;INDEX('Программа тренировок'!$L$6:$L$25,$M1048),"RIR ниже цели","В диапазоне")))))</f>
        <v/>
      </c>
      <c r="M1048" s="23" t="str">
        <f aca="false">IF($C1048="","",IFERROR(MATCH($C1048,'Программа тренировок'!$C$6:$C$25,0),""))</f>
        <v/>
      </c>
    </row>
    <row r="1049" customFormat="false" ht="15" hidden="false" customHeight="true" outlineLevel="0" collapsed="false">
      <c r="A1049" s="20"/>
      <c r="B1049" s="21"/>
      <c r="C1049" s="19"/>
      <c r="D1049" s="18"/>
      <c r="E1049" s="17"/>
      <c r="F1049" s="18"/>
      <c r="G1049" s="18"/>
      <c r="H1049" s="21"/>
      <c r="I1049" s="19"/>
      <c r="J1049" s="8" t="str">
        <f aca="false">IF(OR(E1049="",F1049=""),"",E1049*F1049)</f>
        <v/>
      </c>
      <c r="K1049" s="22" t="str">
        <f aca="false">IF($M1049="","",INDEX('Программа тренировок'!$G$6:$G$25,$M1049))</f>
        <v/>
      </c>
      <c r="L1049" s="23" t="str">
        <f aca="false">IF(OR($M1049="",$F1049="",$G1049=""),"",IF($H1049="Разминка","Разминка",IF($F1049&lt;INDEX('Программа тренировок'!$E$6:$E$25,$M1049),"Ниже диапазона",IF(AND($F1049&gt;=INDEX('Программа тренировок'!$F$6:$F$25,$M1049),$G1049&gt;=INDEX('Программа тренировок'!$L$6:$L$25,$M1049)),"Верх диапазона: пора добавлять вес",IF($G1049&lt;INDEX('Программа тренировок'!$L$6:$L$25,$M1049),"RIR ниже цели","В диапазоне")))))</f>
        <v/>
      </c>
      <c r="M1049" s="23" t="str">
        <f aca="false">IF($C1049="","",IFERROR(MATCH($C1049,'Программа тренировок'!$C$6:$C$25,0),""))</f>
        <v/>
      </c>
    </row>
    <row r="1050" customFormat="false" ht="15" hidden="false" customHeight="true" outlineLevel="0" collapsed="false">
      <c r="A1050" s="20"/>
      <c r="B1050" s="21"/>
      <c r="C1050" s="19"/>
      <c r="D1050" s="18"/>
      <c r="E1050" s="17"/>
      <c r="F1050" s="18"/>
      <c r="G1050" s="18"/>
      <c r="H1050" s="21"/>
      <c r="I1050" s="19"/>
      <c r="J1050" s="8" t="str">
        <f aca="false">IF(OR(E1050="",F1050=""),"",E1050*F1050)</f>
        <v/>
      </c>
      <c r="K1050" s="22" t="str">
        <f aca="false">IF($M1050="","",INDEX('Программа тренировок'!$G$6:$G$25,$M1050))</f>
        <v/>
      </c>
      <c r="L1050" s="23" t="str">
        <f aca="false">IF(OR($M1050="",$F1050="",$G1050=""),"",IF($H1050="Разминка","Разминка",IF($F1050&lt;INDEX('Программа тренировок'!$E$6:$E$25,$M1050),"Ниже диапазона",IF(AND($F1050&gt;=INDEX('Программа тренировок'!$F$6:$F$25,$M1050),$G1050&gt;=INDEX('Программа тренировок'!$L$6:$L$25,$M1050)),"Верх диапазона: пора добавлять вес",IF($G1050&lt;INDEX('Программа тренировок'!$L$6:$L$25,$M1050),"RIR ниже цели","В диапазоне")))))</f>
        <v/>
      </c>
      <c r="M1050" s="23" t="str">
        <f aca="false">IF($C1050="","",IFERROR(MATCH($C1050,'Программа тренировок'!$C$6:$C$25,0),""))</f>
        <v/>
      </c>
    </row>
    <row r="1051" customFormat="false" ht="15" hidden="false" customHeight="true" outlineLevel="0" collapsed="false">
      <c r="A1051" s="20"/>
      <c r="B1051" s="21"/>
      <c r="C1051" s="19"/>
      <c r="D1051" s="18"/>
      <c r="E1051" s="17"/>
      <c r="F1051" s="18"/>
      <c r="G1051" s="18"/>
      <c r="H1051" s="21"/>
      <c r="I1051" s="19"/>
      <c r="J1051" s="8" t="str">
        <f aca="false">IF(OR(E1051="",F1051=""),"",E1051*F1051)</f>
        <v/>
      </c>
      <c r="K1051" s="22" t="str">
        <f aca="false">IF($M1051="","",INDEX('Программа тренировок'!$G$6:$G$25,$M1051))</f>
        <v/>
      </c>
      <c r="L1051" s="23" t="str">
        <f aca="false">IF(OR($M1051="",$F1051="",$G1051=""),"",IF($H1051="Разминка","Разминка",IF($F1051&lt;INDEX('Программа тренировок'!$E$6:$E$25,$M1051),"Ниже диапазона",IF(AND($F1051&gt;=INDEX('Программа тренировок'!$F$6:$F$25,$M1051),$G1051&gt;=INDEX('Программа тренировок'!$L$6:$L$25,$M1051)),"Верх диапазона: пора добавлять вес",IF($G1051&lt;INDEX('Программа тренировок'!$L$6:$L$25,$M1051),"RIR ниже цели","В диапазоне")))))</f>
        <v/>
      </c>
      <c r="M1051" s="23" t="str">
        <f aca="false">IF($C1051="","",IFERROR(MATCH($C1051,'Программа тренировок'!$C$6:$C$25,0),""))</f>
        <v/>
      </c>
    </row>
    <row r="1052" customFormat="false" ht="15" hidden="false" customHeight="true" outlineLevel="0" collapsed="false">
      <c r="A1052" s="20"/>
      <c r="B1052" s="21"/>
      <c r="C1052" s="19"/>
      <c r="D1052" s="18"/>
      <c r="E1052" s="17"/>
      <c r="F1052" s="18"/>
      <c r="G1052" s="18"/>
      <c r="H1052" s="21"/>
      <c r="I1052" s="19"/>
      <c r="J1052" s="8" t="str">
        <f aca="false">IF(OR(E1052="",F1052=""),"",E1052*F1052)</f>
        <v/>
      </c>
      <c r="K1052" s="22" t="str">
        <f aca="false">IF($M1052="","",INDEX('Программа тренировок'!$G$6:$G$25,$M1052))</f>
        <v/>
      </c>
      <c r="L1052" s="23" t="str">
        <f aca="false">IF(OR($M1052="",$F1052="",$G1052=""),"",IF($H1052="Разминка","Разминка",IF($F1052&lt;INDEX('Программа тренировок'!$E$6:$E$25,$M1052),"Ниже диапазона",IF(AND($F1052&gt;=INDEX('Программа тренировок'!$F$6:$F$25,$M1052),$G1052&gt;=INDEX('Программа тренировок'!$L$6:$L$25,$M1052)),"Верх диапазона: пора добавлять вес",IF($G1052&lt;INDEX('Программа тренировок'!$L$6:$L$25,$M1052),"RIR ниже цели","В диапазоне")))))</f>
        <v/>
      </c>
      <c r="M1052" s="23" t="str">
        <f aca="false">IF($C1052="","",IFERROR(MATCH($C1052,'Программа тренировок'!$C$6:$C$25,0),""))</f>
        <v/>
      </c>
    </row>
    <row r="1053" customFormat="false" ht="15" hidden="false" customHeight="true" outlineLevel="0" collapsed="false">
      <c r="A1053" s="20"/>
      <c r="B1053" s="21"/>
      <c r="C1053" s="19"/>
      <c r="D1053" s="18"/>
      <c r="E1053" s="17"/>
      <c r="F1053" s="18"/>
      <c r="G1053" s="18"/>
      <c r="H1053" s="21"/>
      <c r="I1053" s="19"/>
      <c r="J1053" s="8" t="str">
        <f aca="false">IF(OR(E1053="",F1053=""),"",E1053*F1053)</f>
        <v/>
      </c>
      <c r="K1053" s="22" t="str">
        <f aca="false">IF($M1053="","",INDEX('Программа тренировок'!$G$6:$G$25,$M1053))</f>
        <v/>
      </c>
      <c r="L1053" s="23" t="str">
        <f aca="false">IF(OR($M1053="",$F1053="",$G1053=""),"",IF($H1053="Разминка","Разминка",IF($F1053&lt;INDEX('Программа тренировок'!$E$6:$E$25,$M1053),"Ниже диапазона",IF(AND($F1053&gt;=INDEX('Программа тренировок'!$F$6:$F$25,$M1053),$G1053&gt;=INDEX('Программа тренировок'!$L$6:$L$25,$M1053)),"Верх диапазона: пора добавлять вес",IF($G1053&lt;INDEX('Программа тренировок'!$L$6:$L$25,$M1053),"RIR ниже цели","В диапазоне")))))</f>
        <v/>
      </c>
      <c r="M1053" s="23" t="str">
        <f aca="false">IF($C1053="","",IFERROR(MATCH($C1053,'Программа тренировок'!$C$6:$C$25,0),""))</f>
        <v/>
      </c>
    </row>
    <row r="1054" customFormat="false" ht="15" hidden="false" customHeight="true" outlineLevel="0" collapsed="false">
      <c r="A1054" s="20"/>
      <c r="B1054" s="21"/>
      <c r="C1054" s="19"/>
      <c r="D1054" s="18"/>
      <c r="E1054" s="17"/>
      <c r="F1054" s="18"/>
      <c r="G1054" s="18"/>
      <c r="H1054" s="21"/>
      <c r="I1054" s="19"/>
      <c r="J1054" s="8" t="str">
        <f aca="false">IF(OR(E1054="",F1054=""),"",E1054*F1054)</f>
        <v/>
      </c>
      <c r="K1054" s="22" t="str">
        <f aca="false">IF($M1054="","",INDEX('Программа тренировок'!$G$6:$G$25,$M1054))</f>
        <v/>
      </c>
      <c r="L1054" s="23" t="str">
        <f aca="false">IF(OR($M1054="",$F1054="",$G1054=""),"",IF($H1054="Разминка","Разминка",IF($F1054&lt;INDEX('Программа тренировок'!$E$6:$E$25,$M1054),"Ниже диапазона",IF(AND($F1054&gt;=INDEX('Программа тренировок'!$F$6:$F$25,$M1054),$G1054&gt;=INDEX('Программа тренировок'!$L$6:$L$25,$M1054)),"Верх диапазона: пора добавлять вес",IF($G1054&lt;INDEX('Программа тренировок'!$L$6:$L$25,$M1054),"RIR ниже цели","В диапазоне")))))</f>
        <v/>
      </c>
      <c r="M1054" s="23" t="str">
        <f aca="false">IF($C1054="","",IFERROR(MATCH($C1054,'Программа тренировок'!$C$6:$C$25,0),""))</f>
        <v/>
      </c>
    </row>
    <row r="1055" customFormat="false" ht="15" hidden="false" customHeight="true" outlineLevel="0" collapsed="false">
      <c r="A1055" s="20"/>
      <c r="B1055" s="21"/>
      <c r="C1055" s="19"/>
      <c r="D1055" s="18"/>
      <c r="E1055" s="17"/>
      <c r="F1055" s="18"/>
      <c r="G1055" s="18"/>
      <c r="H1055" s="21"/>
      <c r="I1055" s="19"/>
      <c r="J1055" s="8" t="str">
        <f aca="false">IF(OR(E1055="",F1055=""),"",E1055*F1055)</f>
        <v/>
      </c>
      <c r="K1055" s="22" t="str">
        <f aca="false">IF($M1055="","",INDEX('Программа тренировок'!$G$6:$G$25,$M1055))</f>
        <v/>
      </c>
      <c r="L1055" s="23" t="str">
        <f aca="false">IF(OR($M1055="",$F1055="",$G1055=""),"",IF($H1055="Разминка","Разминка",IF($F1055&lt;INDEX('Программа тренировок'!$E$6:$E$25,$M1055),"Ниже диапазона",IF(AND($F1055&gt;=INDEX('Программа тренировок'!$F$6:$F$25,$M1055),$G1055&gt;=INDEX('Программа тренировок'!$L$6:$L$25,$M1055)),"Верх диапазона: пора добавлять вес",IF($G1055&lt;INDEX('Программа тренировок'!$L$6:$L$25,$M1055),"RIR ниже цели","В диапазоне")))))</f>
        <v/>
      </c>
      <c r="M1055" s="23" t="str">
        <f aca="false">IF($C1055="","",IFERROR(MATCH($C1055,'Программа тренировок'!$C$6:$C$25,0),""))</f>
        <v/>
      </c>
    </row>
    <row r="1056" customFormat="false" ht="15" hidden="false" customHeight="true" outlineLevel="0" collapsed="false">
      <c r="A1056" s="20"/>
      <c r="B1056" s="21"/>
      <c r="C1056" s="19"/>
      <c r="D1056" s="18"/>
      <c r="E1056" s="17"/>
      <c r="F1056" s="18"/>
      <c r="G1056" s="18"/>
      <c r="H1056" s="21"/>
      <c r="I1056" s="19"/>
      <c r="J1056" s="8" t="str">
        <f aca="false">IF(OR(E1056="",F1056=""),"",E1056*F1056)</f>
        <v/>
      </c>
      <c r="K1056" s="22" t="str">
        <f aca="false">IF($M1056="","",INDEX('Программа тренировок'!$G$6:$G$25,$M1056))</f>
        <v/>
      </c>
      <c r="L1056" s="23" t="str">
        <f aca="false">IF(OR($M1056="",$F1056="",$G1056=""),"",IF($H1056="Разминка","Разминка",IF($F1056&lt;INDEX('Программа тренировок'!$E$6:$E$25,$M1056),"Ниже диапазона",IF(AND($F1056&gt;=INDEX('Программа тренировок'!$F$6:$F$25,$M1056),$G1056&gt;=INDEX('Программа тренировок'!$L$6:$L$25,$M1056)),"Верх диапазона: пора добавлять вес",IF($G1056&lt;INDEX('Программа тренировок'!$L$6:$L$25,$M1056),"RIR ниже цели","В диапазоне")))))</f>
        <v/>
      </c>
      <c r="M1056" s="23" t="str">
        <f aca="false">IF($C1056="","",IFERROR(MATCH($C1056,'Программа тренировок'!$C$6:$C$25,0),""))</f>
        <v/>
      </c>
    </row>
    <row r="1057" customFormat="false" ht="15" hidden="false" customHeight="true" outlineLevel="0" collapsed="false">
      <c r="A1057" s="20"/>
      <c r="B1057" s="21"/>
      <c r="C1057" s="19"/>
      <c r="D1057" s="18"/>
      <c r="E1057" s="17"/>
      <c r="F1057" s="18"/>
      <c r="G1057" s="18"/>
      <c r="H1057" s="21"/>
      <c r="I1057" s="19"/>
      <c r="J1057" s="8" t="str">
        <f aca="false">IF(OR(E1057="",F1057=""),"",E1057*F1057)</f>
        <v/>
      </c>
      <c r="K1057" s="22" t="str">
        <f aca="false">IF($M1057="","",INDEX('Программа тренировок'!$G$6:$G$25,$M1057))</f>
        <v/>
      </c>
      <c r="L1057" s="23" t="str">
        <f aca="false">IF(OR($M1057="",$F1057="",$G1057=""),"",IF($H1057="Разминка","Разминка",IF($F1057&lt;INDEX('Программа тренировок'!$E$6:$E$25,$M1057),"Ниже диапазона",IF(AND($F1057&gt;=INDEX('Программа тренировок'!$F$6:$F$25,$M1057),$G1057&gt;=INDEX('Программа тренировок'!$L$6:$L$25,$M1057)),"Верх диапазона: пора добавлять вес",IF($G1057&lt;INDEX('Программа тренировок'!$L$6:$L$25,$M1057),"RIR ниже цели","В диапазоне")))))</f>
        <v/>
      </c>
      <c r="M1057" s="23" t="str">
        <f aca="false">IF($C1057="","",IFERROR(MATCH($C1057,'Программа тренировок'!$C$6:$C$25,0),""))</f>
        <v/>
      </c>
    </row>
    <row r="1058" customFormat="false" ht="15" hidden="false" customHeight="true" outlineLevel="0" collapsed="false">
      <c r="A1058" s="20"/>
      <c r="B1058" s="21"/>
      <c r="C1058" s="19"/>
      <c r="D1058" s="18"/>
      <c r="E1058" s="17"/>
      <c r="F1058" s="18"/>
      <c r="G1058" s="18"/>
      <c r="H1058" s="21"/>
      <c r="I1058" s="19"/>
      <c r="J1058" s="8" t="str">
        <f aca="false">IF(OR(E1058="",F1058=""),"",E1058*F1058)</f>
        <v/>
      </c>
      <c r="K1058" s="22" t="str">
        <f aca="false">IF($M1058="","",INDEX('Программа тренировок'!$G$6:$G$25,$M1058))</f>
        <v/>
      </c>
      <c r="L1058" s="23" t="str">
        <f aca="false">IF(OR($M1058="",$F1058="",$G1058=""),"",IF($H1058="Разминка","Разминка",IF($F1058&lt;INDEX('Программа тренировок'!$E$6:$E$25,$M1058),"Ниже диапазона",IF(AND($F1058&gt;=INDEX('Программа тренировок'!$F$6:$F$25,$M1058),$G1058&gt;=INDEX('Программа тренировок'!$L$6:$L$25,$M1058)),"Верх диапазона: пора добавлять вес",IF($G1058&lt;INDEX('Программа тренировок'!$L$6:$L$25,$M1058),"RIR ниже цели","В диапазоне")))))</f>
        <v/>
      </c>
      <c r="M1058" s="23" t="str">
        <f aca="false">IF($C1058="","",IFERROR(MATCH($C1058,'Программа тренировок'!$C$6:$C$25,0),""))</f>
        <v/>
      </c>
    </row>
    <row r="1059" customFormat="false" ht="15" hidden="false" customHeight="true" outlineLevel="0" collapsed="false">
      <c r="A1059" s="20"/>
      <c r="B1059" s="21"/>
      <c r="C1059" s="19"/>
      <c r="D1059" s="18"/>
      <c r="E1059" s="17"/>
      <c r="F1059" s="18"/>
      <c r="G1059" s="18"/>
      <c r="H1059" s="21"/>
      <c r="I1059" s="19"/>
      <c r="J1059" s="8" t="str">
        <f aca="false">IF(OR(E1059="",F1059=""),"",E1059*F1059)</f>
        <v/>
      </c>
      <c r="K1059" s="22" t="str">
        <f aca="false">IF($M1059="","",INDEX('Программа тренировок'!$G$6:$G$25,$M1059))</f>
        <v/>
      </c>
      <c r="L1059" s="23" t="str">
        <f aca="false">IF(OR($M1059="",$F1059="",$G1059=""),"",IF($H1059="Разминка","Разминка",IF($F1059&lt;INDEX('Программа тренировок'!$E$6:$E$25,$M1059),"Ниже диапазона",IF(AND($F1059&gt;=INDEX('Программа тренировок'!$F$6:$F$25,$M1059),$G1059&gt;=INDEX('Программа тренировок'!$L$6:$L$25,$M1059)),"Верх диапазона: пора добавлять вес",IF($G1059&lt;INDEX('Программа тренировок'!$L$6:$L$25,$M1059),"RIR ниже цели","В диапазоне")))))</f>
        <v/>
      </c>
      <c r="M1059" s="23" t="str">
        <f aca="false">IF($C1059="","",IFERROR(MATCH($C1059,'Программа тренировок'!$C$6:$C$25,0),""))</f>
        <v/>
      </c>
    </row>
    <row r="1060" customFormat="false" ht="15" hidden="false" customHeight="true" outlineLevel="0" collapsed="false">
      <c r="A1060" s="20"/>
      <c r="B1060" s="21"/>
      <c r="C1060" s="19"/>
      <c r="D1060" s="18"/>
      <c r="E1060" s="17"/>
      <c r="F1060" s="18"/>
      <c r="G1060" s="18"/>
      <c r="H1060" s="21"/>
      <c r="I1060" s="19"/>
      <c r="J1060" s="8" t="str">
        <f aca="false">IF(OR(E1060="",F1060=""),"",E1060*F1060)</f>
        <v/>
      </c>
      <c r="K1060" s="22" t="str">
        <f aca="false">IF($M1060="","",INDEX('Программа тренировок'!$G$6:$G$25,$M1060))</f>
        <v/>
      </c>
      <c r="L1060" s="23" t="str">
        <f aca="false">IF(OR($M1060="",$F1060="",$G1060=""),"",IF($H1060="Разминка","Разминка",IF($F1060&lt;INDEX('Программа тренировок'!$E$6:$E$25,$M1060),"Ниже диапазона",IF(AND($F1060&gt;=INDEX('Программа тренировок'!$F$6:$F$25,$M1060),$G1060&gt;=INDEX('Программа тренировок'!$L$6:$L$25,$M1060)),"Верх диапазона: пора добавлять вес",IF($G1060&lt;INDEX('Программа тренировок'!$L$6:$L$25,$M1060),"RIR ниже цели","В диапазоне")))))</f>
        <v/>
      </c>
      <c r="M1060" s="23" t="str">
        <f aca="false">IF($C1060="","",IFERROR(MATCH($C1060,'Программа тренировок'!$C$6:$C$25,0),""))</f>
        <v/>
      </c>
    </row>
    <row r="1061" customFormat="false" ht="15" hidden="false" customHeight="true" outlineLevel="0" collapsed="false">
      <c r="A1061" s="20"/>
      <c r="B1061" s="21"/>
      <c r="C1061" s="19"/>
      <c r="D1061" s="18"/>
      <c r="E1061" s="17"/>
      <c r="F1061" s="18"/>
      <c r="G1061" s="18"/>
      <c r="H1061" s="21"/>
      <c r="I1061" s="19"/>
      <c r="J1061" s="8" t="str">
        <f aca="false">IF(OR(E1061="",F1061=""),"",E1061*F1061)</f>
        <v/>
      </c>
      <c r="K1061" s="22" t="str">
        <f aca="false">IF($M1061="","",INDEX('Программа тренировок'!$G$6:$G$25,$M1061))</f>
        <v/>
      </c>
      <c r="L1061" s="23" t="str">
        <f aca="false">IF(OR($M1061="",$F1061="",$G1061=""),"",IF($H1061="Разминка","Разминка",IF($F1061&lt;INDEX('Программа тренировок'!$E$6:$E$25,$M1061),"Ниже диапазона",IF(AND($F1061&gt;=INDEX('Программа тренировок'!$F$6:$F$25,$M1061),$G1061&gt;=INDEX('Программа тренировок'!$L$6:$L$25,$M1061)),"Верх диапазона: пора добавлять вес",IF($G1061&lt;INDEX('Программа тренировок'!$L$6:$L$25,$M1061),"RIR ниже цели","В диапазоне")))))</f>
        <v/>
      </c>
      <c r="M1061" s="23" t="str">
        <f aca="false">IF($C1061="","",IFERROR(MATCH($C1061,'Программа тренировок'!$C$6:$C$25,0),""))</f>
        <v/>
      </c>
    </row>
    <row r="1062" customFormat="false" ht="15" hidden="false" customHeight="true" outlineLevel="0" collapsed="false">
      <c r="A1062" s="20"/>
      <c r="B1062" s="21"/>
      <c r="C1062" s="19"/>
      <c r="D1062" s="18"/>
      <c r="E1062" s="17"/>
      <c r="F1062" s="18"/>
      <c r="G1062" s="18"/>
      <c r="H1062" s="21"/>
      <c r="I1062" s="19"/>
      <c r="J1062" s="8" t="str">
        <f aca="false">IF(OR(E1062="",F1062=""),"",E1062*F1062)</f>
        <v/>
      </c>
      <c r="K1062" s="22" t="str">
        <f aca="false">IF($M1062="","",INDEX('Программа тренировок'!$G$6:$G$25,$M1062))</f>
        <v/>
      </c>
      <c r="L1062" s="23" t="str">
        <f aca="false">IF(OR($M1062="",$F1062="",$G1062=""),"",IF($H1062="Разминка","Разминка",IF($F1062&lt;INDEX('Программа тренировок'!$E$6:$E$25,$M1062),"Ниже диапазона",IF(AND($F1062&gt;=INDEX('Программа тренировок'!$F$6:$F$25,$M1062),$G1062&gt;=INDEX('Программа тренировок'!$L$6:$L$25,$M1062)),"Верх диапазона: пора добавлять вес",IF($G1062&lt;INDEX('Программа тренировок'!$L$6:$L$25,$M1062),"RIR ниже цели","В диапазоне")))))</f>
        <v/>
      </c>
      <c r="M1062" s="23" t="str">
        <f aca="false">IF($C1062="","",IFERROR(MATCH($C1062,'Программа тренировок'!$C$6:$C$25,0),""))</f>
        <v/>
      </c>
    </row>
    <row r="1063" customFormat="false" ht="15" hidden="false" customHeight="true" outlineLevel="0" collapsed="false">
      <c r="A1063" s="20"/>
      <c r="B1063" s="21"/>
      <c r="C1063" s="19"/>
      <c r="D1063" s="18"/>
      <c r="E1063" s="17"/>
      <c r="F1063" s="18"/>
      <c r="G1063" s="18"/>
      <c r="H1063" s="21"/>
      <c r="I1063" s="19"/>
      <c r="J1063" s="8" t="str">
        <f aca="false">IF(OR(E1063="",F1063=""),"",E1063*F1063)</f>
        <v/>
      </c>
      <c r="K1063" s="22" t="str">
        <f aca="false">IF($M1063="","",INDEX('Программа тренировок'!$G$6:$G$25,$M1063))</f>
        <v/>
      </c>
      <c r="L1063" s="23" t="str">
        <f aca="false">IF(OR($M1063="",$F1063="",$G1063=""),"",IF($H1063="Разминка","Разминка",IF($F1063&lt;INDEX('Программа тренировок'!$E$6:$E$25,$M1063),"Ниже диапазона",IF(AND($F1063&gt;=INDEX('Программа тренировок'!$F$6:$F$25,$M1063),$G1063&gt;=INDEX('Программа тренировок'!$L$6:$L$25,$M1063)),"Верх диапазона: пора добавлять вес",IF($G1063&lt;INDEX('Программа тренировок'!$L$6:$L$25,$M1063),"RIR ниже цели","В диапазоне")))))</f>
        <v/>
      </c>
      <c r="M1063" s="23" t="str">
        <f aca="false">IF($C1063="","",IFERROR(MATCH($C1063,'Программа тренировок'!$C$6:$C$25,0),""))</f>
        <v/>
      </c>
    </row>
    <row r="1064" customFormat="false" ht="15" hidden="false" customHeight="true" outlineLevel="0" collapsed="false">
      <c r="A1064" s="20"/>
      <c r="B1064" s="21"/>
      <c r="C1064" s="19"/>
      <c r="D1064" s="18"/>
      <c r="E1064" s="17"/>
      <c r="F1064" s="18"/>
      <c r="G1064" s="18"/>
      <c r="H1064" s="21"/>
      <c r="I1064" s="19"/>
      <c r="J1064" s="8" t="str">
        <f aca="false">IF(OR(E1064="",F1064=""),"",E1064*F1064)</f>
        <v/>
      </c>
      <c r="K1064" s="22" t="str">
        <f aca="false">IF($M1064="","",INDEX('Программа тренировок'!$G$6:$G$25,$M1064))</f>
        <v/>
      </c>
      <c r="L1064" s="23" t="str">
        <f aca="false">IF(OR($M1064="",$F1064="",$G1064=""),"",IF($H1064="Разминка","Разминка",IF($F1064&lt;INDEX('Программа тренировок'!$E$6:$E$25,$M1064),"Ниже диапазона",IF(AND($F1064&gt;=INDEX('Программа тренировок'!$F$6:$F$25,$M1064),$G1064&gt;=INDEX('Программа тренировок'!$L$6:$L$25,$M1064)),"Верх диапазона: пора добавлять вес",IF($G1064&lt;INDEX('Программа тренировок'!$L$6:$L$25,$M1064),"RIR ниже цели","В диапазоне")))))</f>
        <v/>
      </c>
      <c r="M1064" s="23" t="str">
        <f aca="false">IF($C1064="","",IFERROR(MATCH($C1064,'Программа тренировок'!$C$6:$C$25,0),""))</f>
        <v/>
      </c>
    </row>
    <row r="1065" customFormat="false" ht="15" hidden="false" customHeight="true" outlineLevel="0" collapsed="false">
      <c r="A1065" s="20"/>
      <c r="B1065" s="21"/>
      <c r="C1065" s="19"/>
      <c r="D1065" s="18"/>
      <c r="E1065" s="17"/>
      <c r="F1065" s="18"/>
      <c r="G1065" s="18"/>
      <c r="H1065" s="21"/>
      <c r="I1065" s="19"/>
      <c r="J1065" s="8" t="str">
        <f aca="false">IF(OR(E1065="",F1065=""),"",E1065*F1065)</f>
        <v/>
      </c>
      <c r="K1065" s="22" t="str">
        <f aca="false">IF($M1065="","",INDEX('Программа тренировок'!$G$6:$G$25,$M1065))</f>
        <v/>
      </c>
      <c r="L1065" s="23" t="str">
        <f aca="false">IF(OR($M1065="",$F1065="",$G1065=""),"",IF($H1065="Разминка","Разминка",IF($F1065&lt;INDEX('Программа тренировок'!$E$6:$E$25,$M1065),"Ниже диапазона",IF(AND($F1065&gt;=INDEX('Программа тренировок'!$F$6:$F$25,$M1065),$G1065&gt;=INDEX('Программа тренировок'!$L$6:$L$25,$M1065)),"Верх диапазона: пора добавлять вес",IF($G1065&lt;INDEX('Программа тренировок'!$L$6:$L$25,$M1065),"RIR ниже цели","В диапазоне")))))</f>
        <v/>
      </c>
      <c r="M1065" s="23" t="str">
        <f aca="false">IF($C1065="","",IFERROR(MATCH($C1065,'Программа тренировок'!$C$6:$C$25,0),""))</f>
        <v/>
      </c>
    </row>
    <row r="1066" customFormat="false" ht="15" hidden="false" customHeight="true" outlineLevel="0" collapsed="false">
      <c r="A1066" s="20"/>
      <c r="B1066" s="21"/>
      <c r="C1066" s="19"/>
      <c r="D1066" s="18"/>
      <c r="E1066" s="17"/>
      <c r="F1066" s="18"/>
      <c r="G1066" s="18"/>
      <c r="H1066" s="21"/>
      <c r="I1066" s="19"/>
      <c r="J1066" s="8" t="str">
        <f aca="false">IF(OR(E1066="",F1066=""),"",E1066*F1066)</f>
        <v/>
      </c>
      <c r="K1066" s="22" t="str">
        <f aca="false">IF($M1066="","",INDEX('Программа тренировок'!$G$6:$G$25,$M1066))</f>
        <v/>
      </c>
      <c r="L1066" s="23" t="str">
        <f aca="false">IF(OR($M1066="",$F1066="",$G1066=""),"",IF($H1066="Разминка","Разминка",IF($F1066&lt;INDEX('Программа тренировок'!$E$6:$E$25,$M1066),"Ниже диапазона",IF(AND($F1066&gt;=INDEX('Программа тренировок'!$F$6:$F$25,$M1066),$G1066&gt;=INDEX('Программа тренировок'!$L$6:$L$25,$M1066)),"Верх диапазона: пора добавлять вес",IF($G1066&lt;INDEX('Программа тренировок'!$L$6:$L$25,$M1066),"RIR ниже цели","В диапазоне")))))</f>
        <v/>
      </c>
      <c r="M1066" s="23" t="str">
        <f aca="false">IF($C1066="","",IFERROR(MATCH($C1066,'Программа тренировок'!$C$6:$C$25,0),""))</f>
        <v/>
      </c>
    </row>
    <row r="1067" customFormat="false" ht="15" hidden="false" customHeight="true" outlineLevel="0" collapsed="false">
      <c r="A1067" s="20"/>
      <c r="B1067" s="21"/>
      <c r="C1067" s="19"/>
      <c r="D1067" s="18"/>
      <c r="E1067" s="17"/>
      <c r="F1067" s="18"/>
      <c r="G1067" s="18"/>
      <c r="H1067" s="21"/>
      <c r="I1067" s="19"/>
      <c r="J1067" s="8" t="str">
        <f aca="false">IF(OR(E1067="",F1067=""),"",E1067*F1067)</f>
        <v/>
      </c>
      <c r="K1067" s="22" t="str">
        <f aca="false">IF($M1067="","",INDEX('Программа тренировок'!$G$6:$G$25,$M1067))</f>
        <v/>
      </c>
      <c r="L1067" s="23" t="str">
        <f aca="false">IF(OR($M1067="",$F1067="",$G1067=""),"",IF($H1067="Разминка","Разминка",IF($F1067&lt;INDEX('Программа тренировок'!$E$6:$E$25,$M1067),"Ниже диапазона",IF(AND($F1067&gt;=INDEX('Программа тренировок'!$F$6:$F$25,$M1067),$G1067&gt;=INDEX('Программа тренировок'!$L$6:$L$25,$M1067)),"Верх диапазона: пора добавлять вес",IF($G1067&lt;INDEX('Программа тренировок'!$L$6:$L$25,$M1067),"RIR ниже цели","В диапазоне")))))</f>
        <v/>
      </c>
      <c r="M1067" s="23" t="str">
        <f aca="false">IF($C1067="","",IFERROR(MATCH($C1067,'Программа тренировок'!$C$6:$C$25,0),""))</f>
        <v/>
      </c>
    </row>
    <row r="1068" customFormat="false" ht="15" hidden="false" customHeight="true" outlineLevel="0" collapsed="false">
      <c r="A1068" s="20"/>
      <c r="B1068" s="21"/>
      <c r="C1068" s="19"/>
      <c r="D1068" s="18"/>
      <c r="E1068" s="17"/>
      <c r="F1068" s="18"/>
      <c r="G1068" s="18"/>
      <c r="H1068" s="21"/>
      <c r="I1068" s="19"/>
      <c r="J1068" s="8" t="str">
        <f aca="false">IF(OR(E1068="",F1068=""),"",E1068*F1068)</f>
        <v/>
      </c>
      <c r="K1068" s="22" t="str">
        <f aca="false">IF($M1068="","",INDEX('Программа тренировок'!$G$6:$G$25,$M1068))</f>
        <v/>
      </c>
      <c r="L1068" s="23" t="str">
        <f aca="false">IF(OR($M1068="",$F1068="",$G1068=""),"",IF($H1068="Разминка","Разминка",IF($F1068&lt;INDEX('Программа тренировок'!$E$6:$E$25,$M1068),"Ниже диапазона",IF(AND($F1068&gt;=INDEX('Программа тренировок'!$F$6:$F$25,$M1068),$G1068&gt;=INDEX('Программа тренировок'!$L$6:$L$25,$M1068)),"Верх диапазона: пора добавлять вес",IF($G1068&lt;INDEX('Программа тренировок'!$L$6:$L$25,$M1068),"RIR ниже цели","В диапазоне")))))</f>
        <v/>
      </c>
      <c r="M1068" s="23" t="str">
        <f aca="false">IF($C1068="","",IFERROR(MATCH($C1068,'Программа тренировок'!$C$6:$C$25,0),""))</f>
        <v/>
      </c>
    </row>
    <row r="1069" customFormat="false" ht="15" hidden="false" customHeight="true" outlineLevel="0" collapsed="false">
      <c r="A1069" s="20"/>
      <c r="B1069" s="21"/>
      <c r="C1069" s="19"/>
      <c r="D1069" s="18"/>
      <c r="E1069" s="17"/>
      <c r="F1069" s="18"/>
      <c r="G1069" s="18"/>
      <c r="H1069" s="21"/>
      <c r="I1069" s="19"/>
      <c r="J1069" s="8" t="str">
        <f aca="false">IF(OR(E1069="",F1069=""),"",E1069*F1069)</f>
        <v/>
      </c>
      <c r="K1069" s="22" t="str">
        <f aca="false">IF($M1069="","",INDEX('Программа тренировок'!$G$6:$G$25,$M1069))</f>
        <v/>
      </c>
      <c r="L1069" s="23" t="str">
        <f aca="false">IF(OR($M1069="",$F1069="",$G1069=""),"",IF($H1069="Разминка","Разминка",IF($F1069&lt;INDEX('Программа тренировок'!$E$6:$E$25,$M1069),"Ниже диапазона",IF(AND($F1069&gt;=INDEX('Программа тренировок'!$F$6:$F$25,$M1069),$G1069&gt;=INDEX('Программа тренировок'!$L$6:$L$25,$M1069)),"Верх диапазона: пора добавлять вес",IF($G1069&lt;INDEX('Программа тренировок'!$L$6:$L$25,$M1069),"RIR ниже цели","В диапазоне")))))</f>
        <v/>
      </c>
      <c r="M1069" s="23" t="str">
        <f aca="false">IF($C1069="","",IFERROR(MATCH($C1069,'Программа тренировок'!$C$6:$C$25,0),""))</f>
        <v/>
      </c>
    </row>
    <row r="1070" customFormat="false" ht="15" hidden="false" customHeight="true" outlineLevel="0" collapsed="false">
      <c r="A1070" s="20"/>
      <c r="B1070" s="21"/>
      <c r="C1070" s="19"/>
      <c r="D1070" s="18"/>
      <c r="E1070" s="17"/>
      <c r="F1070" s="18"/>
      <c r="G1070" s="18"/>
      <c r="H1070" s="21"/>
      <c r="I1070" s="19"/>
      <c r="J1070" s="8" t="str">
        <f aca="false">IF(OR(E1070="",F1070=""),"",E1070*F1070)</f>
        <v/>
      </c>
      <c r="K1070" s="22" t="str">
        <f aca="false">IF($M1070="","",INDEX('Программа тренировок'!$G$6:$G$25,$M1070))</f>
        <v/>
      </c>
      <c r="L1070" s="23" t="str">
        <f aca="false">IF(OR($M1070="",$F1070="",$G1070=""),"",IF($H1070="Разминка","Разминка",IF($F1070&lt;INDEX('Программа тренировок'!$E$6:$E$25,$M1070),"Ниже диапазона",IF(AND($F1070&gt;=INDEX('Программа тренировок'!$F$6:$F$25,$M1070),$G1070&gt;=INDEX('Программа тренировок'!$L$6:$L$25,$M1070)),"Верх диапазона: пора добавлять вес",IF($G1070&lt;INDEX('Программа тренировок'!$L$6:$L$25,$M1070),"RIR ниже цели","В диапазоне")))))</f>
        <v/>
      </c>
      <c r="M1070" s="23" t="str">
        <f aca="false">IF($C1070="","",IFERROR(MATCH($C1070,'Программа тренировок'!$C$6:$C$25,0),""))</f>
        <v/>
      </c>
    </row>
    <row r="1071" customFormat="false" ht="15" hidden="false" customHeight="true" outlineLevel="0" collapsed="false">
      <c r="A1071" s="20"/>
      <c r="B1071" s="21"/>
      <c r="C1071" s="19"/>
      <c r="D1071" s="18"/>
      <c r="E1071" s="17"/>
      <c r="F1071" s="18"/>
      <c r="G1071" s="18"/>
      <c r="H1071" s="21"/>
      <c r="I1071" s="19"/>
      <c r="J1071" s="8" t="str">
        <f aca="false">IF(OR(E1071="",F1071=""),"",E1071*F1071)</f>
        <v/>
      </c>
      <c r="K1071" s="22" t="str">
        <f aca="false">IF($M1071="","",INDEX('Программа тренировок'!$G$6:$G$25,$M1071))</f>
        <v/>
      </c>
      <c r="L1071" s="23" t="str">
        <f aca="false">IF(OR($M1071="",$F1071="",$G1071=""),"",IF($H1071="Разминка","Разминка",IF($F1071&lt;INDEX('Программа тренировок'!$E$6:$E$25,$M1071),"Ниже диапазона",IF(AND($F1071&gt;=INDEX('Программа тренировок'!$F$6:$F$25,$M1071),$G1071&gt;=INDEX('Программа тренировок'!$L$6:$L$25,$M1071)),"Верх диапазона: пора добавлять вес",IF($G1071&lt;INDEX('Программа тренировок'!$L$6:$L$25,$M1071),"RIR ниже цели","В диапазоне")))))</f>
        <v/>
      </c>
      <c r="M1071" s="23" t="str">
        <f aca="false">IF($C1071="","",IFERROR(MATCH($C1071,'Программа тренировок'!$C$6:$C$25,0),""))</f>
        <v/>
      </c>
    </row>
    <row r="1072" customFormat="false" ht="15" hidden="false" customHeight="true" outlineLevel="0" collapsed="false">
      <c r="A1072" s="20"/>
      <c r="B1072" s="21"/>
      <c r="C1072" s="19"/>
      <c r="D1072" s="18"/>
      <c r="E1072" s="17"/>
      <c r="F1072" s="18"/>
      <c r="G1072" s="18"/>
      <c r="H1072" s="21"/>
      <c r="I1072" s="19"/>
      <c r="J1072" s="8" t="str">
        <f aca="false">IF(OR(E1072="",F1072=""),"",E1072*F1072)</f>
        <v/>
      </c>
      <c r="K1072" s="22" t="str">
        <f aca="false">IF($M1072="","",INDEX('Программа тренировок'!$G$6:$G$25,$M1072))</f>
        <v/>
      </c>
      <c r="L1072" s="23" t="str">
        <f aca="false">IF(OR($M1072="",$F1072="",$G1072=""),"",IF($H1072="Разминка","Разминка",IF($F1072&lt;INDEX('Программа тренировок'!$E$6:$E$25,$M1072),"Ниже диапазона",IF(AND($F1072&gt;=INDEX('Программа тренировок'!$F$6:$F$25,$M1072),$G1072&gt;=INDEX('Программа тренировок'!$L$6:$L$25,$M1072)),"Верх диапазона: пора добавлять вес",IF($G1072&lt;INDEX('Программа тренировок'!$L$6:$L$25,$M1072),"RIR ниже цели","В диапазоне")))))</f>
        <v/>
      </c>
      <c r="M1072" s="23" t="str">
        <f aca="false">IF($C1072="","",IFERROR(MATCH($C1072,'Программа тренировок'!$C$6:$C$25,0),""))</f>
        <v/>
      </c>
    </row>
    <row r="1073" customFormat="false" ht="15" hidden="false" customHeight="true" outlineLevel="0" collapsed="false">
      <c r="A1073" s="20"/>
      <c r="B1073" s="21"/>
      <c r="C1073" s="19"/>
      <c r="D1073" s="18"/>
      <c r="E1073" s="17"/>
      <c r="F1073" s="18"/>
      <c r="G1073" s="18"/>
      <c r="H1073" s="21"/>
      <c r="I1073" s="19"/>
      <c r="J1073" s="8" t="str">
        <f aca="false">IF(OR(E1073="",F1073=""),"",E1073*F1073)</f>
        <v/>
      </c>
      <c r="K1073" s="22" t="str">
        <f aca="false">IF($M1073="","",INDEX('Программа тренировок'!$G$6:$G$25,$M1073))</f>
        <v/>
      </c>
      <c r="L1073" s="23" t="str">
        <f aca="false">IF(OR($M1073="",$F1073="",$G1073=""),"",IF($H1073="Разминка","Разминка",IF($F1073&lt;INDEX('Программа тренировок'!$E$6:$E$25,$M1073),"Ниже диапазона",IF(AND($F1073&gt;=INDEX('Программа тренировок'!$F$6:$F$25,$M1073),$G1073&gt;=INDEX('Программа тренировок'!$L$6:$L$25,$M1073)),"Верх диапазона: пора добавлять вес",IF($G1073&lt;INDEX('Программа тренировок'!$L$6:$L$25,$M1073),"RIR ниже цели","В диапазоне")))))</f>
        <v/>
      </c>
      <c r="M1073" s="23" t="str">
        <f aca="false">IF($C1073="","",IFERROR(MATCH($C1073,'Программа тренировок'!$C$6:$C$25,0),""))</f>
        <v/>
      </c>
    </row>
    <row r="1074" customFormat="false" ht="15" hidden="false" customHeight="true" outlineLevel="0" collapsed="false">
      <c r="A1074" s="20"/>
      <c r="B1074" s="21"/>
      <c r="C1074" s="19"/>
      <c r="D1074" s="18"/>
      <c r="E1074" s="17"/>
      <c r="F1074" s="18"/>
      <c r="G1074" s="18"/>
      <c r="H1074" s="21"/>
      <c r="I1074" s="19"/>
      <c r="J1074" s="8" t="str">
        <f aca="false">IF(OR(E1074="",F1074=""),"",E1074*F1074)</f>
        <v/>
      </c>
      <c r="K1074" s="22" t="str">
        <f aca="false">IF($M1074="","",INDEX('Программа тренировок'!$G$6:$G$25,$M1074))</f>
        <v/>
      </c>
      <c r="L1074" s="23" t="str">
        <f aca="false">IF(OR($M1074="",$F1074="",$G1074=""),"",IF($H1074="Разминка","Разминка",IF($F1074&lt;INDEX('Программа тренировок'!$E$6:$E$25,$M1074),"Ниже диапазона",IF(AND($F1074&gt;=INDEX('Программа тренировок'!$F$6:$F$25,$M1074),$G1074&gt;=INDEX('Программа тренировок'!$L$6:$L$25,$M1074)),"Верх диапазона: пора добавлять вес",IF($G1074&lt;INDEX('Программа тренировок'!$L$6:$L$25,$M1074),"RIR ниже цели","В диапазоне")))))</f>
        <v/>
      </c>
      <c r="M1074" s="23" t="str">
        <f aca="false">IF($C1074="","",IFERROR(MATCH($C1074,'Программа тренировок'!$C$6:$C$25,0),""))</f>
        <v/>
      </c>
    </row>
    <row r="1075" customFormat="false" ht="15" hidden="false" customHeight="true" outlineLevel="0" collapsed="false">
      <c r="A1075" s="20"/>
      <c r="B1075" s="21"/>
      <c r="C1075" s="19"/>
      <c r="D1075" s="18"/>
      <c r="E1075" s="17"/>
      <c r="F1075" s="18"/>
      <c r="G1075" s="18"/>
      <c r="H1075" s="21"/>
      <c r="I1075" s="19"/>
      <c r="J1075" s="8" t="str">
        <f aca="false">IF(OR(E1075="",F1075=""),"",E1075*F1075)</f>
        <v/>
      </c>
      <c r="K1075" s="22" t="str">
        <f aca="false">IF($M1075="","",INDEX('Программа тренировок'!$G$6:$G$25,$M1075))</f>
        <v/>
      </c>
      <c r="L1075" s="23" t="str">
        <f aca="false">IF(OR($M1075="",$F1075="",$G1075=""),"",IF($H1075="Разминка","Разминка",IF($F1075&lt;INDEX('Программа тренировок'!$E$6:$E$25,$M1075),"Ниже диапазона",IF(AND($F1075&gt;=INDEX('Программа тренировок'!$F$6:$F$25,$M1075),$G1075&gt;=INDEX('Программа тренировок'!$L$6:$L$25,$M1075)),"Верх диапазона: пора добавлять вес",IF($G1075&lt;INDEX('Программа тренировок'!$L$6:$L$25,$M1075),"RIR ниже цели","В диапазоне")))))</f>
        <v/>
      </c>
      <c r="M1075" s="23" t="str">
        <f aca="false">IF($C1075="","",IFERROR(MATCH($C1075,'Программа тренировок'!$C$6:$C$25,0),""))</f>
        <v/>
      </c>
    </row>
    <row r="1076" customFormat="false" ht="15" hidden="false" customHeight="true" outlineLevel="0" collapsed="false">
      <c r="A1076" s="20"/>
      <c r="B1076" s="21"/>
      <c r="C1076" s="19"/>
      <c r="D1076" s="18"/>
      <c r="E1076" s="17"/>
      <c r="F1076" s="18"/>
      <c r="G1076" s="18"/>
      <c r="H1076" s="21"/>
      <c r="I1076" s="19"/>
      <c r="J1076" s="8" t="str">
        <f aca="false">IF(OR(E1076="",F1076=""),"",E1076*F1076)</f>
        <v/>
      </c>
      <c r="K1076" s="22" t="str">
        <f aca="false">IF($M1076="","",INDEX('Программа тренировок'!$G$6:$G$25,$M1076))</f>
        <v/>
      </c>
      <c r="L1076" s="23" t="str">
        <f aca="false">IF(OR($M1076="",$F1076="",$G1076=""),"",IF($H1076="Разминка","Разминка",IF($F1076&lt;INDEX('Программа тренировок'!$E$6:$E$25,$M1076),"Ниже диапазона",IF(AND($F1076&gt;=INDEX('Программа тренировок'!$F$6:$F$25,$M1076),$G1076&gt;=INDEX('Программа тренировок'!$L$6:$L$25,$M1076)),"Верх диапазона: пора добавлять вес",IF($G1076&lt;INDEX('Программа тренировок'!$L$6:$L$25,$M1076),"RIR ниже цели","В диапазоне")))))</f>
        <v/>
      </c>
      <c r="M1076" s="23" t="str">
        <f aca="false">IF($C1076="","",IFERROR(MATCH($C1076,'Программа тренировок'!$C$6:$C$25,0),""))</f>
        <v/>
      </c>
    </row>
    <row r="1077" customFormat="false" ht="15" hidden="false" customHeight="true" outlineLevel="0" collapsed="false">
      <c r="A1077" s="20"/>
      <c r="B1077" s="21"/>
      <c r="C1077" s="19"/>
      <c r="D1077" s="18"/>
      <c r="E1077" s="17"/>
      <c r="F1077" s="18"/>
      <c r="G1077" s="18"/>
      <c r="H1077" s="21"/>
      <c r="I1077" s="19"/>
      <c r="J1077" s="8" t="str">
        <f aca="false">IF(OR(E1077="",F1077=""),"",E1077*F1077)</f>
        <v/>
      </c>
      <c r="K1077" s="22" t="str">
        <f aca="false">IF($M1077="","",INDEX('Программа тренировок'!$G$6:$G$25,$M1077))</f>
        <v/>
      </c>
      <c r="L1077" s="23" t="str">
        <f aca="false">IF(OR($M1077="",$F1077="",$G1077=""),"",IF($H1077="Разминка","Разминка",IF($F1077&lt;INDEX('Программа тренировок'!$E$6:$E$25,$M1077),"Ниже диапазона",IF(AND($F1077&gt;=INDEX('Программа тренировок'!$F$6:$F$25,$M1077),$G1077&gt;=INDEX('Программа тренировок'!$L$6:$L$25,$M1077)),"Верх диапазона: пора добавлять вес",IF($G1077&lt;INDEX('Программа тренировок'!$L$6:$L$25,$M1077),"RIR ниже цели","В диапазоне")))))</f>
        <v/>
      </c>
      <c r="M1077" s="23" t="str">
        <f aca="false">IF($C1077="","",IFERROR(MATCH($C1077,'Программа тренировок'!$C$6:$C$25,0),""))</f>
        <v/>
      </c>
    </row>
    <row r="1078" customFormat="false" ht="15" hidden="false" customHeight="true" outlineLevel="0" collapsed="false">
      <c r="A1078" s="20"/>
      <c r="B1078" s="21"/>
      <c r="C1078" s="19"/>
      <c r="D1078" s="18"/>
      <c r="E1078" s="17"/>
      <c r="F1078" s="18"/>
      <c r="G1078" s="18"/>
      <c r="H1078" s="21"/>
      <c r="I1078" s="19"/>
      <c r="J1078" s="8" t="str">
        <f aca="false">IF(OR(E1078="",F1078=""),"",E1078*F1078)</f>
        <v/>
      </c>
      <c r="K1078" s="22" t="str">
        <f aca="false">IF($M1078="","",INDEX('Программа тренировок'!$G$6:$G$25,$M1078))</f>
        <v/>
      </c>
      <c r="L1078" s="23" t="str">
        <f aca="false">IF(OR($M1078="",$F1078="",$G1078=""),"",IF($H1078="Разминка","Разминка",IF($F1078&lt;INDEX('Программа тренировок'!$E$6:$E$25,$M1078),"Ниже диапазона",IF(AND($F1078&gt;=INDEX('Программа тренировок'!$F$6:$F$25,$M1078),$G1078&gt;=INDEX('Программа тренировок'!$L$6:$L$25,$M1078)),"Верх диапазона: пора добавлять вес",IF($G1078&lt;INDEX('Программа тренировок'!$L$6:$L$25,$M1078),"RIR ниже цели","В диапазоне")))))</f>
        <v/>
      </c>
      <c r="M1078" s="23" t="str">
        <f aca="false">IF($C1078="","",IFERROR(MATCH($C1078,'Программа тренировок'!$C$6:$C$25,0),""))</f>
        <v/>
      </c>
    </row>
    <row r="1079" customFormat="false" ht="15" hidden="false" customHeight="true" outlineLevel="0" collapsed="false">
      <c r="A1079" s="20"/>
      <c r="B1079" s="21"/>
      <c r="C1079" s="19"/>
      <c r="D1079" s="18"/>
      <c r="E1079" s="17"/>
      <c r="F1079" s="18"/>
      <c r="G1079" s="18"/>
      <c r="H1079" s="21"/>
      <c r="I1079" s="19"/>
      <c r="J1079" s="8" t="str">
        <f aca="false">IF(OR(E1079="",F1079=""),"",E1079*F1079)</f>
        <v/>
      </c>
      <c r="K1079" s="22" t="str">
        <f aca="false">IF($M1079="","",INDEX('Программа тренировок'!$G$6:$G$25,$M1079))</f>
        <v/>
      </c>
      <c r="L1079" s="23" t="str">
        <f aca="false">IF(OR($M1079="",$F1079="",$G1079=""),"",IF($H1079="Разминка","Разминка",IF($F1079&lt;INDEX('Программа тренировок'!$E$6:$E$25,$M1079),"Ниже диапазона",IF(AND($F1079&gt;=INDEX('Программа тренировок'!$F$6:$F$25,$M1079),$G1079&gt;=INDEX('Программа тренировок'!$L$6:$L$25,$M1079)),"Верх диапазона: пора добавлять вес",IF($G1079&lt;INDEX('Программа тренировок'!$L$6:$L$25,$M1079),"RIR ниже цели","В диапазоне")))))</f>
        <v/>
      </c>
      <c r="M1079" s="23" t="str">
        <f aca="false">IF($C1079="","",IFERROR(MATCH($C1079,'Программа тренировок'!$C$6:$C$25,0),""))</f>
        <v/>
      </c>
    </row>
    <row r="1080" customFormat="false" ht="15" hidden="false" customHeight="true" outlineLevel="0" collapsed="false">
      <c r="A1080" s="20"/>
      <c r="B1080" s="21"/>
      <c r="C1080" s="19"/>
      <c r="D1080" s="18"/>
      <c r="E1080" s="17"/>
      <c r="F1080" s="18"/>
      <c r="G1080" s="18"/>
      <c r="H1080" s="21"/>
      <c r="I1080" s="19"/>
      <c r="J1080" s="8" t="str">
        <f aca="false">IF(OR(E1080="",F1080=""),"",E1080*F1080)</f>
        <v/>
      </c>
      <c r="K1080" s="22" t="str">
        <f aca="false">IF($M1080="","",INDEX('Программа тренировок'!$G$6:$G$25,$M1080))</f>
        <v/>
      </c>
      <c r="L1080" s="23" t="str">
        <f aca="false">IF(OR($M1080="",$F1080="",$G1080=""),"",IF($H1080="Разминка","Разминка",IF($F1080&lt;INDEX('Программа тренировок'!$E$6:$E$25,$M1080),"Ниже диапазона",IF(AND($F1080&gt;=INDEX('Программа тренировок'!$F$6:$F$25,$M1080),$G1080&gt;=INDEX('Программа тренировок'!$L$6:$L$25,$M1080)),"Верх диапазона: пора добавлять вес",IF($G1080&lt;INDEX('Программа тренировок'!$L$6:$L$25,$M1080),"RIR ниже цели","В диапазоне")))))</f>
        <v/>
      </c>
      <c r="M1080" s="23" t="str">
        <f aca="false">IF($C1080="","",IFERROR(MATCH($C1080,'Программа тренировок'!$C$6:$C$25,0),""))</f>
        <v/>
      </c>
    </row>
    <row r="1081" customFormat="false" ht="15" hidden="false" customHeight="true" outlineLevel="0" collapsed="false">
      <c r="A1081" s="20"/>
      <c r="B1081" s="21"/>
      <c r="C1081" s="19"/>
      <c r="D1081" s="18"/>
      <c r="E1081" s="17"/>
      <c r="F1081" s="18"/>
      <c r="G1081" s="18"/>
      <c r="H1081" s="21"/>
      <c r="I1081" s="19"/>
      <c r="J1081" s="8" t="str">
        <f aca="false">IF(OR(E1081="",F1081=""),"",E1081*F1081)</f>
        <v/>
      </c>
      <c r="K1081" s="22" t="str">
        <f aca="false">IF($M1081="","",INDEX('Программа тренировок'!$G$6:$G$25,$M1081))</f>
        <v/>
      </c>
      <c r="L1081" s="23" t="str">
        <f aca="false">IF(OR($M1081="",$F1081="",$G1081=""),"",IF($H1081="Разминка","Разминка",IF($F1081&lt;INDEX('Программа тренировок'!$E$6:$E$25,$M1081),"Ниже диапазона",IF(AND($F1081&gt;=INDEX('Программа тренировок'!$F$6:$F$25,$M1081),$G1081&gt;=INDEX('Программа тренировок'!$L$6:$L$25,$M1081)),"Верх диапазона: пора добавлять вес",IF($G1081&lt;INDEX('Программа тренировок'!$L$6:$L$25,$M1081),"RIR ниже цели","В диапазоне")))))</f>
        <v/>
      </c>
      <c r="M1081" s="23" t="str">
        <f aca="false">IF($C1081="","",IFERROR(MATCH($C1081,'Программа тренировок'!$C$6:$C$25,0),""))</f>
        <v/>
      </c>
    </row>
    <row r="1082" customFormat="false" ht="15" hidden="false" customHeight="true" outlineLevel="0" collapsed="false">
      <c r="A1082" s="20"/>
      <c r="B1082" s="21"/>
      <c r="C1082" s="19"/>
      <c r="D1082" s="18"/>
      <c r="E1082" s="17"/>
      <c r="F1082" s="18"/>
      <c r="G1082" s="18"/>
      <c r="H1082" s="21"/>
      <c r="I1082" s="19"/>
      <c r="J1082" s="8" t="str">
        <f aca="false">IF(OR(E1082="",F1082=""),"",E1082*F1082)</f>
        <v/>
      </c>
      <c r="K1082" s="22" t="str">
        <f aca="false">IF($M1082="","",INDEX('Программа тренировок'!$G$6:$G$25,$M1082))</f>
        <v/>
      </c>
      <c r="L1082" s="23" t="str">
        <f aca="false">IF(OR($M1082="",$F1082="",$G1082=""),"",IF($H1082="Разминка","Разминка",IF($F1082&lt;INDEX('Программа тренировок'!$E$6:$E$25,$M1082),"Ниже диапазона",IF(AND($F1082&gt;=INDEX('Программа тренировок'!$F$6:$F$25,$M1082),$G1082&gt;=INDEX('Программа тренировок'!$L$6:$L$25,$M1082)),"Верх диапазона: пора добавлять вес",IF($G1082&lt;INDEX('Программа тренировок'!$L$6:$L$25,$M1082),"RIR ниже цели","В диапазоне")))))</f>
        <v/>
      </c>
      <c r="M1082" s="23" t="str">
        <f aca="false">IF($C1082="","",IFERROR(MATCH($C1082,'Программа тренировок'!$C$6:$C$25,0),""))</f>
        <v/>
      </c>
    </row>
    <row r="1083" customFormat="false" ht="15" hidden="false" customHeight="true" outlineLevel="0" collapsed="false">
      <c r="A1083" s="20"/>
      <c r="B1083" s="21"/>
      <c r="C1083" s="19"/>
      <c r="D1083" s="18"/>
      <c r="E1083" s="17"/>
      <c r="F1083" s="18"/>
      <c r="G1083" s="18"/>
      <c r="H1083" s="21"/>
      <c r="I1083" s="19"/>
      <c r="J1083" s="8" t="str">
        <f aca="false">IF(OR(E1083="",F1083=""),"",E1083*F1083)</f>
        <v/>
      </c>
      <c r="K1083" s="22" t="str">
        <f aca="false">IF($M1083="","",INDEX('Программа тренировок'!$G$6:$G$25,$M1083))</f>
        <v/>
      </c>
      <c r="L1083" s="23" t="str">
        <f aca="false">IF(OR($M1083="",$F1083="",$G1083=""),"",IF($H1083="Разминка","Разминка",IF($F1083&lt;INDEX('Программа тренировок'!$E$6:$E$25,$M1083),"Ниже диапазона",IF(AND($F1083&gt;=INDEX('Программа тренировок'!$F$6:$F$25,$M1083),$G1083&gt;=INDEX('Программа тренировок'!$L$6:$L$25,$M1083)),"Верх диапазона: пора добавлять вес",IF($G1083&lt;INDEX('Программа тренировок'!$L$6:$L$25,$M1083),"RIR ниже цели","В диапазоне")))))</f>
        <v/>
      </c>
      <c r="M1083" s="23" t="str">
        <f aca="false">IF($C1083="","",IFERROR(MATCH($C1083,'Программа тренировок'!$C$6:$C$25,0),""))</f>
        <v/>
      </c>
    </row>
    <row r="1084" customFormat="false" ht="15" hidden="false" customHeight="true" outlineLevel="0" collapsed="false">
      <c r="A1084" s="20"/>
      <c r="B1084" s="21"/>
      <c r="C1084" s="19"/>
      <c r="D1084" s="18"/>
      <c r="E1084" s="17"/>
      <c r="F1084" s="18"/>
      <c r="G1084" s="18"/>
      <c r="H1084" s="21"/>
      <c r="I1084" s="19"/>
      <c r="J1084" s="8" t="str">
        <f aca="false">IF(OR(E1084="",F1084=""),"",E1084*F1084)</f>
        <v/>
      </c>
      <c r="K1084" s="22" t="str">
        <f aca="false">IF($M1084="","",INDEX('Программа тренировок'!$G$6:$G$25,$M1084))</f>
        <v/>
      </c>
      <c r="L1084" s="23" t="str">
        <f aca="false">IF(OR($M1084="",$F1084="",$G1084=""),"",IF($H1084="Разминка","Разминка",IF($F1084&lt;INDEX('Программа тренировок'!$E$6:$E$25,$M1084),"Ниже диапазона",IF(AND($F1084&gt;=INDEX('Программа тренировок'!$F$6:$F$25,$M1084),$G1084&gt;=INDEX('Программа тренировок'!$L$6:$L$25,$M1084)),"Верх диапазона: пора добавлять вес",IF($G1084&lt;INDEX('Программа тренировок'!$L$6:$L$25,$M1084),"RIR ниже цели","В диапазоне")))))</f>
        <v/>
      </c>
      <c r="M1084" s="23" t="str">
        <f aca="false">IF($C1084="","",IFERROR(MATCH($C1084,'Программа тренировок'!$C$6:$C$25,0),""))</f>
        <v/>
      </c>
    </row>
    <row r="1085" customFormat="false" ht="15" hidden="false" customHeight="true" outlineLevel="0" collapsed="false">
      <c r="A1085" s="20"/>
      <c r="B1085" s="21"/>
      <c r="C1085" s="19"/>
      <c r="D1085" s="18"/>
      <c r="E1085" s="17"/>
      <c r="F1085" s="18"/>
      <c r="G1085" s="18"/>
      <c r="H1085" s="21"/>
      <c r="I1085" s="19"/>
      <c r="J1085" s="8" t="str">
        <f aca="false">IF(OR(E1085="",F1085=""),"",E1085*F1085)</f>
        <v/>
      </c>
      <c r="K1085" s="22" t="str">
        <f aca="false">IF($M1085="","",INDEX('Программа тренировок'!$G$6:$G$25,$M1085))</f>
        <v/>
      </c>
      <c r="L1085" s="23" t="str">
        <f aca="false">IF(OR($M1085="",$F1085="",$G1085=""),"",IF($H1085="Разминка","Разминка",IF($F1085&lt;INDEX('Программа тренировок'!$E$6:$E$25,$M1085),"Ниже диапазона",IF(AND($F1085&gt;=INDEX('Программа тренировок'!$F$6:$F$25,$M1085),$G1085&gt;=INDEX('Программа тренировок'!$L$6:$L$25,$M1085)),"Верх диапазона: пора добавлять вес",IF($G1085&lt;INDEX('Программа тренировок'!$L$6:$L$25,$M1085),"RIR ниже цели","В диапазоне")))))</f>
        <v/>
      </c>
      <c r="M1085" s="23" t="str">
        <f aca="false">IF($C1085="","",IFERROR(MATCH($C1085,'Программа тренировок'!$C$6:$C$25,0),""))</f>
        <v/>
      </c>
    </row>
    <row r="1086" customFormat="false" ht="15" hidden="false" customHeight="true" outlineLevel="0" collapsed="false">
      <c r="A1086" s="20"/>
      <c r="B1086" s="21"/>
      <c r="C1086" s="19"/>
      <c r="D1086" s="18"/>
      <c r="E1086" s="17"/>
      <c r="F1086" s="18"/>
      <c r="G1086" s="18"/>
      <c r="H1086" s="21"/>
      <c r="I1086" s="19"/>
      <c r="J1086" s="8" t="str">
        <f aca="false">IF(OR(E1086="",F1086=""),"",E1086*F1086)</f>
        <v/>
      </c>
      <c r="K1086" s="22" t="str">
        <f aca="false">IF($M1086="","",INDEX('Программа тренировок'!$G$6:$G$25,$M1086))</f>
        <v/>
      </c>
      <c r="L1086" s="23" t="str">
        <f aca="false">IF(OR($M1086="",$F1086="",$G1086=""),"",IF($H1086="Разминка","Разминка",IF($F1086&lt;INDEX('Программа тренировок'!$E$6:$E$25,$M1086),"Ниже диапазона",IF(AND($F1086&gt;=INDEX('Программа тренировок'!$F$6:$F$25,$M1086),$G1086&gt;=INDEX('Программа тренировок'!$L$6:$L$25,$M1086)),"Верх диапазона: пора добавлять вес",IF($G1086&lt;INDEX('Программа тренировок'!$L$6:$L$25,$M1086),"RIR ниже цели","В диапазоне")))))</f>
        <v/>
      </c>
      <c r="M1086" s="23" t="str">
        <f aca="false">IF($C1086="","",IFERROR(MATCH($C1086,'Программа тренировок'!$C$6:$C$25,0),""))</f>
        <v/>
      </c>
    </row>
    <row r="1087" customFormat="false" ht="15" hidden="false" customHeight="true" outlineLevel="0" collapsed="false">
      <c r="A1087" s="20"/>
      <c r="B1087" s="21"/>
      <c r="C1087" s="19"/>
      <c r="D1087" s="18"/>
      <c r="E1087" s="17"/>
      <c r="F1087" s="18"/>
      <c r="G1087" s="18"/>
      <c r="H1087" s="21"/>
      <c r="I1087" s="19"/>
      <c r="J1087" s="8" t="str">
        <f aca="false">IF(OR(E1087="",F1087=""),"",E1087*F1087)</f>
        <v/>
      </c>
      <c r="K1087" s="22" t="str">
        <f aca="false">IF($M1087="","",INDEX('Программа тренировок'!$G$6:$G$25,$M1087))</f>
        <v/>
      </c>
      <c r="L1087" s="23" t="str">
        <f aca="false">IF(OR($M1087="",$F1087="",$G1087=""),"",IF($H1087="Разминка","Разминка",IF($F1087&lt;INDEX('Программа тренировок'!$E$6:$E$25,$M1087),"Ниже диапазона",IF(AND($F1087&gt;=INDEX('Программа тренировок'!$F$6:$F$25,$M1087),$G1087&gt;=INDEX('Программа тренировок'!$L$6:$L$25,$M1087)),"Верх диапазона: пора добавлять вес",IF($G1087&lt;INDEX('Программа тренировок'!$L$6:$L$25,$M1087),"RIR ниже цели","В диапазоне")))))</f>
        <v/>
      </c>
      <c r="M1087" s="23" t="str">
        <f aca="false">IF($C1087="","",IFERROR(MATCH($C1087,'Программа тренировок'!$C$6:$C$25,0),""))</f>
        <v/>
      </c>
    </row>
    <row r="1088" customFormat="false" ht="15" hidden="false" customHeight="true" outlineLevel="0" collapsed="false">
      <c r="A1088" s="20"/>
      <c r="B1088" s="21"/>
      <c r="C1088" s="19"/>
      <c r="D1088" s="18"/>
      <c r="E1088" s="17"/>
      <c r="F1088" s="18"/>
      <c r="G1088" s="18"/>
      <c r="H1088" s="21"/>
      <c r="I1088" s="19"/>
      <c r="J1088" s="8" t="str">
        <f aca="false">IF(OR(E1088="",F1088=""),"",E1088*F1088)</f>
        <v/>
      </c>
      <c r="K1088" s="22" t="str">
        <f aca="false">IF($M1088="","",INDEX('Программа тренировок'!$G$6:$G$25,$M1088))</f>
        <v/>
      </c>
      <c r="L1088" s="23" t="str">
        <f aca="false">IF(OR($M1088="",$F1088="",$G1088=""),"",IF($H1088="Разминка","Разминка",IF($F1088&lt;INDEX('Программа тренировок'!$E$6:$E$25,$M1088),"Ниже диапазона",IF(AND($F1088&gt;=INDEX('Программа тренировок'!$F$6:$F$25,$M1088),$G1088&gt;=INDEX('Программа тренировок'!$L$6:$L$25,$M1088)),"Верх диапазона: пора добавлять вес",IF($G1088&lt;INDEX('Программа тренировок'!$L$6:$L$25,$M1088),"RIR ниже цели","В диапазоне")))))</f>
        <v/>
      </c>
      <c r="M1088" s="23" t="str">
        <f aca="false">IF($C1088="","",IFERROR(MATCH($C1088,'Программа тренировок'!$C$6:$C$25,0),""))</f>
        <v/>
      </c>
    </row>
    <row r="1089" customFormat="false" ht="15" hidden="false" customHeight="true" outlineLevel="0" collapsed="false">
      <c r="A1089" s="20"/>
      <c r="B1089" s="21"/>
      <c r="C1089" s="19"/>
      <c r="D1089" s="18"/>
      <c r="E1089" s="17"/>
      <c r="F1089" s="18"/>
      <c r="G1089" s="18"/>
      <c r="H1089" s="21"/>
      <c r="I1089" s="19"/>
      <c r="J1089" s="8" t="str">
        <f aca="false">IF(OR(E1089="",F1089=""),"",E1089*F1089)</f>
        <v/>
      </c>
      <c r="K1089" s="22" t="str">
        <f aca="false">IF($M1089="","",INDEX('Программа тренировок'!$G$6:$G$25,$M1089))</f>
        <v/>
      </c>
      <c r="L1089" s="23" t="str">
        <f aca="false">IF(OR($M1089="",$F1089="",$G1089=""),"",IF($H1089="Разминка","Разминка",IF($F1089&lt;INDEX('Программа тренировок'!$E$6:$E$25,$M1089),"Ниже диапазона",IF(AND($F1089&gt;=INDEX('Программа тренировок'!$F$6:$F$25,$M1089),$G1089&gt;=INDEX('Программа тренировок'!$L$6:$L$25,$M1089)),"Верх диапазона: пора добавлять вес",IF($G1089&lt;INDEX('Программа тренировок'!$L$6:$L$25,$M1089),"RIR ниже цели","В диапазоне")))))</f>
        <v/>
      </c>
      <c r="M1089" s="23" t="str">
        <f aca="false">IF($C1089="","",IFERROR(MATCH($C1089,'Программа тренировок'!$C$6:$C$25,0),""))</f>
        <v/>
      </c>
    </row>
    <row r="1090" customFormat="false" ht="15" hidden="false" customHeight="true" outlineLevel="0" collapsed="false">
      <c r="A1090" s="20"/>
      <c r="B1090" s="21"/>
      <c r="C1090" s="19"/>
      <c r="D1090" s="18"/>
      <c r="E1090" s="17"/>
      <c r="F1090" s="18"/>
      <c r="G1090" s="18"/>
      <c r="H1090" s="21"/>
      <c r="I1090" s="19"/>
      <c r="J1090" s="8" t="str">
        <f aca="false">IF(OR(E1090="",F1090=""),"",E1090*F1090)</f>
        <v/>
      </c>
      <c r="K1090" s="22" t="str">
        <f aca="false">IF($M1090="","",INDEX('Программа тренировок'!$G$6:$G$25,$M1090))</f>
        <v/>
      </c>
      <c r="L1090" s="23" t="str">
        <f aca="false">IF(OR($M1090="",$F1090="",$G1090=""),"",IF($H1090="Разминка","Разминка",IF($F1090&lt;INDEX('Программа тренировок'!$E$6:$E$25,$M1090),"Ниже диапазона",IF(AND($F1090&gt;=INDEX('Программа тренировок'!$F$6:$F$25,$M1090),$G1090&gt;=INDEX('Программа тренировок'!$L$6:$L$25,$M1090)),"Верх диапазона: пора добавлять вес",IF($G1090&lt;INDEX('Программа тренировок'!$L$6:$L$25,$M1090),"RIR ниже цели","В диапазоне")))))</f>
        <v/>
      </c>
      <c r="M1090" s="23" t="str">
        <f aca="false">IF($C1090="","",IFERROR(MATCH($C1090,'Программа тренировок'!$C$6:$C$25,0),""))</f>
        <v/>
      </c>
    </row>
    <row r="1091" customFormat="false" ht="15" hidden="false" customHeight="true" outlineLevel="0" collapsed="false">
      <c r="A1091" s="20"/>
      <c r="B1091" s="21"/>
      <c r="C1091" s="19"/>
      <c r="D1091" s="18"/>
      <c r="E1091" s="17"/>
      <c r="F1091" s="18"/>
      <c r="G1091" s="18"/>
      <c r="H1091" s="21"/>
      <c r="I1091" s="19"/>
      <c r="J1091" s="8" t="str">
        <f aca="false">IF(OR(E1091="",F1091=""),"",E1091*F1091)</f>
        <v/>
      </c>
      <c r="K1091" s="22" t="str">
        <f aca="false">IF($M1091="","",INDEX('Программа тренировок'!$G$6:$G$25,$M1091))</f>
        <v/>
      </c>
      <c r="L1091" s="23" t="str">
        <f aca="false">IF(OR($M1091="",$F1091="",$G1091=""),"",IF($H1091="Разминка","Разминка",IF($F1091&lt;INDEX('Программа тренировок'!$E$6:$E$25,$M1091),"Ниже диапазона",IF(AND($F1091&gt;=INDEX('Программа тренировок'!$F$6:$F$25,$M1091),$G1091&gt;=INDEX('Программа тренировок'!$L$6:$L$25,$M1091)),"Верх диапазона: пора добавлять вес",IF($G1091&lt;INDEX('Программа тренировок'!$L$6:$L$25,$M1091),"RIR ниже цели","В диапазоне")))))</f>
        <v/>
      </c>
      <c r="M1091" s="23" t="str">
        <f aca="false">IF($C1091="","",IFERROR(MATCH($C1091,'Программа тренировок'!$C$6:$C$25,0),""))</f>
        <v/>
      </c>
    </row>
    <row r="1092" customFormat="false" ht="15" hidden="false" customHeight="true" outlineLevel="0" collapsed="false">
      <c r="A1092" s="20"/>
      <c r="B1092" s="21"/>
      <c r="C1092" s="19"/>
      <c r="D1092" s="18"/>
      <c r="E1092" s="17"/>
      <c r="F1092" s="18"/>
      <c r="G1092" s="18"/>
      <c r="H1092" s="21"/>
      <c r="I1092" s="19"/>
      <c r="J1092" s="8" t="str">
        <f aca="false">IF(OR(E1092="",F1092=""),"",E1092*F1092)</f>
        <v/>
      </c>
      <c r="K1092" s="22" t="str">
        <f aca="false">IF($M1092="","",INDEX('Программа тренировок'!$G$6:$G$25,$M1092))</f>
        <v/>
      </c>
      <c r="L1092" s="23" t="str">
        <f aca="false">IF(OR($M1092="",$F1092="",$G1092=""),"",IF($H1092="Разминка","Разминка",IF($F1092&lt;INDEX('Программа тренировок'!$E$6:$E$25,$M1092),"Ниже диапазона",IF(AND($F1092&gt;=INDEX('Программа тренировок'!$F$6:$F$25,$M1092),$G1092&gt;=INDEX('Программа тренировок'!$L$6:$L$25,$M1092)),"Верх диапазона: пора добавлять вес",IF($G1092&lt;INDEX('Программа тренировок'!$L$6:$L$25,$M1092),"RIR ниже цели","В диапазоне")))))</f>
        <v/>
      </c>
      <c r="M1092" s="23" t="str">
        <f aca="false">IF($C1092="","",IFERROR(MATCH($C1092,'Программа тренировок'!$C$6:$C$25,0),""))</f>
        <v/>
      </c>
    </row>
    <row r="1093" customFormat="false" ht="15" hidden="false" customHeight="true" outlineLevel="0" collapsed="false">
      <c r="A1093" s="20"/>
      <c r="B1093" s="21"/>
      <c r="C1093" s="19"/>
      <c r="D1093" s="18"/>
      <c r="E1093" s="17"/>
      <c r="F1093" s="18"/>
      <c r="G1093" s="18"/>
      <c r="H1093" s="21"/>
      <c r="I1093" s="19"/>
      <c r="J1093" s="8" t="str">
        <f aca="false">IF(OR(E1093="",F1093=""),"",E1093*F1093)</f>
        <v/>
      </c>
      <c r="K1093" s="22" t="str">
        <f aca="false">IF($M1093="","",INDEX('Программа тренировок'!$G$6:$G$25,$M1093))</f>
        <v/>
      </c>
      <c r="L1093" s="23" t="str">
        <f aca="false">IF(OR($M1093="",$F1093="",$G1093=""),"",IF($H1093="Разминка","Разминка",IF($F1093&lt;INDEX('Программа тренировок'!$E$6:$E$25,$M1093),"Ниже диапазона",IF(AND($F1093&gt;=INDEX('Программа тренировок'!$F$6:$F$25,$M1093),$G1093&gt;=INDEX('Программа тренировок'!$L$6:$L$25,$M1093)),"Верх диапазона: пора добавлять вес",IF($G1093&lt;INDEX('Программа тренировок'!$L$6:$L$25,$M1093),"RIR ниже цели","В диапазоне")))))</f>
        <v/>
      </c>
      <c r="M1093" s="23" t="str">
        <f aca="false">IF($C1093="","",IFERROR(MATCH($C1093,'Программа тренировок'!$C$6:$C$25,0),""))</f>
        <v/>
      </c>
    </row>
    <row r="1094" customFormat="false" ht="15" hidden="false" customHeight="true" outlineLevel="0" collapsed="false">
      <c r="A1094" s="20"/>
      <c r="B1094" s="21"/>
      <c r="C1094" s="19"/>
      <c r="D1094" s="18"/>
      <c r="E1094" s="17"/>
      <c r="F1094" s="18"/>
      <c r="G1094" s="18"/>
      <c r="H1094" s="21"/>
      <c r="I1094" s="19"/>
      <c r="J1094" s="8" t="str">
        <f aca="false">IF(OR(E1094="",F1094=""),"",E1094*F1094)</f>
        <v/>
      </c>
      <c r="K1094" s="22" t="str">
        <f aca="false">IF($M1094="","",INDEX('Программа тренировок'!$G$6:$G$25,$M1094))</f>
        <v/>
      </c>
      <c r="L1094" s="23" t="str">
        <f aca="false">IF(OR($M1094="",$F1094="",$G1094=""),"",IF($H1094="Разминка","Разминка",IF($F1094&lt;INDEX('Программа тренировок'!$E$6:$E$25,$M1094),"Ниже диапазона",IF(AND($F1094&gt;=INDEX('Программа тренировок'!$F$6:$F$25,$M1094),$G1094&gt;=INDEX('Программа тренировок'!$L$6:$L$25,$M1094)),"Верх диапазона: пора добавлять вес",IF($G1094&lt;INDEX('Программа тренировок'!$L$6:$L$25,$M1094),"RIR ниже цели","В диапазоне")))))</f>
        <v/>
      </c>
      <c r="M1094" s="23" t="str">
        <f aca="false">IF($C1094="","",IFERROR(MATCH($C1094,'Программа тренировок'!$C$6:$C$25,0),""))</f>
        <v/>
      </c>
    </row>
    <row r="1095" customFormat="false" ht="15" hidden="false" customHeight="true" outlineLevel="0" collapsed="false">
      <c r="A1095" s="20"/>
      <c r="B1095" s="21"/>
      <c r="C1095" s="19"/>
      <c r="D1095" s="18"/>
      <c r="E1095" s="17"/>
      <c r="F1095" s="18"/>
      <c r="G1095" s="18"/>
      <c r="H1095" s="21"/>
      <c r="I1095" s="19"/>
      <c r="J1095" s="8" t="str">
        <f aca="false">IF(OR(E1095="",F1095=""),"",E1095*F1095)</f>
        <v/>
      </c>
      <c r="K1095" s="22" t="str">
        <f aca="false">IF($M1095="","",INDEX('Программа тренировок'!$G$6:$G$25,$M1095))</f>
        <v/>
      </c>
      <c r="L1095" s="23" t="str">
        <f aca="false">IF(OR($M1095="",$F1095="",$G1095=""),"",IF($H1095="Разминка","Разминка",IF($F1095&lt;INDEX('Программа тренировок'!$E$6:$E$25,$M1095),"Ниже диапазона",IF(AND($F1095&gt;=INDEX('Программа тренировок'!$F$6:$F$25,$M1095),$G1095&gt;=INDEX('Программа тренировок'!$L$6:$L$25,$M1095)),"Верх диапазона: пора добавлять вес",IF($G1095&lt;INDEX('Программа тренировок'!$L$6:$L$25,$M1095),"RIR ниже цели","В диапазоне")))))</f>
        <v/>
      </c>
      <c r="M1095" s="23" t="str">
        <f aca="false">IF($C1095="","",IFERROR(MATCH($C1095,'Программа тренировок'!$C$6:$C$25,0),""))</f>
        <v/>
      </c>
    </row>
    <row r="1096" customFormat="false" ht="15" hidden="false" customHeight="true" outlineLevel="0" collapsed="false">
      <c r="A1096" s="20"/>
      <c r="B1096" s="21"/>
      <c r="C1096" s="19"/>
      <c r="D1096" s="18"/>
      <c r="E1096" s="17"/>
      <c r="F1096" s="18"/>
      <c r="G1096" s="18"/>
      <c r="H1096" s="21"/>
      <c r="I1096" s="19"/>
      <c r="J1096" s="8" t="str">
        <f aca="false">IF(OR(E1096="",F1096=""),"",E1096*F1096)</f>
        <v/>
      </c>
      <c r="K1096" s="22" t="str">
        <f aca="false">IF($M1096="","",INDEX('Программа тренировок'!$G$6:$G$25,$M1096))</f>
        <v/>
      </c>
      <c r="L1096" s="23" t="str">
        <f aca="false">IF(OR($M1096="",$F1096="",$G1096=""),"",IF($H1096="Разминка","Разминка",IF($F1096&lt;INDEX('Программа тренировок'!$E$6:$E$25,$M1096),"Ниже диапазона",IF(AND($F1096&gt;=INDEX('Программа тренировок'!$F$6:$F$25,$M1096),$G1096&gt;=INDEX('Программа тренировок'!$L$6:$L$25,$M1096)),"Верх диапазона: пора добавлять вес",IF($G1096&lt;INDEX('Программа тренировок'!$L$6:$L$25,$M1096),"RIR ниже цели","В диапазоне")))))</f>
        <v/>
      </c>
      <c r="M1096" s="23" t="str">
        <f aca="false">IF($C1096="","",IFERROR(MATCH($C1096,'Программа тренировок'!$C$6:$C$25,0),""))</f>
        <v/>
      </c>
    </row>
    <row r="1097" customFormat="false" ht="15" hidden="false" customHeight="true" outlineLevel="0" collapsed="false">
      <c r="A1097" s="20"/>
      <c r="B1097" s="21"/>
      <c r="C1097" s="19"/>
      <c r="D1097" s="18"/>
      <c r="E1097" s="17"/>
      <c r="F1097" s="18"/>
      <c r="G1097" s="18"/>
      <c r="H1097" s="21"/>
      <c r="I1097" s="19"/>
      <c r="J1097" s="8" t="str">
        <f aca="false">IF(OR(E1097="",F1097=""),"",E1097*F1097)</f>
        <v/>
      </c>
      <c r="K1097" s="22" t="str">
        <f aca="false">IF($M1097="","",INDEX('Программа тренировок'!$G$6:$G$25,$M1097))</f>
        <v/>
      </c>
      <c r="L1097" s="23" t="str">
        <f aca="false">IF(OR($M1097="",$F1097="",$G1097=""),"",IF($H1097="Разминка","Разминка",IF($F1097&lt;INDEX('Программа тренировок'!$E$6:$E$25,$M1097),"Ниже диапазона",IF(AND($F1097&gt;=INDEX('Программа тренировок'!$F$6:$F$25,$M1097),$G1097&gt;=INDEX('Программа тренировок'!$L$6:$L$25,$M1097)),"Верх диапазона: пора добавлять вес",IF($G1097&lt;INDEX('Программа тренировок'!$L$6:$L$25,$M1097),"RIR ниже цели","В диапазоне")))))</f>
        <v/>
      </c>
      <c r="M1097" s="23" t="str">
        <f aca="false">IF($C1097="","",IFERROR(MATCH($C1097,'Программа тренировок'!$C$6:$C$25,0),""))</f>
        <v/>
      </c>
    </row>
    <row r="1098" customFormat="false" ht="15" hidden="false" customHeight="true" outlineLevel="0" collapsed="false">
      <c r="A1098" s="20"/>
      <c r="B1098" s="21"/>
      <c r="C1098" s="19"/>
      <c r="D1098" s="18"/>
      <c r="E1098" s="17"/>
      <c r="F1098" s="18"/>
      <c r="G1098" s="18"/>
      <c r="H1098" s="21"/>
      <c r="I1098" s="19"/>
      <c r="J1098" s="8" t="str">
        <f aca="false">IF(OR(E1098="",F1098=""),"",E1098*F1098)</f>
        <v/>
      </c>
      <c r="K1098" s="22" t="str">
        <f aca="false">IF($M1098="","",INDEX('Программа тренировок'!$G$6:$G$25,$M1098))</f>
        <v/>
      </c>
      <c r="L1098" s="23" t="str">
        <f aca="false">IF(OR($M1098="",$F1098="",$G1098=""),"",IF($H1098="Разминка","Разминка",IF($F1098&lt;INDEX('Программа тренировок'!$E$6:$E$25,$M1098),"Ниже диапазона",IF(AND($F1098&gt;=INDEX('Программа тренировок'!$F$6:$F$25,$M1098),$G1098&gt;=INDEX('Программа тренировок'!$L$6:$L$25,$M1098)),"Верх диапазона: пора добавлять вес",IF($G1098&lt;INDEX('Программа тренировок'!$L$6:$L$25,$M1098),"RIR ниже цели","В диапазоне")))))</f>
        <v/>
      </c>
      <c r="M1098" s="23" t="str">
        <f aca="false">IF($C1098="","",IFERROR(MATCH($C1098,'Программа тренировок'!$C$6:$C$25,0),""))</f>
        <v/>
      </c>
    </row>
    <row r="1099" customFormat="false" ht="15" hidden="false" customHeight="true" outlineLevel="0" collapsed="false">
      <c r="A1099" s="20"/>
      <c r="B1099" s="21"/>
      <c r="C1099" s="19"/>
      <c r="D1099" s="18"/>
      <c r="E1099" s="17"/>
      <c r="F1099" s="18"/>
      <c r="G1099" s="18"/>
      <c r="H1099" s="21"/>
      <c r="I1099" s="19"/>
      <c r="J1099" s="8" t="str">
        <f aca="false">IF(OR(E1099="",F1099=""),"",E1099*F1099)</f>
        <v/>
      </c>
      <c r="K1099" s="22" t="str">
        <f aca="false">IF($M1099="","",INDEX('Программа тренировок'!$G$6:$G$25,$M1099))</f>
        <v/>
      </c>
      <c r="L1099" s="23" t="str">
        <f aca="false">IF(OR($M1099="",$F1099="",$G1099=""),"",IF($H1099="Разминка","Разминка",IF($F1099&lt;INDEX('Программа тренировок'!$E$6:$E$25,$M1099),"Ниже диапазона",IF(AND($F1099&gt;=INDEX('Программа тренировок'!$F$6:$F$25,$M1099),$G1099&gt;=INDEX('Программа тренировок'!$L$6:$L$25,$M1099)),"Верх диапазона: пора добавлять вес",IF($G1099&lt;INDEX('Программа тренировок'!$L$6:$L$25,$M1099),"RIR ниже цели","В диапазоне")))))</f>
        <v/>
      </c>
      <c r="M1099" s="23" t="str">
        <f aca="false">IF($C1099="","",IFERROR(MATCH($C1099,'Программа тренировок'!$C$6:$C$25,0),""))</f>
        <v/>
      </c>
    </row>
    <row r="1100" customFormat="false" ht="15" hidden="false" customHeight="true" outlineLevel="0" collapsed="false">
      <c r="A1100" s="20"/>
      <c r="B1100" s="21"/>
      <c r="C1100" s="19"/>
      <c r="D1100" s="18"/>
      <c r="E1100" s="17"/>
      <c r="F1100" s="18"/>
      <c r="G1100" s="18"/>
      <c r="H1100" s="21"/>
      <c r="I1100" s="19"/>
      <c r="J1100" s="8" t="str">
        <f aca="false">IF(OR(E1100="",F1100=""),"",E1100*F1100)</f>
        <v/>
      </c>
      <c r="K1100" s="22" t="str">
        <f aca="false">IF($M1100="","",INDEX('Программа тренировок'!$G$6:$G$25,$M1100))</f>
        <v/>
      </c>
      <c r="L1100" s="23" t="str">
        <f aca="false">IF(OR($M1100="",$F1100="",$G1100=""),"",IF($H1100="Разминка","Разминка",IF($F1100&lt;INDEX('Программа тренировок'!$E$6:$E$25,$M1100),"Ниже диапазона",IF(AND($F1100&gt;=INDEX('Программа тренировок'!$F$6:$F$25,$M1100),$G1100&gt;=INDEX('Программа тренировок'!$L$6:$L$25,$M1100)),"Верх диапазона: пора добавлять вес",IF($G1100&lt;INDEX('Программа тренировок'!$L$6:$L$25,$M1100),"RIR ниже цели","В диапазоне")))))</f>
        <v/>
      </c>
      <c r="M1100" s="23" t="str">
        <f aca="false">IF($C1100="","",IFERROR(MATCH($C1100,'Программа тренировок'!$C$6:$C$25,0),""))</f>
        <v/>
      </c>
    </row>
    <row r="1101" customFormat="false" ht="15" hidden="false" customHeight="true" outlineLevel="0" collapsed="false">
      <c r="A1101" s="20"/>
      <c r="B1101" s="21"/>
      <c r="C1101" s="19"/>
      <c r="D1101" s="18"/>
      <c r="E1101" s="17"/>
      <c r="F1101" s="18"/>
      <c r="G1101" s="18"/>
      <c r="H1101" s="21"/>
      <c r="I1101" s="19"/>
      <c r="J1101" s="8" t="str">
        <f aca="false">IF(OR(E1101="",F1101=""),"",E1101*F1101)</f>
        <v/>
      </c>
      <c r="K1101" s="22" t="str">
        <f aca="false">IF($M1101="","",INDEX('Программа тренировок'!$G$6:$G$25,$M1101))</f>
        <v/>
      </c>
      <c r="L1101" s="23" t="str">
        <f aca="false">IF(OR($M1101="",$F1101="",$G1101=""),"",IF($H1101="Разминка","Разминка",IF($F1101&lt;INDEX('Программа тренировок'!$E$6:$E$25,$M1101),"Ниже диапазона",IF(AND($F1101&gt;=INDEX('Программа тренировок'!$F$6:$F$25,$M1101),$G1101&gt;=INDEX('Программа тренировок'!$L$6:$L$25,$M1101)),"Верх диапазона: пора добавлять вес",IF($G1101&lt;INDEX('Программа тренировок'!$L$6:$L$25,$M1101),"RIR ниже цели","В диапазоне")))))</f>
        <v/>
      </c>
      <c r="M1101" s="23" t="str">
        <f aca="false">IF($C1101="","",IFERROR(MATCH($C1101,'Программа тренировок'!$C$6:$C$25,0),""))</f>
        <v/>
      </c>
    </row>
    <row r="1102" customFormat="false" ht="15" hidden="false" customHeight="true" outlineLevel="0" collapsed="false">
      <c r="A1102" s="20"/>
      <c r="B1102" s="21"/>
      <c r="C1102" s="19"/>
      <c r="D1102" s="18"/>
      <c r="E1102" s="17"/>
      <c r="F1102" s="18"/>
      <c r="G1102" s="18"/>
      <c r="H1102" s="21"/>
      <c r="I1102" s="19"/>
      <c r="J1102" s="8" t="str">
        <f aca="false">IF(OR(E1102="",F1102=""),"",E1102*F1102)</f>
        <v/>
      </c>
      <c r="K1102" s="22" t="str">
        <f aca="false">IF($M1102="","",INDEX('Программа тренировок'!$G$6:$G$25,$M1102))</f>
        <v/>
      </c>
      <c r="L1102" s="23" t="str">
        <f aca="false">IF(OR($M1102="",$F1102="",$G1102=""),"",IF($H1102="Разминка","Разминка",IF($F1102&lt;INDEX('Программа тренировок'!$E$6:$E$25,$M1102),"Ниже диапазона",IF(AND($F1102&gt;=INDEX('Программа тренировок'!$F$6:$F$25,$M1102),$G1102&gt;=INDEX('Программа тренировок'!$L$6:$L$25,$M1102)),"Верх диапазона: пора добавлять вес",IF($G1102&lt;INDEX('Программа тренировок'!$L$6:$L$25,$M1102),"RIR ниже цели","В диапазоне")))))</f>
        <v/>
      </c>
      <c r="M1102" s="23" t="str">
        <f aca="false">IF($C1102="","",IFERROR(MATCH($C1102,'Программа тренировок'!$C$6:$C$25,0),""))</f>
        <v/>
      </c>
    </row>
    <row r="1103" customFormat="false" ht="15" hidden="false" customHeight="true" outlineLevel="0" collapsed="false">
      <c r="A1103" s="20"/>
      <c r="B1103" s="21"/>
      <c r="C1103" s="19"/>
      <c r="D1103" s="18"/>
      <c r="E1103" s="17"/>
      <c r="F1103" s="18"/>
      <c r="G1103" s="18"/>
      <c r="H1103" s="21"/>
      <c r="I1103" s="19"/>
      <c r="J1103" s="8" t="str">
        <f aca="false">IF(OR(E1103="",F1103=""),"",E1103*F1103)</f>
        <v/>
      </c>
      <c r="K1103" s="22" t="str">
        <f aca="false">IF($M1103="","",INDEX('Программа тренировок'!$G$6:$G$25,$M1103))</f>
        <v/>
      </c>
      <c r="L1103" s="23" t="str">
        <f aca="false">IF(OR($M1103="",$F1103="",$G1103=""),"",IF($H1103="Разминка","Разминка",IF($F1103&lt;INDEX('Программа тренировок'!$E$6:$E$25,$M1103),"Ниже диапазона",IF(AND($F1103&gt;=INDEX('Программа тренировок'!$F$6:$F$25,$M1103),$G1103&gt;=INDEX('Программа тренировок'!$L$6:$L$25,$M1103)),"Верх диапазона: пора добавлять вес",IF($G1103&lt;INDEX('Программа тренировок'!$L$6:$L$25,$M1103),"RIR ниже цели","В диапазоне")))))</f>
        <v/>
      </c>
      <c r="M1103" s="23" t="str">
        <f aca="false">IF($C1103="","",IFERROR(MATCH($C1103,'Программа тренировок'!$C$6:$C$25,0),""))</f>
        <v/>
      </c>
    </row>
    <row r="1104" customFormat="false" ht="15" hidden="false" customHeight="true" outlineLevel="0" collapsed="false">
      <c r="A1104" s="20"/>
      <c r="B1104" s="21"/>
      <c r="C1104" s="19"/>
      <c r="D1104" s="18"/>
      <c r="E1104" s="17"/>
      <c r="F1104" s="18"/>
      <c r="G1104" s="18"/>
      <c r="H1104" s="21"/>
      <c r="I1104" s="19"/>
      <c r="J1104" s="8" t="str">
        <f aca="false">IF(OR(E1104="",F1104=""),"",E1104*F1104)</f>
        <v/>
      </c>
      <c r="K1104" s="22" t="str">
        <f aca="false">IF($M1104="","",INDEX('Программа тренировок'!$G$6:$G$25,$M1104))</f>
        <v/>
      </c>
      <c r="L1104" s="23" t="str">
        <f aca="false">IF(OR($M1104="",$F1104="",$G1104=""),"",IF($H1104="Разминка","Разминка",IF($F1104&lt;INDEX('Программа тренировок'!$E$6:$E$25,$M1104),"Ниже диапазона",IF(AND($F1104&gt;=INDEX('Программа тренировок'!$F$6:$F$25,$M1104),$G1104&gt;=INDEX('Программа тренировок'!$L$6:$L$25,$M1104)),"Верх диапазона: пора добавлять вес",IF($G1104&lt;INDEX('Программа тренировок'!$L$6:$L$25,$M1104),"RIR ниже цели","В диапазоне")))))</f>
        <v/>
      </c>
      <c r="M1104" s="23" t="str">
        <f aca="false">IF($C1104="","",IFERROR(MATCH($C1104,'Программа тренировок'!$C$6:$C$25,0),""))</f>
        <v/>
      </c>
    </row>
    <row r="1105" customFormat="false" ht="15" hidden="false" customHeight="true" outlineLevel="0" collapsed="false">
      <c r="A1105" s="20"/>
      <c r="B1105" s="21"/>
      <c r="C1105" s="19"/>
      <c r="D1105" s="18"/>
      <c r="E1105" s="17"/>
      <c r="F1105" s="18"/>
      <c r="G1105" s="18"/>
      <c r="H1105" s="21"/>
      <c r="I1105" s="19"/>
      <c r="J1105" s="8" t="str">
        <f aca="false">IF(OR(E1105="",F1105=""),"",E1105*F1105)</f>
        <v/>
      </c>
      <c r="K1105" s="22" t="str">
        <f aca="false">IF($M1105="","",INDEX('Программа тренировок'!$G$6:$G$25,$M1105))</f>
        <v/>
      </c>
      <c r="L1105" s="23" t="str">
        <f aca="false">IF(OR($M1105="",$F1105="",$G1105=""),"",IF($H1105="Разминка","Разминка",IF($F1105&lt;INDEX('Программа тренировок'!$E$6:$E$25,$M1105),"Ниже диапазона",IF(AND($F1105&gt;=INDEX('Программа тренировок'!$F$6:$F$25,$M1105),$G1105&gt;=INDEX('Программа тренировок'!$L$6:$L$25,$M1105)),"Верх диапазона: пора добавлять вес",IF($G1105&lt;INDEX('Программа тренировок'!$L$6:$L$25,$M1105),"RIR ниже цели","В диапазоне")))))</f>
        <v/>
      </c>
      <c r="M1105" s="23" t="str">
        <f aca="false">IF($C1105="","",IFERROR(MATCH($C1105,'Программа тренировок'!$C$6:$C$25,0),""))</f>
        <v/>
      </c>
    </row>
    <row r="1106" customFormat="false" ht="15" hidden="false" customHeight="true" outlineLevel="0" collapsed="false">
      <c r="A1106" s="20"/>
      <c r="B1106" s="21"/>
      <c r="C1106" s="19"/>
      <c r="D1106" s="18"/>
      <c r="E1106" s="17"/>
      <c r="F1106" s="18"/>
      <c r="G1106" s="18"/>
      <c r="H1106" s="21"/>
      <c r="I1106" s="19"/>
      <c r="J1106" s="8" t="str">
        <f aca="false">IF(OR(E1106="",F1106=""),"",E1106*F1106)</f>
        <v/>
      </c>
      <c r="K1106" s="22" t="str">
        <f aca="false">IF($M1106="","",INDEX('Программа тренировок'!$G$6:$G$25,$M1106))</f>
        <v/>
      </c>
      <c r="L1106" s="23" t="str">
        <f aca="false">IF(OR($M1106="",$F1106="",$G1106=""),"",IF($H1106="Разминка","Разминка",IF($F1106&lt;INDEX('Программа тренировок'!$E$6:$E$25,$M1106),"Ниже диапазона",IF(AND($F1106&gt;=INDEX('Программа тренировок'!$F$6:$F$25,$M1106),$G1106&gt;=INDEX('Программа тренировок'!$L$6:$L$25,$M1106)),"Верх диапазона: пора добавлять вес",IF($G1106&lt;INDEX('Программа тренировок'!$L$6:$L$25,$M1106),"RIR ниже цели","В диапазоне")))))</f>
        <v/>
      </c>
      <c r="M1106" s="23" t="str">
        <f aca="false">IF($C1106="","",IFERROR(MATCH($C1106,'Программа тренировок'!$C$6:$C$25,0),""))</f>
        <v/>
      </c>
    </row>
    <row r="1107" customFormat="false" ht="15" hidden="false" customHeight="true" outlineLevel="0" collapsed="false">
      <c r="A1107" s="20"/>
      <c r="B1107" s="21"/>
      <c r="C1107" s="19"/>
      <c r="D1107" s="18"/>
      <c r="E1107" s="17"/>
      <c r="F1107" s="18"/>
      <c r="G1107" s="18"/>
      <c r="H1107" s="21"/>
      <c r="I1107" s="19"/>
      <c r="J1107" s="8" t="str">
        <f aca="false">IF(OR(E1107="",F1107=""),"",E1107*F1107)</f>
        <v/>
      </c>
      <c r="K1107" s="22" t="str">
        <f aca="false">IF($M1107="","",INDEX('Программа тренировок'!$G$6:$G$25,$M1107))</f>
        <v/>
      </c>
      <c r="L1107" s="23" t="str">
        <f aca="false">IF(OR($M1107="",$F1107="",$G1107=""),"",IF($H1107="Разминка","Разминка",IF($F1107&lt;INDEX('Программа тренировок'!$E$6:$E$25,$M1107),"Ниже диапазона",IF(AND($F1107&gt;=INDEX('Программа тренировок'!$F$6:$F$25,$M1107),$G1107&gt;=INDEX('Программа тренировок'!$L$6:$L$25,$M1107)),"Верх диапазона: пора добавлять вес",IF($G1107&lt;INDEX('Программа тренировок'!$L$6:$L$25,$M1107),"RIR ниже цели","В диапазоне")))))</f>
        <v/>
      </c>
      <c r="M1107" s="23" t="str">
        <f aca="false">IF($C1107="","",IFERROR(MATCH($C1107,'Программа тренировок'!$C$6:$C$25,0),""))</f>
        <v/>
      </c>
    </row>
    <row r="1108" customFormat="false" ht="15" hidden="false" customHeight="true" outlineLevel="0" collapsed="false">
      <c r="A1108" s="20"/>
      <c r="B1108" s="21"/>
      <c r="C1108" s="19"/>
      <c r="D1108" s="18"/>
      <c r="E1108" s="17"/>
      <c r="F1108" s="18"/>
      <c r="G1108" s="18"/>
      <c r="H1108" s="21"/>
      <c r="I1108" s="19"/>
      <c r="J1108" s="8" t="str">
        <f aca="false">IF(OR(E1108="",F1108=""),"",E1108*F1108)</f>
        <v/>
      </c>
      <c r="K1108" s="22" t="str">
        <f aca="false">IF($M1108="","",INDEX('Программа тренировок'!$G$6:$G$25,$M1108))</f>
        <v/>
      </c>
      <c r="L1108" s="23" t="str">
        <f aca="false">IF(OR($M1108="",$F1108="",$G1108=""),"",IF($H1108="Разминка","Разминка",IF($F1108&lt;INDEX('Программа тренировок'!$E$6:$E$25,$M1108),"Ниже диапазона",IF(AND($F1108&gt;=INDEX('Программа тренировок'!$F$6:$F$25,$M1108),$G1108&gt;=INDEX('Программа тренировок'!$L$6:$L$25,$M1108)),"Верх диапазона: пора добавлять вес",IF($G1108&lt;INDEX('Программа тренировок'!$L$6:$L$25,$M1108),"RIR ниже цели","В диапазоне")))))</f>
        <v/>
      </c>
      <c r="M1108" s="23" t="str">
        <f aca="false">IF($C1108="","",IFERROR(MATCH($C1108,'Программа тренировок'!$C$6:$C$25,0),""))</f>
        <v/>
      </c>
    </row>
    <row r="1109" customFormat="false" ht="15" hidden="false" customHeight="true" outlineLevel="0" collapsed="false">
      <c r="A1109" s="20"/>
      <c r="B1109" s="21"/>
      <c r="C1109" s="19"/>
      <c r="D1109" s="18"/>
      <c r="E1109" s="17"/>
      <c r="F1109" s="18"/>
      <c r="G1109" s="18"/>
      <c r="H1109" s="21"/>
      <c r="I1109" s="19"/>
      <c r="J1109" s="8" t="str">
        <f aca="false">IF(OR(E1109="",F1109=""),"",E1109*F1109)</f>
        <v/>
      </c>
      <c r="K1109" s="22" t="str">
        <f aca="false">IF($M1109="","",INDEX('Программа тренировок'!$G$6:$G$25,$M1109))</f>
        <v/>
      </c>
      <c r="L1109" s="23" t="str">
        <f aca="false">IF(OR($M1109="",$F1109="",$G1109=""),"",IF($H1109="Разминка","Разминка",IF($F1109&lt;INDEX('Программа тренировок'!$E$6:$E$25,$M1109),"Ниже диапазона",IF(AND($F1109&gt;=INDEX('Программа тренировок'!$F$6:$F$25,$M1109),$G1109&gt;=INDEX('Программа тренировок'!$L$6:$L$25,$M1109)),"Верх диапазона: пора добавлять вес",IF($G1109&lt;INDEX('Программа тренировок'!$L$6:$L$25,$M1109),"RIR ниже цели","В диапазоне")))))</f>
        <v/>
      </c>
      <c r="M1109" s="23" t="str">
        <f aca="false">IF($C1109="","",IFERROR(MATCH($C1109,'Программа тренировок'!$C$6:$C$25,0),""))</f>
        <v/>
      </c>
    </row>
    <row r="1110" customFormat="false" ht="15" hidden="false" customHeight="true" outlineLevel="0" collapsed="false">
      <c r="A1110" s="20"/>
      <c r="B1110" s="21"/>
      <c r="C1110" s="19"/>
      <c r="D1110" s="18"/>
      <c r="E1110" s="17"/>
      <c r="F1110" s="18"/>
      <c r="G1110" s="18"/>
      <c r="H1110" s="21"/>
      <c r="I1110" s="19"/>
      <c r="J1110" s="8" t="str">
        <f aca="false">IF(OR(E1110="",F1110=""),"",E1110*F1110)</f>
        <v/>
      </c>
      <c r="K1110" s="22" t="str">
        <f aca="false">IF($M1110="","",INDEX('Программа тренировок'!$G$6:$G$25,$M1110))</f>
        <v/>
      </c>
      <c r="L1110" s="23" t="str">
        <f aca="false">IF(OR($M1110="",$F1110="",$G1110=""),"",IF($H1110="Разминка","Разминка",IF($F1110&lt;INDEX('Программа тренировок'!$E$6:$E$25,$M1110),"Ниже диапазона",IF(AND($F1110&gt;=INDEX('Программа тренировок'!$F$6:$F$25,$M1110),$G1110&gt;=INDEX('Программа тренировок'!$L$6:$L$25,$M1110)),"Верх диапазона: пора добавлять вес",IF($G1110&lt;INDEX('Программа тренировок'!$L$6:$L$25,$M1110),"RIR ниже цели","В диапазоне")))))</f>
        <v/>
      </c>
      <c r="M1110" s="23" t="str">
        <f aca="false">IF($C1110="","",IFERROR(MATCH($C1110,'Программа тренировок'!$C$6:$C$25,0),""))</f>
        <v/>
      </c>
    </row>
    <row r="1111" customFormat="false" ht="15" hidden="false" customHeight="true" outlineLevel="0" collapsed="false">
      <c r="A1111" s="20"/>
      <c r="B1111" s="21"/>
      <c r="C1111" s="19"/>
      <c r="D1111" s="18"/>
      <c r="E1111" s="17"/>
      <c r="F1111" s="18"/>
      <c r="G1111" s="18"/>
      <c r="H1111" s="21"/>
      <c r="I1111" s="19"/>
      <c r="J1111" s="8" t="str">
        <f aca="false">IF(OR(E1111="",F1111=""),"",E1111*F1111)</f>
        <v/>
      </c>
      <c r="K1111" s="22" t="str">
        <f aca="false">IF($M1111="","",INDEX('Программа тренировок'!$G$6:$G$25,$M1111))</f>
        <v/>
      </c>
      <c r="L1111" s="23" t="str">
        <f aca="false">IF(OR($M1111="",$F1111="",$G1111=""),"",IF($H1111="Разминка","Разминка",IF($F1111&lt;INDEX('Программа тренировок'!$E$6:$E$25,$M1111),"Ниже диапазона",IF(AND($F1111&gt;=INDEX('Программа тренировок'!$F$6:$F$25,$M1111),$G1111&gt;=INDEX('Программа тренировок'!$L$6:$L$25,$M1111)),"Верх диапазона: пора добавлять вес",IF($G1111&lt;INDEX('Программа тренировок'!$L$6:$L$25,$M1111),"RIR ниже цели","В диапазоне")))))</f>
        <v/>
      </c>
      <c r="M1111" s="23" t="str">
        <f aca="false">IF($C1111="","",IFERROR(MATCH($C1111,'Программа тренировок'!$C$6:$C$25,0),""))</f>
        <v/>
      </c>
    </row>
    <row r="1112" customFormat="false" ht="15" hidden="false" customHeight="true" outlineLevel="0" collapsed="false">
      <c r="A1112" s="20"/>
      <c r="B1112" s="21"/>
      <c r="C1112" s="19"/>
      <c r="D1112" s="18"/>
      <c r="E1112" s="17"/>
      <c r="F1112" s="18"/>
      <c r="G1112" s="18"/>
      <c r="H1112" s="21"/>
      <c r="I1112" s="19"/>
      <c r="J1112" s="8" t="str">
        <f aca="false">IF(OR(E1112="",F1112=""),"",E1112*F1112)</f>
        <v/>
      </c>
      <c r="K1112" s="22" t="str">
        <f aca="false">IF($M1112="","",INDEX('Программа тренировок'!$G$6:$G$25,$M1112))</f>
        <v/>
      </c>
      <c r="L1112" s="23" t="str">
        <f aca="false">IF(OR($M1112="",$F1112="",$G1112=""),"",IF($H1112="Разминка","Разминка",IF($F1112&lt;INDEX('Программа тренировок'!$E$6:$E$25,$M1112),"Ниже диапазона",IF(AND($F1112&gt;=INDEX('Программа тренировок'!$F$6:$F$25,$M1112),$G1112&gt;=INDEX('Программа тренировок'!$L$6:$L$25,$M1112)),"Верх диапазона: пора добавлять вес",IF($G1112&lt;INDEX('Программа тренировок'!$L$6:$L$25,$M1112),"RIR ниже цели","В диапазоне")))))</f>
        <v/>
      </c>
      <c r="M1112" s="23" t="str">
        <f aca="false">IF($C1112="","",IFERROR(MATCH($C1112,'Программа тренировок'!$C$6:$C$25,0),""))</f>
        <v/>
      </c>
    </row>
    <row r="1113" customFormat="false" ht="15" hidden="false" customHeight="true" outlineLevel="0" collapsed="false">
      <c r="A1113" s="20"/>
      <c r="B1113" s="21"/>
      <c r="C1113" s="19"/>
      <c r="D1113" s="18"/>
      <c r="E1113" s="17"/>
      <c r="F1113" s="18"/>
      <c r="G1113" s="18"/>
      <c r="H1113" s="21"/>
      <c r="I1113" s="19"/>
      <c r="J1113" s="8" t="str">
        <f aca="false">IF(OR(E1113="",F1113=""),"",E1113*F1113)</f>
        <v/>
      </c>
      <c r="K1113" s="22" t="str">
        <f aca="false">IF($M1113="","",INDEX('Программа тренировок'!$G$6:$G$25,$M1113))</f>
        <v/>
      </c>
      <c r="L1113" s="23" t="str">
        <f aca="false">IF(OR($M1113="",$F1113="",$G1113=""),"",IF($H1113="Разминка","Разминка",IF($F1113&lt;INDEX('Программа тренировок'!$E$6:$E$25,$M1113),"Ниже диапазона",IF(AND($F1113&gt;=INDEX('Программа тренировок'!$F$6:$F$25,$M1113),$G1113&gt;=INDEX('Программа тренировок'!$L$6:$L$25,$M1113)),"Верх диапазона: пора добавлять вес",IF($G1113&lt;INDEX('Программа тренировок'!$L$6:$L$25,$M1113),"RIR ниже цели","В диапазоне")))))</f>
        <v/>
      </c>
      <c r="M1113" s="23" t="str">
        <f aca="false">IF($C1113="","",IFERROR(MATCH($C1113,'Программа тренировок'!$C$6:$C$25,0),""))</f>
        <v/>
      </c>
    </row>
    <row r="1114" customFormat="false" ht="15" hidden="false" customHeight="true" outlineLevel="0" collapsed="false">
      <c r="A1114" s="20"/>
      <c r="B1114" s="21"/>
      <c r="C1114" s="19"/>
      <c r="D1114" s="18"/>
      <c r="E1114" s="17"/>
      <c r="F1114" s="18"/>
      <c r="G1114" s="18"/>
      <c r="H1114" s="21"/>
      <c r="I1114" s="19"/>
      <c r="J1114" s="8" t="str">
        <f aca="false">IF(OR(E1114="",F1114=""),"",E1114*F1114)</f>
        <v/>
      </c>
      <c r="K1114" s="22" t="str">
        <f aca="false">IF($M1114="","",INDEX('Программа тренировок'!$G$6:$G$25,$M1114))</f>
        <v/>
      </c>
      <c r="L1114" s="23" t="str">
        <f aca="false">IF(OR($M1114="",$F1114="",$G1114=""),"",IF($H1114="Разминка","Разминка",IF($F1114&lt;INDEX('Программа тренировок'!$E$6:$E$25,$M1114),"Ниже диапазона",IF(AND($F1114&gt;=INDEX('Программа тренировок'!$F$6:$F$25,$M1114),$G1114&gt;=INDEX('Программа тренировок'!$L$6:$L$25,$M1114)),"Верх диапазона: пора добавлять вес",IF($G1114&lt;INDEX('Программа тренировок'!$L$6:$L$25,$M1114),"RIR ниже цели","В диапазоне")))))</f>
        <v/>
      </c>
      <c r="M1114" s="23" t="str">
        <f aca="false">IF($C1114="","",IFERROR(MATCH($C1114,'Программа тренировок'!$C$6:$C$25,0),""))</f>
        <v/>
      </c>
    </row>
    <row r="1115" customFormat="false" ht="15" hidden="false" customHeight="true" outlineLevel="0" collapsed="false">
      <c r="A1115" s="20"/>
      <c r="B1115" s="21"/>
      <c r="C1115" s="19"/>
      <c r="D1115" s="18"/>
      <c r="E1115" s="17"/>
      <c r="F1115" s="18"/>
      <c r="G1115" s="18"/>
      <c r="H1115" s="21"/>
      <c r="I1115" s="19"/>
      <c r="J1115" s="8" t="str">
        <f aca="false">IF(OR(E1115="",F1115=""),"",E1115*F1115)</f>
        <v/>
      </c>
      <c r="K1115" s="22" t="str">
        <f aca="false">IF($M1115="","",INDEX('Программа тренировок'!$G$6:$G$25,$M1115))</f>
        <v/>
      </c>
      <c r="L1115" s="23" t="str">
        <f aca="false">IF(OR($M1115="",$F1115="",$G1115=""),"",IF($H1115="Разминка","Разминка",IF($F1115&lt;INDEX('Программа тренировок'!$E$6:$E$25,$M1115),"Ниже диапазона",IF(AND($F1115&gt;=INDEX('Программа тренировок'!$F$6:$F$25,$M1115),$G1115&gt;=INDEX('Программа тренировок'!$L$6:$L$25,$M1115)),"Верх диапазона: пора добавлять вес",IF($G1115&lt;INDEX('Программа тренировок'!$L$6:$L$25,$M1115),"RIR ниже цели","В диапазоне")))))</f>
        <v/>
      </c>
      <c r="M1115" s="23" t="str">
        <f aca="false">IF($C1115="","",IFERROR(MATCH($C1115,'Программа тренировок'!$C$6:$C$25,0),""))</f>
        <v/>
      </c>
    </row>
    <row r="1116" customFormat="false" ht="15" hidden="false" customHeight="true" outlineLevel="0" collapsed="false">
      <c r="A1116" s="20"/>
      <c r="B1116" s="21"/>
      <c r="C1116" s="19"/>
      <c r="D1116" s="18"/>
      <c r="E1116" s="17"/>
      <c r="F1116" s="18"/>
      <c r="G1116" s="18"/>
      <c r="H1116" s="21"/>
      <c r="I1116" s="19"/>
      <c r="J1116" s="8" t="str">
        <f aca="false">IF(OR(E1116="",F1116=""),"",E1116*F1116)</f>
        <v/>
      </c>
      <c r="K1116" s="22" t="str">
        <f aca="false">IF($M1116="","",INDEX('Программа тренировок'!$G$6:$G$25,$M1116))</f>
        <v/>
      </c>
      <c r="L1116" s="23" t="str">
        <f aca="false">IF(OR($M1116="",$F1116="",$G1116=""),"",IF($H1116="Разминка","Разминка",IF($F1116&lt;INDEX('Программа тренировок'!$E$6:$E$25,$M1116),"Ниже диапазона",IF(AND($F1116&gt;=INDEX('Программа тренировок'!$F$6:$F$25,$M1116),$G1116&gt;=INDEX('Программа тренировок'!$L$6:$L$25,$M1116)),"Верх диапазона: пора добавлять вес",IF($G1116&lt;INDEX('Программа тренировок'!$L$6:$L$25,$M1116),"RIR ниже цели","В диапазоне")))))</f>
        <v/>
      </c>
      <c r="M1116" s="23" t="str">
        <f aca="false">IF($C1116="","",IFERROR(MATCH($C1116,'Программа тренировок'!$C$6:$C$25,0),""))</f>
        <v/>
      </c>
    </row>
    <row r="1117" customFormat="false" ht="15" hidden="false" customHeight="true" outlineLevel="0" collapsed="false">
      <c r="A1117" s="20"/>
      <c r="B1117" s="21"/>
      <c r="C1117" s="19"/>
      <c r="D1117" s="18"/>
      <c r="E1117" s="17"/>
      <c r="F1117" s="18"/>
      <c r="G1117" s="18"/>
      <c r="H1117" s="21"/>
      <c r="I1117" s="19"/>
      <c r="J1117" s="8" t="str">
        <f aca="false">IF(OR(E1117="",F1117=""),"",E1117*F1117)</f>
        <v/>
      </c>
      <c r="K1117" s="22" t="str">
        <f aca="false">IF($M1117="","",INDEX('Программа тренировок'!$G$6:$G$25,$M1117))</f>
        <v/>
      </c>
      <c r="L1117" s="23" t="str">
        <f aca="false">IF(OR($M1117="",$F1117="",$G1117=""),"",IF($H1117="Разминка","Разминка",IF($F1117&lt;INDEX('Программа тренировок'!$E$6:$E$25,$M1117),"Ниже диапазона",IF(AND($F1117&gt;=INDEX('Программа тренировок'!$F$6:$F$25,$M1117),$G1117&gt;=INDEX('Программа тренировок'!$L$6:$L$25,$M1117)),"Верх диапазона: пора добавлять вес",IF($G1117&lt;INDEX('Программа тренировок'!$L$6:$L$25,$M1117),"RIR ниже цели","В диапазоне")))))</f>
        <v/>
      </c>
      <c r="M1117" s="23" t="str">
        <f aca="false">IF($C1117="","",IFERROR(MATCH($C1117,'Программа тренировок'!$C$6:$C$25,0),""))</f>
        <v/>
      </c>
    </row>
    <row r="1118" customFormat="false" ht="15" hidden="false" customHeight="true" outlineLevel="0" collapsed="false">
      <c r="A1118" s="20"/>
      <c r="B1118" s="21"/>
      <c r="C1118" s="19"/>
      <c r="D1118" s="18"/>
      <c r="E1118" s="17"/>
      <c r="F1118" s="18"/>
      <c r="G1118" s="18"/>
      <c r="H1118" s="21"/>
      <c r="I1118" s="19"/>
      <c r="J1118" s="8" t="str">
        <f aca="false">IF(OR(E1118="",F1118=""),"",E1118*F1118)</f>
        <v/>
      </c>
      <c r="K1118" s="22" t="str">
        <f aca="false">IF($M1118="","",INDEX('Программа тренировок'!$G$6:$G$25,$M1118))</f>
        <v/>
      </c>
      <c r="L1118" s="23" t="str">
        <f aca="false">IF(OR($M1118="",$F1118="",$G1118=""),"",IF($H1118="Разминка","Разминка",IF($F1118&lt;INDEX('Программа тренировок'!$E$6:$E$25,$M1118),"Ниже диапазона",IF(AND($F1118&gt;=INDEX('Программа тренировок'!$F$6:$F$25,$M1118),$G1118&gt;=INDEX('Программа тренировок'!$L$6:$L$25,$M1118)),"Верх диапазона: пора добавлять вес",IF($G1118&lt;INDEX('Программа тренировок'!$L$6:$L$25,$M1118),"RIR ниже цели","В диапазоне")))))</f>
        <v/>
      </c>
      <c r="M1118" s="23" t="str">
        <f aca="false">IF($C1118="","",IFERROR(MATCH($C1118,'Программа тренировок'!$C$6:$C$25,0),""))</f>
        <v/>
      </c>
    </row>
    <row r="1119" customFormat="false" ht="15" hidden="false" customHeight="true" outlineLevel="0" collapsed="false">
      <c r="A1119" s="20"/>
      <c r="B1119" s="21"/>
      <c r="C1119" s="19"/>
      <c r="D1119" s="18"/>
      <c r="E1119" s="17"/>
      <c r="F1119" s="18"/>
      <c r="G1119" s="18"/>
      <c r="H1119" s="21"/>
      <c r="I1119" s="19"/>
      <c r="J1119" s="8" t="str">
        <f aca="false">IF(OR(E1119="",F1119=""),"",E1119*F1119)</f>
        <v/>
      </c>
      <c r="K1119" s="22" t="str">
        <f aca="false">IF($M1119="","",INDEX('Программа тренировок'!$G$6:$G$25,$M1119))</f>
        <v/>
      </c>
      <c r="L1119" s="23" t="str">
        <f aca="false">IF(OR($M1119="",$F1119="",$G1119=""),"",IF($H1119="Разминка","Разминка",IF($F1119&lt;INDEX('Программа тренировок'!$E$6:$E$25,$M1119),"Ниже диапазона",IF(AND($F1119&gt;=INDEX('Программа тренировок'!$F$6:$F$25,$M1119),$G1119&gt;=INDEX('Программа тренировок'!$L$6:$L$25,$M1119)),"Верх диапазона: пора добавлять вес",IF($G1119&lt;INDEX('Программа тренировок'!$L$6:$L$25,$M1119),"RIR ниже цели","В диапазоне")))))</f>
        <v/>
      </c>
      <c r="M1119" s="23" t="str">
        <f aca="false">IF($C1119="","",IFERROR(MATCH($C1119,'Программа тренировок'!$C$6:$C$25,0),""))</f>
        <v/>
      </c>
    </row>
    <row r="1120" customFormat="false" ht="15" hidden="false" customHeight="true" outlineLevel="0" collapsed="false">
      <c r="A1120" s="20"/>
      <c r="B1120" s="21"/>
      <c r="C1120" s="19"/>
      <c r="D1120" s="18"/>
      <c r="E1120" s="17"/>
      <c r="F1120" s="18"/>
      <c r="G1120" s="18"/>
      <c r="H1120" s="21"/>
      <c r="I1120" s="19"/>
      <c r="J1120" s="8" t="str">
        <f aca="false">IF(OR(E1120="",F1120=""),"",E1120*F1120)</f>
        <v/>
      </c>
      <c r="K1120" s="22" t="str">
        <f aca="false">IF($M1120="","",INDEX('Программа тренировок'!$G$6:$G$25,$M1120))</f>
        <v/>
      </c>
      <c r="L1120" s="23" t="str">
        <f aca="false">IF(OR($M1120="",$F1120="",$G1120=""),"",IF($H1120="Разминка","Разминка",IF($F1120&lt;INDEX('Программа тренировок'!$E$6:$E$25,$M1120),"Ниже диапазона",IF(AND($F1120&gt;=INDEX('Программа тренировок'!$F$6:$F$25,$M1120),$G1120&gt;=INDEX('Программа тренировок'!$L$6:$L$25,$M1120)),"Верх диапазона: пора добавлять вес",IF($G1120&lt;INDEX('Программа тренировок'!$L$6:$L$25,$M1120),"RIR ниже цели","В диапазоне")))))</f>
        <v/>
      </c>
      <c r="M1120" s="23" t="str">
        <f aca="false">IF($C1120="","",IFERROR(MATCH($C1120,'Программа тренировок'!$C$6:$C$25,0),""))</f>
        <v/>
      </c>
    </row>
    <row r="1121" customFormat="false" ht="15" hidden="false" customHeight="true" outlineLevel="0" collapsed="false">
      <c r="A1121" s="20"/>
      <c r="B1121" s="21"/>
      <c r="C1121" s="19"/>
      <c r="D1121" s="18"/>
      <c r="E1121" s="17"/>
      <c r="F1121" s="18"/>
      <c r="G1121" s="18"/>
      <c r="H1121" s="21"/>
      <c r="I1121" s="19"/>
      <c r="J1121" s="8" t="str">
        <f aca="false">IF(OR(E1121="",F1121=""),"",E1121*F1121)</f>
        <v/>
      </c>
      <c r="K1121" s="22" t="str">
        <f aca="false">IF($M1121="","",INDEX('Программа тренировок'!$G$6:$G$25,$M1121))</f>
        <v/>
      </c>
      <c r="L1121" s="23" t="str">
        <f aca="false">IF(OR($M1121="",$F1121="",$G1121=""),"",IF($H1121="Разминка","Разминка",IF($F1121&lt;INDEX('Программа тренировок'!$E$6:$E$25,$M1121),"Ниже диапазона",IF(AND($F1121&gt;=INDEX('Программа тренировок'!$F$6:$F$25,$M1121),$G1121&gt;=INDEX('Программа тренировок'!$L$6:$L$25,$M1121)),"Верх диапазона: пора добавлять вес",IF($G1121&lt;INDEX('Программа тренировок'!$L$6:$L$25,$M1121),"RIR ниже цели","В диапазоне")))))</f>
        <v/>
      </c>
      <c r="M1121" s="23" t="str">
        <f aca="false">IF($C1121="","",IFERROR(MATCH($C1121,'Программа тренировок'!$C$6:$C$25,0),""))</f>
        <v/>
      </c>
    </row>
    <row r="1122" customFormat="false" ht="15" hidden="false" customHeight="true" outlineLevel="0" collapsed="false">
      <c r="A1122" s="20"/>
      <c r="B1122" s="21"/>
      <c r="C1122" s="19"/>
      <c r="D1122" s="18"/>
      <c r="E1122" s="17"/>
      <c r="F1122" s="18"/>
      <c r="G1122" s="18"/>
      <c r="H1122" s="21"/>
      <c r="I1122" s="19"/>
      <c r="J1122" s="8" t="str">
        <f aca="false">IF(OR(E1122="",F1122=""),"",E1122*F1122)</f>
        <v/>
      </c>
      <c r="K1122" s="22" t="str">
        <f aca="false">IF($M1122="","",INDEX('Программа тренировок'!$G$6:$G$25,$M1122))</f>
        <v/>
      </c>
      <c r="L1122" s="23" t="str">
        <f aca="false">IF(OR($M1122="",$F1122="",$G1122=""),"",IF($H1122="Разминка","Разминка",IF($F1122&lt;INDEX('Программа тренировок'!$E$6:$E$25,$M1122),"Ниже диапазона",IF(AND($F1122&gt;=INDEX('Программа тренировок'!$F$6:$F$25,$M1122),$G1122&gt;=INDEX('Программа тренировок'!$L$6:$L$25,$M1122)),"Верх диапазона: пора добавлять вес",IF($G1122&lt;INDEX('Программа тренировок'!$L$6:$L$25,$M1122),"RIR ниже цели","В диапазоне")))))</f>
        <v/>
      </c>
      <c r="M1122" s="23" t="str">
        <f aca="false">IF($C1122="","",IFERROR(MATCH($C1122,'Программа тренировок'!$C$6:$C$25,0),""))</f>
        <v/>
      </c>
    </row>
    <row r="1123" customFormat="false" ht="15" hidden="false" customHeight="true" outlineLevel="0" collapsed="false">
      <c r="A1123" s="20"/>
      <c r="B1123" s="21"/>
      <c r="C1123" s="19"/>
      <c r="D1123" s="18"/>
      <c r="E1123" s="17"/>
      <c r="F1123" s="18"/>
      <c r="G1123" s="18"/>
      <c r="H1123" s="21"/>
      <c r="I1123" s="19"/>
      <c r="J1123" s="8" t="str">
        <f aca="false">IF(OR(E1123="",F1123=""),"",E1123*F1123)</f>
        <v/>
      </c>
      <c r="K1123" s="22" t="str">
        <f aca="false">IF($M1123="","",INDEX('Программа тренировок'!$G$6:$G$25,$M1123))</f>
        <v/>
      </c>
      <c r="L1123" s="23" t="str">
        <f aca="false">IF(OR($M1123="",$F1123="",$G1123=""),"",IF($H1123="Разминка","Разминка",IF($F1123&lt;INDEX('Программа тренировок'!$E$6:$E$25,$M1123),"Ниже диапазона",IF(AND($F1123&gt;=INDEX('Программа тренировок'!$F$6:$F$25,$M1123),$G1123&gt;=INDEX('Программа тренировок'!$L$6:$L$25,$M1123)),"Верх диапазона: пора добавлять вес",IF($G1123&lt;INDEX('Программа тренировок'!$L$6:$L$25,$M1123),"RIR ниже цели","В диапазоне")))))</f>
        <v/>
      </c>
      <c r="M1123" s="23" t="str">
        <f aca="false">IF($C1123="","",IFERROR(MATCH($C1123,'Программа тренировок'!$C$6:$C$25,0),""))</f>
        <v/>
      </c>
    </row>
    <row r="1124" customFormat="false" ht="15" hidden="false" customHeight="true" outlineLevel="0" collapsed="false">
      <c r="A1124" s="20"/>
      <c r="B1124" s="21"/>
      <c r="C1124" s="19"/>
      <c r="D1124" s="18"/>
      <c r="E1124" s="17"/>
      <c r="F1124" s="18"/>
      <c r="G1124" s="18"/>
      <c r="H1124" s="21"/>
      <c r="I1124" s="19"/>
      <c r="J1124" s="8" t="str">
        <f aca="false">IF(OR(E1124="",F1124=""),"",E1124*F1124)</f>
        <v/>
      </c>
      <c r="K1124" s="22" t="str">
        <f aca="false">IF($M1124="","",INDEX('Программа тренировок'!$G$6:$G$25,$M1124))</f>
        <v/>
      </c>
      <c r="L1124" s="23" t="str">
        <f aca="false">IF(OR($M1124="",$F1124="",$G1124=""),"",IF($H1124="Разминка","Разминка",IF($F1124&lt;INDEX('Программа тренировок'!$E$6:$E$25,$M1124),"Ниже диапазона",IF(AND($F1124&gt;=INDEX('Программа тренировок'!$F$6:$F$25,$M1124),$G1124&gt;=INDEX('Программа тренировок'!$L$6:$L$25,$M1124)),"Верх диапазона: пора добавлять вес",IF($G1124&lt;INDEX('Программа тренировок'!$L$6:$L$25,$M1124),"RIR ниже цели","В диапазоне")))))</f>
        <v/>
      </c>
      <c r="M1124" s="23" t="str">
        <f aca="false">IF($C1124="","",IFERROR(MATCH($C1124,'Программа тренировок'!$C$6:$C$25,0),""))</f>
        <v/>
      </c>
    </row>
    <row r="1125" customFormat="false" ht="15" hidden="false" customHeight="true" outlineLevel="0" collapsed="false">
      <c r="A1125" s="20"/>
      <c r="B1125" s="21"/>
      <c r="C1125" s="19"/>
      <c r="D1125" s="18"/>
      <c r="E1125" s="17"/>
      <c r="F1125" s="18"/>
      <c r="G1125" s="18"/>
      <c r="H1125" s="21"/>
      <c r="I1125" s="19"/>
      <c r="J1125" s="8" t="str">
        <f aca="false">IF(OR(E1125="",F1125=""),"",E1125*F1125)</f>
        <v/>
      </c>
      <c r="K1125" s="22" t="str">
        <f aca="false">IF($M1125="","",INDEX('Программа тренировок'!$G$6:$G$25,$M1125))</f>
        <v/>
      </c>
      <c r="L1125" s="23" t="str">
        <f aca="false">IF(OR($M1125="",$F1125="",$G1125=""),"",IF($H1125="Разминка","Разминка",IF($F1125&lt;INDEX('Программа тренировок'!$E$6:$E$25,$M1125),"Ниже диапазона",IF(AND($F1125&gt;=INDEX('Программа тренировок'!$F$6:$F$25,$M1125),$G1125&gt;=INDEX('Программа тренировок'!$L$6:$L$25,$M1125)),"Верх диапазона: пора добавлять вес",IF($G1125&lt;INDEX('Программа тренировок'!$L$6:$L$25,$M1125),"RIR ниже цели","В диапазоне")))))</f>
        <v/>
      </c>
      <c r="M1125" s="23" t="str">
        <f aca="false">IF($C1125="","",IFERROR(MATCH($C1125,'Программа тренировок'!$C$6:$C$25,0),""))</f>
        <v/>
      </c>
    </row>
    <row r="1126" customFormat="false" ht="15" hidden="false" customHeight="true" outlineLevel="0" collapsed="false">
      <c r="A1126" s="20"/>
      <c r="B1126" s="21"/>
      <c r="C1126" s="19"/>
      <c r="D1126" s="18"/>
      <c r="E1126" s="17"/>
      <c r="F1126" s="18"/>
      <c r="G1126" s="18"/>
      <c r="H1126" s="21"/>
      <c r="I1126" s="19"/>
      <c r="J1126" s="8" t="str">
        <f aca="false">IF(OR(E1126="",F1126=""),"",E1126*F1126)</f>
        <v/>
      </c>
      <c r="K1126" s="22" t="str">
        <f aca="false">IF($M1126="","",INDEX('Программа тренировок'!$G$6:$G$25,$M1126))</f>
        <v/>
      </c>
      <c r="L1126" s="23" t="str">
        <f aca="false">IF(OR($M1126="",$F1126="",$G1126=""),"",IF($H1126="Разминка","Разминка",IF($F1126&lt;INDEX('Программа тренировок'!$E$6:$E$25,$M1126),"Ниже диапазона",IF(AND($F1126&gt;=INDEX('Программа тренировок'!$F$6:$F$25,$M1126),$G1126&gt;=INDEX('Программа тренировок'!$L$6:$L$25,$M1126)),"Верх диапазона: пора добавлять вес",IF($G1126&lt;INDEX('Программа тренировок'!$L$6:$L$25,$M1126),"RIR ниже цели","В диапазоне")))))</f>
        <v/>
      </c>
      <c r="M1126" s="23" t="str">
        <f aca="false">IF($C1126="","",IFERROR(MATCH($C1126,'Программа тренировок'!$C$6:$C$25,0),""))</f>
        <v/>
      </c>
    </row>
    <row r="1127" customFormat="false" ht="15" hidden="false" customHeight="true" outlineLevel="0" collapsed="false">
      <c r="A1127" s="20"/>
      <c r="B1127" s="21"/>
      <c r="C1127" s="19"/>
      <c r="D1127" s="18"/>
      <c r="E1127" s="17"/>
      <c r="F1127" s="18"/>
      <c r="G1127" s="18"/>
      <c r="H1127" s="21"/>
      <c r="I1127" s="19"/>
      <c r="J1127" s="8" t="str">
        <f aca="false">IF(OR(E1127="",F1127=""),"",E1127*F1127)</f>
        <v/>
      </c>
      <c r="K1127" s="22" t="str">
        <f aca="false">IF($M1127="","",INDEX('Программа тренировок'!$G$6:$G$25,$M1127))</f>
        <v/>
      </c>
      <c r="L1127" s="23" t="str">
        <f aca="false">IF(OR($M1127="",$F1127="",$G1127=""),"",IF($H1127="Разминка","Разминка",IF($F1127&lt;INDEX('Программа тренировок'!$E$6:$E$25,$M1127),"Ниже диапазона",IF(AND($F1127&gt;=INDEX('Программа тренировок'!$F$6:$F$25,$M1127),$G1127&gt;=INDEX('Программа тренировок'!$L$6:$L$25,$M1127)),"Верх диапазона: пора добавлять вес",IF($G1127&lt;INDEX('Программа тренировок'!$L$6:$L$25,$M1127),"RIR ниже цели","В диапазоне")))))</f>
        <v/>
      </c>
      <c r="M1127" s="23" t="str">
        <f aca="false">IF($C1127="","",IFERROR(MATCH($C1127,'Программа тренировок'!$C$6:$C$25,0),""))</f>
        <v/>
      </c>
    </row>
    <row r="1128" customFormat="false" ht="15" hidden="false" customHeight="true" outlineLevel="0" collapsed="false">
      <c r="A1128" s="20"/>
      <c r="B1128" s="21"/>
      <c r="C1128" s="19"/>
      <c r="D1128" s="18"/>
      <c r="E1128" s="17"/>
      <c r="F1128" s="18"/>
      <c r="G1128" s="18"/>
      <c r="H1128" s="21"/>
      <c r="I1128" s="19"/>
      <c r="J1128" s="8" t="str">
        <f aca="false">IF(OR(E1128="",F1128=""),"",E1128*F1128)</f>
        <v/>
      </c>
      <c r="K1128" s="22" t="str">
        <f aca="false">IF($M1128="","",INDEX('Программа тренировок'!$G$6:$G$25,$M1128))</f>
        <v/>
      </c>
      <c r="L1128" s="23" t="str">
        <f aca="false">IF(OR($M1128="",$F1128="",$G1128=""),"",IF($H1128="Разминка","Разминка",IF($F1128&lt;INDEX('Программа тренировок'!$E$6:$E$25,$M1128),"Ниже диапазона",IF(AND($F1128&gt;=INDEX('Программа тренировок'!$F$6:$F$25,$M1128),$G1128&gt;=INDEX('Программа тренировок'!$L$6:$L$25,$M1128)),"Верх диапазона: пора добавлять вес",IF($G1128&lt;INDEX('Программа тренировок'!$L$6:$L$25,$M1128),"RIR ниже цели","В диапазоне")))))</f>
        <v/>
      </c>
      <c r="M1128" s="23" t="str">
        <f aca="false">IF($C1128="","",IFERROR(MATCH($C1128,'Программа тренировок'!$C$6:$C$25,0),""))</f>
        <v/>
      </c>
    </row>
    <row r="1129" customFormat="false" ht="15" hidden="false" customHeight="true" outlineLevel="0" collapsed="false">
      <c r="A1129" s="20"/>
      <c r="B1129" s="21"/>
      <c r="C1129" s="19"/>
      <c r="D1129" s="18"/>
      <c r="E1129" s="17"/>
      <c r="F1129" s="18"/>
      <c r="G1129" s="18"/>
      <c r="H1129" s="21"/>
      <c r="I1129" s="19"/>
      <c r="J1129" s="8" t="str">
        <f aca="false">IF(OR(E1129="",F1129=""),"",E1129*F1129)</f>
        <v/>
      </c>
      <c r="K1129" s="22" t="str">
        <f aca="false">IF($M1129="","",INDEX('Программа тренировок'!$G$6:$G$25,$M1129))</f>
        <v/>
      </c>
      <c r="L1129" s="23" t="str">
        <f aca="false">IF(OR($M1129="",$F1129="",$G1129=""),"",IF($H1129="Разминка","Разминка",IF($F1129&lt;INDEX('Программа тренировок'!$E$6:$E$25,$M1129),"Ниже диапазона",IF(AND($F1129&gt;=INDEX('Программа тренировок'!$F$6:$F$25,$M1129),$G1129&gt;=INDEX('Программа тренировок'!$L$6:$L$25,$M1129)),"Верх диапазона: пора добавлять вес",IF($G1129&lt;INDEX('Программа тренировок'!$L$6:$L$25,$M1129),"RIR ниже цели","В диапазоне")))))</f>
        <v/>
      </c>
      <c r="M1129" s="23" t="str">
        <f aca="false">IF($C1129="","",IFERROR(MATCH($C1129,'Программа тренировок'!$C$6:$C$25,0),""))</f>
        <v/>
      </c>
    </row>
    <row r="1130" customFormat="false" ht="15" hidden="false" customHeight="true" outlineLevel="0" collapsed="false">
      <c r="A1130" s="20"/>
      <c r="B1130" s="21"/>
      <c r="C1130" s="19"/>
      <c r="D1130" s="18"/>
      <c r="E1130" s="17"/>
      <c r="F1130" s="18"/>
      <c r="G1130" s="18"/>
      <c r="H1130" s="21"/>
      <c r="I1130" s="19"/>
      <c r="J1130" s="8" t="str">
        <f aca="false">IF(OR(E1130="",F1130=""),"",E1130*F1130)</f>
        <v/>
      </c>
      <c r="K1130" s="22" t="str">
        <f aca="false">IF($M1130="","",INDEX('Программа тренировок'!$G$6:$G$25,$M1130))</f>
        <v/>
      </c>
      <c r="L1130" s="23" t="str">
        <f aca="false">IF(OR($M1130="",$F1130="",$G1130=""),"",IF($H1130="Разминка","Разминка",IF($F1130&lt;INDEX('Программа тренировок'!$E$6:$E$25,$M1130),"Ниже диапазона",IF(AND($F1130&gt;=INDEX('Программа тренировок'!$F$6:$F$25,$M1130),$G1130&gt;=INDEX('Программа тренировок'!$L$6:$L$25,$M1130)),"Верх диапазона: пора добавлять вес",IF($G1130&lt;INDEX('Программа тренировок'!$L$6:$L$25,$M1130),"RIR ниже цели","В диапазоне")))))</f>
        <v/>
      </c>
      <c r="M1130" s="23" t="str">
        <f aca="false">IF($C1130="","",IFERROR(MATCH($C1130,'Программа тренировок'!$C$6:$C$25,0),""))</f>
        <v/>
      </c>
    </row>
    <row r="1131" customFormat="false" ht="15" hidden="false" customHeight="true" outlineLevel="0" collapsed="false">
      <c r="A1131" s="20"/>
      <c r="B1131" s="21"/>
      <c r="C1131" s="19"/>
      <c r="D1131" s="18"/>
      <c r="E1131" s="17"/>
      <c r="F1131" s="18"/>
      <c r="G1131" s="18"/>
      <c r="H1131" s="21"/>
      <c r="I1131" s="19"/>
      <c r="J1131" s="8" t="str">
        <f aca="false">IF(OR(E1131="",F1131=""),"",E1131*F1131)</f>
        <v/>
      </c>
      <c r="K1131" s="22" t="str">
        <f aca="false">IF($M1131="","",INDEX('Программа тренировок'!$G$6:$G$25,$M1131))</f>
        <v/>
      </c>
      <c r="L1131" s="23" t="str">
        <f aca="false">IF(OR($M1131="",$F1131="",$G1131=""),"",IF($H1131="Разминка","Разминка",IF($F1131&lt;INDEX('Программа тренировок'!$E$6:$E$25,$M1131),"Ниже диапазона",IF(AND($F1131&gt;=INDEX('Программа тренировок'!$F$6:$F$25,$M1131),$G1131&gt;=INDEX('Программа тренировок'!$L$6:$L$25,$M1131)),"Верх диапазона: пора добавлять вес",IF($G1131&lt;INDEX('Программа тренировок'!$L$6:$L$25,$M1131),"RIR ниже цели","В диапазоне")))))</f>
        <v/>
      </c>
      <c r="M1131" s="23" t="str">
        <f aca="false">IF($C1131="","",IFERROR(MATCH($C1131,'Программа тренировок'!$C$6:$C$25,0),""))</f>
        <v/>
      </c>
    </row>
    <row r="1132" customFormat="false" ht="15" hidden="false" customHeight="true" outlineLevel="0" collapsed="false">
      <c r="A1132" s="20"/>
      <c r="B1132" s="21"/>
      <c r="C1132" s="19"/>
      <c r="D1132" s="18"/>
      <c r="E1132" s="17"/>
      <c r="F1132" s="18"/>
      <c r="G1132" s="18"/>
      <c r="H1132" s="21"/>
      <c r="I1132" s="19"/>
      <c r="J1132" s="8" t="str">
        <f aca="false">IF(OR(E1132="",F1132=""),"",E1132*F1132)</f>
        <v/>
      </c>
      <c r="K1132" s="22" t="str">
        <f aca="false">IF($M1132="","",INDEX('Программа тренировок'!$G$6:$G$25,$M1132))</f>
        <v/>
      </c>
      <c r="L1132" s="23" t="str">
        <f aca="false">IF(OR($M1132="",$F1132="",$G1132=""),"",IF($H1132="Разминка","Разминка",IF($F1132&lt;INDEX('Программа тренировок'!$E$6:$E$25,$M1132),"Ниже диапазона",IF(AND($F1132&gt;=INDEX('Программа тренировок'!$F$6:$F$25,$M1132),$G1132&gt;=INDEX('Программа тренировок'!$L$6:$L$25,$M1132)),"Верх диапазона: пора добавлять вес",IF($G1132&lt;INDEX('Программа тренировок'!$L$6:$L$25,$M1132),"RIR ниже цели","В диапазоне")))))</f>
        <v/>
      </c>
      <c r="M1132" s="23" t="str">
        <f aca="false">IF($C1132="","",IFERROR(MATCH($C1132,'Программа тренировок'!$C$6:$C$25,0),""))</f>
        <v/>
      </c>
    </row>
    <row r="1133" customFormat="false" ht="15" hidden="false" customHeight="true" outlineLevel="0" collapsed="false">
      <c r="A1133" s="20"/>
      <c r="B1133" s="21"/>
      <c r="C1133" s="19"/>
      <c r="D1133" s="18"/>
      <c r="E1133" s="17"/>
      <c r="F1133" s="18"/>
      <c r="G1133" s="18"/>
      <c r="H1133" s="21"/>
      <c r="I1133" s="19"/>
      <c r="J1133" s="8" t="str">
        <f aca="false">IF(OR(E1133="",F1133=""),"",E1133*F1133)</f>
        <v/>
      </c>
      <c r="K1133" s="22" t="str">
        <f aca="false">IF($M1133="","",INDEX('Программа тренировок'!$G$6:$G$25,$M1133))</f>
        <v/>
      </c>
      <c r="L1133" s="23" t="str">
        <f aca="false">IF(OR($M1133="",$F1133="",$G1133=""),"",IF($H1133="Разминка","Разминка",IF($F1133&lt;INDEX('Программа тренировок'!$E$6:$E$25,$M1133),"Ниже диапазона",IF(AND($F1133&gt;=INDEX('Программа тренировок'!$F$6:$F$25,$M1133),$G1133&gt;=INDEX('Программа тренировок'!$L$6:$L$25,$M1133)),"Верх диапазона: пора добавлять вес",IF($G1133&lt;INDEX('Программа тренировок'!$L$6:$L$25,$M1133),"RIR ниже цели","В диапазоне")))))</f>
        <v/>
      </c>
      <c r="M1133" s="23" t="str">
        <f aca="false">IF($C1133="","",IFERROR(MATCH($C1133,'Программа тренировок'!$C$6:$C$25,0),""))</f>
        <v/>
      </c>
    </row>
    <row r="1134" customFormat="false" ht="15" hidden="false" customHeight="true" outlineLevel="0" collapsed="false">
      <c r="A1134" s="20"/>
      <c r="B1134" s="21"/>
      <c r="C1134" s="19"/>
      <c r="D1134" s="18"/>
      <c r="E1134" s="17"/>
      <c r="F1134" s="18"/>
      <c r="G1134" s="18"/>
      <c r="H1134" s="21"/>
      <c r="I1134" s="19"/>
      <c r="J1134" s="8" t="str">
        <f aca="false">IF(OR(E1134="",F1134=""),"",E1134*F1134)</f>
        <v/>
      </c>
      <c r="K1134" s="22" t="str">
        <f aca="false">IF($M1134="","",INDEX('Программа тренировок'!$G$6:$G$25,$M1134))</f>
        <v/>
      </c>
      <c r="L1134" s="23" t="str">
        <f aca="false">IF(OR($M1134="",$F1134="",$G1134=""),"",IF($H1134="Разминка","Разминка",IF($F1134&lt;INDEX('Программа тренировок'!$E$6:$E$25,$M1134),"Ниже диапазона",IF(AND($F1134&gt;=INDEX('Программа тренировок'!$F$6:$F$25,$M1134),$G1134&gt;=INDEX('Программа тренировок'!$L$6:$L$25,$M1134)),"Верх диапазона: пора добавлять вес",IF($G1134&lt;INDEX('Программа тренировок'!$L$6:$L$25,$M1134),"RIR ниже цели","В диапазоне")))))</f>
        <v/>
      </c>
      <c r="M1134" s="23" t="str">
        <f aca="false">IF($C1134="","",IFERROR(MATCH($C1134,'Программа тренировок'!$C$6:$C$25,0),""))</f>
        <v/>
      </c>
    </row>
    <row r="1135" customFormat="false" ht="15" hidden="false" customHeight="true" outlineLevel="0" collapsed="false">
      <c r="A1135" s="20"/>
      <c r="B1135" s="21"/>
      <c r="C1135" s="19"/>
      <c r="D1135" s="18"/>
      <c r="E1135" s="17"/>
      <c r="F1135" s="18"/>
      <c r="G1135" s="18"/>
      <c r="H1135" s="21"/>
      <c r="I1135" s="19"/>
      <c r="J1135" s="8" t="str">
        <f aca="false">IF(OR(E1135="",F1135=""),"",E1135*F1135)</f>
        <v/>
      </c>
      <c r="K1135" s="22" t="str">
        <f aca="false">IF($M1135="","",INDEX('Программа тренировок'!$G$6:$G$25,$M1135))</f>
        <v/>
      </c>
      <c r="L1135" s="23" t="str">
        <f aca="false">IF(OR($M1135="",$F1135="",$G1135=""),"",IF($H1135="Разминка","Разминка",IF($F1135&lt;INDEX('Программа тренировок'!$E$6:$E$25,$M1135),"Ниже диапазона",IF(AND($F1135&gt;=INDEX('Программа тренировок'!$F$6:$F$25,$M1135),$G1135&gt;=INDEX('Программа тренировок'!$L$6:$L$25,$M1135)),"Верх диапазона: пора добавлять вес",IF($G1135&lt;INDEX('Программа тренировок'!$L$6:$L$25,$M1135),"RIR ниже цели","В диапазоне")))))</f>
        <v/>
      </c>
      <c r="M1135" s="23" t="str">
        <f aca="false">IF($C1135="","",IFERROR(MATCH($C1135,'Программа тренировок'!$C$6:$C$25,0),""))</f>
        <v/>
      </c>
    </row>
    <row r="1136" customFormat="false" ht="15" hidden="false" customHeight="true" outlineLevel="0" collapsed="false">
      <c r="A1136" s="20"/>
      <c r="B1136" s="21"/>
      <c r="C1136" s="19"/>
      <c r="D1136" s="18"/>
      <c r="E1136" s="17"/>
      <c r="F1136" s="18"/>
      <c r="G1136" s="18"/>
      <c r="H1136" s="21"/>
      <c r="I1136" s="19"/>
      <c r="J1136" s="8" t="str">
        <f aca="false">IF(OR(E1136="",F1136=""),"",E1136*F1136)</f>
        <v/>
      </c>
      <c r="K1136" s="22" t="str">
        <f aca="false">IF($M1136="","",INDEX('Программа тренировок'!$G$6:$G$25,$M1136))</f>
        <v/>
      </c>
      <c r="L1136" s="23" t="str">
        <f aca="false">IF(OR($M1136="",$F1136="",$G1136=""),"",IF($H1136="Разминка","Разминка",IF($F1136&lt;INDEX('Программа тренировок'!$E$6:$E$25,$M1136),"Ниже диапазона",IF(AND($F1136&gt;=INDEX('Программа тренировок'!$F$6:$F$25,$M1136),$G1136&gt;=INDEX('Программа тренировок'!$L$6:$L$25,$M1136)),"Верх диапазона: пора добавлять вес",IF($G1136&lt;INDEX('Программа тренировок'!$L$6:$L$25,$M1136),"RIR ниже цели","В диапазоне")))))</f>
        <v/>
      </c>
      <c r="M1136" s="23" t="str">
        <f aca="false">IF($C1136="","",IFERROR(MATCH($C1136,'Программа тренировок'!$C$6:$C$25,0),""))</f>
        <v/>
      </c>
    </row>
    <row r="1137" customFormat="false" ht="15" hidden="false" customHeight="true" outlineLevel="0" collapsed="false">
      <c r="A1137" s="20"/>
      <c r="B1137" s="21"/>
      <c r="C1137" s="19"/>
      <c r="D1137" s="18"/>
      <c r="E1137" s="17"/>
      <c r="F1137" s="18"/>
      <c r="G1137" s="18"/>
      <c r="H1137" s="21"/>
      <c r="I1137" s="19"/>
      <c r="J1137" s="8" t="str">
        <f aca="false">IF(OR(E1137="",F1137=""),"",E1137*F1137)</f>
        <v/>
      </c>
      <c r="K1137" s="22" t="str">
        <f aca="false">IF($M1137="","",INDEX('Программа тренировок'!$G$6:$G$25,$M1137))</f>
        <v/>
      </c>
      <c r="L1137" s="23" t="str">
        <f aca="false">IF(OR($M1137="",$F1137="",$G1137=""),"",IF($H1137="Разминка","Разминка",IF($F1137&lt;INDEX('Программа тренировок'!$E$6:$E$25,$M1137),"Ниже диапазона",IF(AND($F1137&gt;=INDEX('Программа тренировок'!$F$6:$F$25,$M1137),$G1137&gt;=INDEX('Программа тренировок'!$L$6:$L$25,$M1137)),"Верх диапазона: пора добавлять вес",IF($G1137&lt;INDEX('Программа тренировок'!$L$6:$L$25,$M1137),"RIR ниже цели","В диапазоне")))))</f>
        <v/>
      </c>
      <c r="M1137" s="23" t="str">
        <f aca="false">IF($C1137="","",IFERROR(MATCH($C1137,'Программа тренировок'!$C$6:$C$25,0),""))</f>
        <v/>
      </c>
    </row>
    <row r="1138" customFormat="false" ht="15" hidden="false" customHeight="true" outlineLevel="0" collapsed="false">
      <c r="A1138" s="20"/>
      <c r="B1138" s="21"/>
      <c r="C1138" s="19"/>
      <c r="D1138" s="18"/>
      <c r="E1138" s="17"/>
      <c r="F1138" s="18"/>
      <c r="G1138" s="18"/>
      <c r="H1138" s="21"/>
      <c r="I1138" s="19"/>
      <c r="J1138" s="8" t="str">
        <f aca="false">IF(OR(E1138="",F1138=""),"",E1138*F1138)</f>
        <v/>
      </c>
      <c r="K1138" s="22" t="str">
        <f aca="false">IF($M1138="","",INDEX('Программа тренировок'!$G$6:$G$25,$M1138))</f>
        <v/>
      </c>
      <c r="L1138" s="23" t="str">
        <f aca="false">IF(OR($M1138="",$F1138="",$G1138=""),"",IF($H1138="Разминка","Разминка",IF($F1138&lt;INDEX('Программа тренировок'!$E$6:$E$25,$M1138),"Ниже диапазона",IF(AND($F1138&gt;=INDEX('Программа тренировок'!$F$6:$F$25,$M1138),$G1138&gt;=INDEX('Программа тренировок'!$L$6:$L$25,$M1138)),"Верх диапазона: пора добавлять вес",IF($G1138&lt;INDEX('Программа тренировок'!$L$6:$L$25,$M1138),"RIR ниже цели","В диапазоне")))))</f>
        <v/>
      </c>
      <c r="M1138" s="23" t="str">
        <f aca="false">IF($C1138="","",IFERROR(MATCH($C1138,'Программа тренировок'!$C$6:$C$25,0),""))</f>
        <v/>
      </c>
    </row>
    <row r="1139" customFormat="false" ht="15" hidden="false" customHeight="true" outlineLevel="0" collapsed="false">
      <c r="A1139" s="20"/>
      <c r="B1139" s="21"/>
      <c r="C1139" s="19"/>
      <c r="D1139" s="18"/>
      <c r="E1139" s="17"/>
      <c r="F1139" s="18"/>
      <c r="G1139" s="18"/>
      <c r="H1139" s="21"/>
      <c r="I1139" s="19"/>
      <c r="J1139" s="8" t="str">
        <f aca="false">IF(OR(E1139="",F1139=""),"",E1139*F1139)</f>
        <v/>
      </c>
      <c r="K1139" s="22" t="str">
        <f aca="false">IF($M1139="","",INDEX('Программа тренировок'!$G$6:$G$25,$M1139))</f>
        <v/>
      </c>
      <c r="L1139" s="23" t="str">
        <f aca="false">IF(OR($M1139="",$F1139="",$G1139=""),"",IF($H1139="Разминка","Разминка",IF($F1139&lt;INDEX('Программа тренировок'!$E$6:$E$25,$M1139),"Ниже диапазона",IF(AND($F1139&gt;=INDEX('Программа тренировок'!$F$6:$F$25,$M1139),$G1139&gt;=INDEX('Программа тренировок'!$L$6:$L$25,$M1139)),"Верх диапазона: пора добавлять вес",IF($G1139&lt;INDEX('Программа тренировок'!$L$6:$L$25,$M1139),"RIR ниже цели","В диапазоне")))))</f>
        <v/>
      </c>
      <c r="M1139" s="23" t="str">
        <f aca="false">IF($C1139="","",IFERROR(MATCH($C1139,'Программа тренировок'!$C$6:$C$25,0),""))</f>
        <v/>
      </c>
    </row>
    <row r="1140" customFormat="false" ht="15" hidden="false" customHeight="true" outlineLevel="0" collapsed="false">
      <c r="A1140" s="20"/>
      <c r="B1140" s="21"/>
      <c r="C1140" s="19"/>
      <c r="D1140" s="18"/>
      <c r="E1140" s="17"/>
      <c r="F1140" s="18"/>
      <c r="G1140" s="18"/>
      <c r="H1140" s="21"/>
      <c r="I1140" s="19"/>
      <c r="J1140" s="8" t="str">
        <f aca="false">IF(OR(E1140="",F1140=""),"",E1140*F1140)</f>
        <v/>
      </c>
      <c r="K1140" s="22" t="str">
        <f aca="false">IF($M1140="","",INDEX('Программа тренировок'!$G$6:$G$25,$M1140))</f>
        <v/>
      </c>
      <c r="L1140" s="23" t="str">
        <f aca="false">IF(OR($M1140="",$F1140="",$G1140=""),"",IF($H1140="Разминка","Разминка",IF($F1140&lt;INDEX('Программа тренировок'!$E$6:$E$25,$M1140),"Ниже диапазона",IF(AND($F1140&gt;=INDEX('Программа тренировок'!$F$6:$F$25,$M1140),$G1140&gt;=INDEX('Программа тренировок'!$L$6:$L$25,$M1140)),"Верх диапазона: пора добавлять вес",IF($G1140&lt;INDEX('Программа тренировок'!$L$6:$L$25,$M1140),"RIR ниже цели","В диапазоне")))))</f>
        <v/>
      </c>
      <c r="M1140" s="23" t="str">
        <f aca="false">IF($C1140="","",IFERROR(MATCH($C1140,'Программа тренировок'!$C$6:$C$25,0),""))</f>
        <v/>
      </c>
    </row>
    <row r="1141" customFormat="false" ht="15" hidden="false" customHeight="true" outlineLevel="0" collapsed="false">
      <c r="A1141" s="20"/>
      <c r="B1141" s="21"/>
      <c r="C1141" s="19"/>
      <c r="D1141" s="18"/>
      <c r="E1141" s="17"/>
      <c r="F1141" s="18"/>
      <c r="G1141" s="18"/>
      <c r="H1141" s="21"/>
      <c r="I1141" s="19"/>
      <c r="J1141" s="8" t="str">
        <f aca="false">IF(OR(E1141="",F1141=""),"",E1141*F1141)</f>
        <v/>
      </c>
      <c r="K1141" s="22" t="str">
        <f aca="false">IF($M1141="","",INDEX('Программа тренировок'!$G$6:$G$25,$M1141))</f>
        <v/>
      </c>
      <c r="L1141" s="23" t="str">
        <f aca="false">IF(OR($M1141="",$F1141="",$G1141=""),"",IF($H1141="Разминка","Разминка",IF($F1141&lt;INDEX('Программа тренировок'!$E$6:$E$25,$M1141),"Ниже диапазона",IF(AND($F1141&gt;=INDEX('Программа тренировок'!$F$6:$F$25,$M1141),$G1141&gt;=INDEX('Программа тренировок'!$L$6:$L$25,$M1141)),"Верх диапазона: пора добавлять вес",IF($G1141&lt;INDEX('Программа тренировок'!$L$6:$L$25,$M1141),"RIR ниже цели","В диапазоне")))))</f>
        <v/>
      </c>
      <c r="M1141" s="23" t="str">
        <f aca="false">IF($C1141="","",IFERROR(MATCH($C1141,'Программа тренировок'!$C$6:$C$25,0),""))</f>
        <v/>
      </c>
    </row>
    <row r="1142" customFormat="false" ht="15" hidden="false" customHeight="true" outlineLevel="0" collapsed="false">
      <c r="A1142" s="20"/>
      <c r="B1142" s="21"/>
      <c r="C1142" s="19"/>
      <c r="D1142" s="18"/>
      <c r="E1142" s="17"/>
      <c r="F1142" s="18"/>
      <c r="G1142" s="18"/>
      <c r="H1142" s="21"/>
      <c r="I1142" s="19"/>
      <c r="J1142" s="8" t="str">
        <f aca="false">IF(OR(E1142="",F1142=""),"",E1142*F1142)</f>
        <v/>
      </c>
      <c r="K1142" s="22" t="str">
        <f aca="false">IF($M1142="","",INDEX('Программа тренировок'!$G$6:$G$25,$M1142))</f>
        <v/>
      </c>
      <c r="L1142" s="23" t="str">
        <f aca="false">IF(OR($M1142="",$F1142="",$G1142=""),"",IF($H1142="Разминка","Разминка",IF($F1142&lt;INDEX('Программа тренировок'!$E$6:$E$25,$M1142),"Ниже диапазона",IF(AND($F1142&gt;=INDEX('Программа тренировок'!$F$6:$F$25,$M1142),$G1142&gt;=INDEX('Программа тренировок'!$L$6:$L$25,$M1142)),"Верх диапазона: пора добавлять вес",IF($G1142&lt;INDEX('Программа тренировок'!$L$6:$L$25,$M1142),"RIR ниже цели","В диапазоне")))))</f>
        <v/>
      </c>
      <c r="M1142" s="23" t="str">
        <f aca="false">IF($C1142="","",IFERROR(MATCH($C1142,'Программа тренировок'!$C$6:$C$25,0),""))</f>
        <v/>
      </c>
    </row>
    <row r="1143" customFormat="false" ht="15" hidden="false" customHeight="true" outlineLevel="0" collapsed="false">
      <c r="A1143" s="20"/>
      <c r="B1143" s="21"/>
      <c r="C1143" s="19"/>
      <c r="D1143" s="18"/>
      <c r="E1143" s="17"/>
      <c r="F1143" s="18"/>
      <c r="G1143" s="18"/>
      <c r="H1143" s="21"/>
      <c r="I1143" s="19"/>
      <c r="J1143" s="8" t="str">
        <f aca="false">IF(OR(E1143="",F1143=""),"",E1143*F1143)</f>
        <v/>
      </c>
      <c r="K1143" s="22" t="str">
        <f aca="false">IF($M1143="","",INDEX('Программа тренировок'!$G$6:$G$25,$M1143))</f>
        <v/>
      </c>
      <c r="L1143" s="23" t="str">
        <f aca="false">IF(OR($M1143="",$F1143="",$G1143=""),"",IF($H1143="Разминка","Разминка",IF($F1143&lt;INDEX('Программа тренировок'!$E$6:$E$25,$M1143),"Ниже диапазона",IF(AND($F1143&gt;=INDEX('Программа тренировок'!$F$6:$F$25,$M1143),$G1143&gt;=INDEX('Программа тренировок'!$L$6:$L$25,$M1143)),"Верх диапазона: пора добавлять вес",IF($G1143&lt;INDEX('Программа тренировок'!$L$6:$L$25,$M1143),"RIR ниже цели","В диапазоне")))))</f>
        <v/>
      </c>
      <c r="M1143" s="23" t="str">
        <f aca="false">IF($C1143="","",IFERROR(MATCH($C1143,'Программа тренировок'!$C$6:$C$25,0),""))</f>
        <v/>
      </c>
    </row>
    <row r="1144" customFormat="false" ht="15" hidden="false" customHeight="true" outlineLevel="0" collapsed="false">
      <c r="A1144" s="20"/>
      <c r="B1144" s="21"/>
      <c r="C1144" s="19"/>
      <c r="D1144" s="18"/>
      <c r="E1144" s="17"/>
      <c r="F1144" s="18"/>
      <c r="G1144" s="18"/>
      <c r="H1144" s="21"/>
      <c r="I1144" s="19"/>
      <c r="J1144" s="8" t="str">
        <f aca="false">IF(OR(E1144="",F1144=""),"",E1144*F1144)</f>
        <v/>
      </c>
      <c r="K1144" s="22" t="str">
        <f aca="false">IF($M1144="","",INDEX('Программа тренировок'!$G$6:$G$25,$M1144))</f>
        <v/>
      </c>
      <c r="L1144" s="23" t="str">
        <f aca="false">IF(OR($M1144="",$F1144="",$G1144=""),"",IF($H1144="Разминка","Разминка",IF($F1144&lt;INDEX('Программа тренировок'!$E$6:$E$25,$M1144),"Ниже диапазона",IF(AND($F1144&gt;=INDEX('Программа тренировок'!$F$6:$F$25,$M1144),$G1144&gt;=INDEX('Программа тренировок'!$L$6:$L$25,$M1144)),"Верх диапазона: пора добавлять вес",IF($G1144&lt;INDEX('Программа тренировок'!$L$6:$L$25,$M1144),"RIR ниже цели","В диапазоне")))))</f>
        <v/>
      </c>
      <c r="M1144" s="23" t="str">
        <f aca="false">IF($C1144="","",IFERROR(MATCH($C1144,'Программа тренировок'!$C$6:$C$25,0),""))</f>
        <v/>
      </c>
    </row>
    <row r="1145" customFormat="false" ht="15" hidden="false" customHeight="true" outlineLevel="0" collapsed="false">
      <c r="A1145" s="20"/>
      <c r="B1145" s="21"/>
      <c r="C1145" s="19"/>
      <c r="D1145" s="18"/>
      <c r="E1145" s="17"/>
      <c r="F1145" s="18"/>
      <c r="G1145" s="18"/>
      <c r="H1145" s="21"/>
      <c r="I1145" s="19"/>
      <c r="J1145" s="8" t="str">
        <f aca="false">IF(OR(E1145="",F1145=""),"",E1145*F1145)</f>
        <v/>
      </c>
      <c r="K1145" s="22" t="str">
        <f aca="false">IF($M1145="","",INDEX('Программа тренировок'!$G$6:$G$25,$M1145))</f>
        <v/>
      </c>
      <c r="L1145" s="23" t="str">
        <f aca="false">IF(OR($M1145="",$F1145="",$G1145=""),"",IF($H1145="Разминка","Разминка",IF($F1145&lt;INDEX('Программа тренировок'!$E$6:$E$25,$M1145),"Ниже диапазона",IF(AND($F1145&gt;=INDEX('Программа тренировок'!$F$6:$F$25,$M1145),$G1145&gt;=INDEX('Программа тренировок'!$L$6:$L$25,$M1145)),"Верх диапазона: пора добавлять вес",IF($G1145&lt;INDEX('Программа тренировок'!$L$6:$L$25,$M1145),"RIR ниже цели","В диапазоне")))))</f>
        <v/>
      </c>
      <c r="M1145" s="23" t="str">
        <f aca="false">IF($C1145="","",IFERROR(MATCH($C1145,'Программа тренировок'!$C$6:$C$25,0),""))</f>
        <v/>
      </c>
    </row>
    <row r="1146" customFormat="false" ht="15" hidden="false" customHeight="true" outlineLevel="0" collapsed="false">
      <c r="A1146" s="20"/>
      <c r="B1146" s="21"/>
      <c r="C1146" s="19"/>
      <c r="D1146" s="18"/>
      <c r="E1146" s="17"/>
      <c r="F1146" s="18"/>
      <c r="G1146" s="18"/>
      <c r="H1146" s="21"/>
      <c r="I1146" s="19"/>
      <c r="J1146" s="8" t="str">
        <f aca="false">IF(OR(E1146="",F1146=""),"",E1146*F1146)</f>
        <v/>
      </c>
      <c r="K1146" s="22" t="str">
        <f aca="false">IF($M1146="","",INDEX('Программа тренировок'!$G$6:$G$25,$M1146))</f>
        <v/>
      </c>
      <c r="L1146" s="23" t="str">
        <f aca="false">IF(OR($M1146="",$F1146="",$G1146=""),"",IF($H1146="Разминка","Разминка",IF($F1146&lt;INDEX('Программа тренировок'!$E$6:$E$25,$M1146),"Ниже диапазона",IF(AND($F1146&gt;=INDEX('Программа тренировок'!$F$6:$F$25,$M1146),$G1146&gt;=INDEX('Программа тренировок'!$L$6:$L$25,$M1146)),"Верх диапазона: пора добавлять вес",IF($G1146&lt;INDEX('Программа тренировок'!$L$6:$L$25,$M1146),"RIR ниже цели","В диапазоне")))))</f>
        <v/>
      </c>
      <c r="M1146" s="23" t="str">
        <f aca="false">IF($C1146="","",IFERROR(MATCH($C1146,'Программа тренировок'!$C$6:$C$25,0),""))</f>
        <v/>
      </c>
    </row>
    <row r="1147" customFormat="false" ht="15" hidden="false" customHeight="true" outlineLevel="0" collapsed="false">
      <c r="A1147" s="20"/>
      <c r="B1147" s="21"/>
      <c r="C1147" s="19"/>
      <c r="D1147" s="18"/>
      <c r="E1147" s="17"/>
      <c r="F1147" s="18"/>
      <c r="G1147" s="18"/>
      <c r="H1147" s="21"/>
      <c r="I1147" s="19"/>
      <c r="J1147" s="8" t="str">
        <f aca="false">IF(OR(E1147="",F1147=""),"",E1147*F1147)</f>
        <v/>
      </c>
      <c r="K1147" s="22" t="str">
        <f aca="false">IF($M1147="","",INDEX('Программа тренировок'!$G$6:$G$25,$M1147))</f>
        <v/>
      </c>
      <c r="L1147" s="23" t="str">
        <f aca="false">IF(OR($M1147="",$F1147="",$G1147=""),"",IF($H1147="Разминка","Разминка",IF($F1147&lt;INDEX('Программа тренировок'!$E$6:$E$25,$M1147),"Ниже диапазона",IF(AND($F1147&gt;=INDEX('Программа тренировок'!$F$6:$F$25,$M1147),$G1147&gt;=INDEX('Программа тренировок'!$L$6:$L$25,$M1147)),"Верх диапазона: пора добавлять вес",IF($G1147&lt;INDEX('Программа тренировок'!$L$6:$L$25,$M1147),"RIR ниже цели","В диапазоне")))))</f>
        <v/>
      </c>
      <c r="M1147" s="23" t="str">
        <f aca="false">IF($C1147="","",IFERROR(MATCH($C1147,'Программа тренировок'!$C$6:$C$25,0),""))</f>
        <v/>
      </c>
    </row>
    <row r="1148" customFormat="false" ht="15" hidden="false" customHeight="true" outlineLevel="0" collapsed="false">
      <c r="A1148" s="20"/>
      <c r="B1148" s="21"/>
      <c r="C1148" s="19"/>
      <c r="D1148" s="18"/>
      <c r="E1148" s="17"/>
      <c r="F1148" s="18"/>
      <c r="G1148" s="18"/>
      <c r="H1148" s="21"/>
      <c r="I1148" s="19"/>
      <c r="J1148" s="8" t="str">
        <f aca="false">IF(OR(E1148="",F1148=""),"",E1148*F1148)</f>
        <v/>
      </c>
      <c r="K1148" s="22" t="str">
        <f aca="false">IF($M1148="","",INDEX('Программа тренировок'!$G$6:$G$25,$M1148))</f>
        <v/>
      </c>
      <c r="L1148" s="23" t="str">
        <f aca="false">IF(OR($M1148="",$F1148="",$G1148=""),"",IF($H1148="Разминка","Разминка",IF($F1148&lt;INDEX('Программа тренировок'!$E$6:$E$25,$M1148),"Ниже диапазона",IF(AND($F1148&gt;=INDEX('Программа тренировок'!$F$6:$F$25,$M1148),$G1148&gt;=INDEX('Программа тренировок'!$L$6:$L$25,$M1148)),"Верх диапазона: пора добавлять вес",IF($G1148&lt;INDEX('Программа тренировок'!$L$6:$L$25,$M1148),"RIR ниже цели","В диапазоне")))))</f>
        <v/>
      </c>
      <c r="M1148" s="23" t="str">
        <f aca="false">IF($C1148="","",IFERROR(MATCH($C1148,'Программа тренировок'!$C$6:$C$25,0),""))</f>
        <v/>
      </c>
    </row>
    <row r="1149" customFormat="false" ht="15" hidden="false" customHeight="true" outlineLevel="0" collapsed="false">
      <c r="A1149" s="20"/>
      <c r="B1149" s="21"/>
      <c r="C1149" s="19"/>
      <c r="D1149" s="18"/>
      <c r="E1149" s="17"/>
      <c r="F1149" s="18"/>
      <c r="G1149" s="18"/>
      <c r="H1149" s="21"/>
      <c r="I1149" s="19"/>
      <c r="J1149" s="8" t="str">
        <f aca="false">IF(OR(E1149="",F1149=""),"",E1149*F1149)</f>
        <v/>
      </c>
      <c r="K1149" s="22" t="str">
        <f aca="false">IF($M1149="","",INDEX('Программа тренировок'!$G$6:$G$25,$M1149))</f>
        <v/>
      </c>
      <c r="L1149" s="23" t="str">
        <f aca="false">IF(OR($M1149="",$F1149="",$G1149=""),"",IF($H1149="Разминка","Разминка",IF($F1149&lt;INDEX('Программа тренировок'!$E$6:$E$25,$M1149),"Ниже диапазона",IF(AND($F1149&gt;=INDEX('Программа тренировок'!$F$6:$F$25,$M1149),$G1149&gt;=INDEX('Программа тренировок'!$L$6:$L$25,$M1149)),"Верх диапазона: пора добавлять вес",IF($G1149&lt;INDEX('Программа тренировок'!$L$6:$L$25,$M1149),"RIR ниже цели","В диапазоне")))))</f>
        <v/>
      </c>
      <c r="M1149" s="23" t="str">
        <f aca="false">IF($C1149="","",IFERROR(MATCH($C1149,'Программа тренировок'!$C$6:$C$25,0),""))</f>
        <v/>
      </c>
    </row>
    <row r="1150" customFormat="false" ht="15" hidden="false" customHeight="true" outlineLevel="0" collapsed="false">
      <c r="A1150" s="20"/>
      <c r="B1150" s="21"/>
      <c r="C1150" s="19"/>
      <c r="D1150" s="18"/>
      <c r="E1150" s="17"/>
      <c r="F1150" s="18"/>
      <c r="G1150" s="18"/>
      <c r="H1150" s="21"/>
      <c r="I1150" s="19"/>
      <c r="J1150" s="8" t="str">
        <f aca="false">IF(OR(E1150="",F1150=""),"",E1150*F1150)</f>
        <v/>
      </c>
      <c r="K1150" s="22" t="str">
        <f aca="false">IF($M1150="","",INDEX('Программа тренировок'!$G$6:$G$25,$M1150))</f>
        <v/>
      </c>
      <c r="L1150" s="23" t="str">
        <f aca="false">IF(OR($M1150="",$F1150="",$G1150=""),"",IF($H1150="Разминка","Разминка",IF($F1150&lt;INDEX('Программа тренировок'!$E$6:$E$25,$M1150),"Ниже диапазона",IF(AND($F1150&gt;=INDEX('Программа тренировок'!$F$6:$F$25,$M1150),$G1150&gt;=INDEX('Программа тренировок'!$L$6:$L$25,$M1150)),"Верх диапазона: пора добавлять вес",IF($G1150&lt;INDEX('Программа тренировок'!$L$6:$L$25,$M1150),"RIR ниже цели","В диапазоне")))))</f>
        <v/>
      </c>
      <c r="M1150" s="23" t="str">
        <f aca="false">IF($C1150="","",IFERROR(MATCH($C1150,'Программа тренировок'!$C$6:$C$25,0),""))</f>
        <v/>
      </c>
    </row>
    <row r="1151" customFormat="false" ht="15" hidden="false" customHeight="true" outlineLevel="0" collapsed="false">
      <c r="A1151" s="20"/>
      <c r="B1151" s="21"/>
      <c r="C1151" s="19"/>
      <c r="D1151" s="18"/>
      <c r="E1151" s="17"/>
      <c r="F1151" s="18"/>
      <c r="G1151" s="18"/>
      <c r="H1151" s="21"/>
      <c r="I1151" s="19"/>
      <c r="J1151" s="8" t="str">
        <f aca="false">IF(OR(E1151="",F1151=""),"",E1151*F1151)</f>
        <v/>
      </c>
      <c r="K1151" s="22" t="str">
        <f aca="false">IF($M1151="","",INDEX('Программа тренировок'!$G$6:$G$25,$M1151))</f>
        <v/>
      </c>
      <c r="L1151" s="23" t="str">
        <f aca="false">IF(OR($M1151="",$F1151="",$G1151=""),"",IF($H1151="Разминка","Разминка",IF($F1151&lt;INDEX('Программа тренировок'!$E$6:$E$25,$M1151),"Ниже диапазона",IF(AND($F1151&gt;=INDEX('Программа тренировок'!$F$6:$F$25,$M1151),$G1151&gt;=INDEX('Программа тренировок'!$L$6:$L$25,$M1151)),"Верх диапазона: пора добавлять вес",IF($G1151&lt;INDEX('Программа тренировок'!$L$6:$L$25,$M1151),"RIR ниже цели","В диапазоне")))))</f>
        <v/>
      </c>
      <c r="M1151" s="23" t="str">
        <f aca="false">IF($C1151="","",IFERROR(MATCH($C1151,'Программа тренировок'!$C$6:$C$25,0),""))</f>
        <v/>
      </c>
    </row>
    <row r="1152" customFormat="false" ht="15" hidden="false" customHeight="true" outlineLevel="0" collapsed="false">
      <c r="A1152" s="20"/>
      <c r="B1152" s="21"/>
      <c r="C1152" s="19"/>
      <c r="D1152" s="18"/>
      <c r="E1152" s="17"/>
      <c r="F1152" s="18"/>
      <c r="G1152" s="18"/>
      <c r="H1152" s="21"/>
      <c r="I1152" s="19"/>
      <c r="J1152" s="8" t="str">
        <f aca="false">IF(OR(E1152="",F1152=""),"",E1152*F1152)</f>
        <v/>
      </c>
      <c r="K1152" s="22" t="str">
        <f aca="false">IF($M1152="","",INDEX('Программа тренировок'!$G$6:$G$25,$M1152))</f>
        <v/>
      </c>
      <c r="L1152" s="23" t="str">
        <f aca="false">IF(OR($M1152="",$F1152="",$G1152=""),"",IF($H1152="Разминка","Разминка",IF($F1152&lt;INDEX('Программа тренировок'!$E$6:$E$25,$M1152),"Ниже диапазона",IF(AND($F1152&gt;=INDEX('Программа тренировок'!$F$6:$F$25,$M1152),$G1152&gt;=INDEX('Программа тренировок'!$L$6:$L$25,$M1152)),"Верх диапазона: пора добавлять вес",IF($G1152&lt;INDEX('Программа тренировок'!$L$6:$L$25,$M1152),"RIR ниже цели","В диапазоне")))))</f>
        <v/>
      </c>
      <c r="M1152" s="23" t="str">
        <f aca="false">IF($C1152="","",IFERROR(MATCH($C1152,'Программа тренировок'!$C$6:$C$25,0),""))</f>
        <v/>
      </c>
    </row>
    <row r="1153" customFormat="false" ht="15" hidden="false" customHeight="true" outlineLevel="0" collapsed="false">
      <c r="A1153" s="20"/>
      <c r="B1153" s="21"/>
      <c r="C1153" s="19"/>
      <c r="D1153" s="18"/>
      <c r="E1153" s="17"/>
      <c r="F1153" s="18"/>
      <c r="G1153" s="18"/>
      <c r="H1153" s="21"/>
      <c r="I1153" s="19"/>
      <c r="J1153" s="8" t="str">
        <f aca="false">IF(OR(E1153="",F1153=""),"",E1153*F1153)</f>
        <v/>
      </c>
      <c r="K1153" s="22" t="str">
        <f aca="false">IF($M1153="","",INDEX('Программа тренировок'!$G$6:$G$25,$M1153))</f>
        <v/>
      </c>
      <c r="L1153" s="23" t="str">
        <f aca="false">IF(OR($M1153="",$F1153="",$G1153=""),"",IF($H1153="Разминка","Разминка",IF($F1153&lt;INDEX('Программа тренировок'!$E$6:$E$25,$M1153),"Ниже диапазона",IF(AND($F1153&gt;=INDEX('Программа тренировок'!$F$6:$F$25,$M1153),$G1153&gt;=INDEX('Программа тренировок'!$L$6:$L$25,$M1153)),"Верх диапазона: пора добавлять вес",IF($G1153&lt;INDEX('Программа тренировок'!$L$6:$L$25,$M1153),"RIR ниже цели","В диапазоне")))))</f>
        <v/>
      </c>
      <c r="M1153" s="23" t="str">
        <f aca="false">IF($C1153="","",IFERROR(MATCH($C1153,'Программа тренировок'!$C$6:$C$25,0),""))</f>
        <v/>
      </c>
    </row>
    <row r="1154" customFormat="false" ht="15" hidden="false" customHeight="true" outlineLevel="0" collapsed="false">
      <c r="A1154" s="20"/>
      <c r="B1154" s="21"/>
      <c r="C1154" s="19"/>
      <c r="D1154" s="18"/>
      <c r="E1154" s="17"/>
      <c r="F1154" s="18"/>
      <c r="G1154" s="18"/>
      <c r="H1154" s="21"/>
      <c r="I1154" s="19"/>
      <c r="J1154" s="8" t="str">
        <f aca="false">IF(OR(E1154="",F1154=""),"",E1154*F1154)</f>
        <v/>
      </c>
      <c r="K1154" s="22" t="str">
        <f aca="false">IF($M1154="","",INDEX('Программа тренировок'!$G$6:$G$25,$M1154))</f>
        <v/>
      </c>
      <c r="L1154" s="23" t="str">
        <f aca="false">IF(OR($M1154="",$F1154="",$G1154=""),"",IF($H1154="Разминка","Разминка",IF($F1154&lt;INDEX('Программа тренировок'!$E$6:$E$25,$M1154),"Ниже диапазона",IF(AND($F1154&gt;=INDEX('Программа тренировок'!$F$6:$F$25,$M1154),$G1154&gt;=INDEX('Программа тренировок'!$L$6:$L$25,$M1154)),"Верх диапазона: пора добавлять вес",IF($G1154&lt;INDEX('Программа тренировок'!$L$6:$L$25,$M1154),"RIR ниже цели","В диапазоне")))))</f>
        <v/>
      </c>
      <c r="M1154" s="23" t="str">
        <f aca="false">IF($C1154="","",IFERROR(MATCH($C1154,'Программа тренировок'!$C$6:$C$25,0),""))</f>
        <v/>
      </c>
    </row>
    <row r="1155" customFormat="false" ht="15" hidden="false" customHeight="true" outlineLevel="0" collapsed="false">
      <c r="A1155" s="20"/>
      <c r="B1155" s="21"/>
      <c r="C1155" s="19"/>
      <c r="D1155" s="18"/>
      <c r="E1155" s="17"/>
      <c r="F1155" s="18"/>
      <c r="G1155" s="18"/>
      <c r="H1155" s="21"/>
      <c r="I1155" s="19"/>
      <c r="J1155" s="8" t="str">
        <f aca="false">IF(OR(E1155="",F1155=""),"",E1155*F1155)</f>
        <v/>
      </c>
      <c r="K1155" s="22" t="str">
        <f aca="false">IF($M1155="","",INDEX('Программа тренировок'!$G$6:$G$25,$M1155))</f>
        <v/>
      </c>
      <c r="L1155" s="23" t="str">
        <f aca="false">IF(OR($M1155="",$F1155="",$G1155=""),"",IF($H1155="Разминка","Разминка",IF($F1155&lt;INDEX('Программа тренировок'!$E$6:$E$25,$M1155),"Ниже диапазона",IF(AND($F1155&gt;=INDEX('Программа тренировок'!$F$6:$F$25,$M1155),$G1155&gt;=INDEX('Программа тренировок'!$L$6:$L$25,$M1155)),"Верх диапазона: пора добавлять вес",IF($G1155&lt;INDEX('Программа тренировок'!$L$6:$L$25,$M1155),"RIR ниже цели","В диапазоне")))))</f>
        <v/>
      </c>
      <c r="M1155" s="23" t="str">
        <f aca="false">IF($C1155="","",IFERROR(MATCH($C1155,'Программа тренировок'!$C$6:$C$25,0),""))</f>
        <v/>
      </c>
    </row>
    <row r="1156" customFormat="false" ht="15" hidden="false" customHeight="true" outlineLevel="0" collapsed="false">
      <c r="A1156" s="20"/>
      <c r="B1156" s="21"/>
      <c r="C1156" s="19"/>
      <c r="D1156" s="18"/>
      <c r="E1156" s="17"/>
      <c r="F1156" s="18"/>
      <c r="G1156" s="18"/>
      <c r="H1156" s="21"/>
      <c r="I1156" s="19"/>
      <c r="J1156" s="8" t="str">
        <f aca="false">IF(OR(E1156="",F1156=""),"",E1156*F1156)</f>
        <v/>
      </c>
      <c r="K1156" s="22" t="str">
        <f aca="false">IF($M1156="","",INDEX('Программа тренировок'!$G$6:$G$25,$M1156))</f>
        <v/>
      </c>
      <c r="L1156" s="23" t="str">
        <f aca="false">IF(OR($M1156="",$F1156="",$G1156=""),"",IF($H1156="Разминка","Разминка",IF($F1156&lt;INDEX('Программа тренировок'!$E$6:$E$25,$M1156),"Ниже диапазона",IF(AND($F1156&gt;=INDEX('Программа тренировок'!$F$6:$F$25,$M1156),$G1156&gt;=INDEX('Программа тренировок'!$L$6:$L$25,$M1156)),"Верх диапазона: пора добавлять вес",IF($G1156&lt;INDEX('Программа тренировок'!$L$6:$L$25,$M1156),"RIR ниже цели","В диапазоне")))))</f>
        <v/>
      </c>
      <c r="M1156" s="23" t="str">
        <f aca="false">IF($C1156="","",IFERROR(MATCH($C1156,'Программа тренировок'!$C$6:$C$25,0),""))</f>
        <v/>
      </c>
    </row>
    <row r="1157" customFormat="false" ht="15" hidden="false" customHeight="true" outlineLevel="0" collapsed="false">
      <c r="A1157" s="20"/>
      <c r="B1157" s="21"/>
      <c r="C1157" s="19"/>
      <c r="D1157" s="18"/>
      <c r="E1157" s="17"/>
      <c r="F1157" s="18"/>
      <c r="G1157" s="18"/>
      <c r="H1157" s="21"/>
      <c r="I1157" s="19"/>
      <c r="J1157" s="8" t="str">
        <f aca="false">IF(OR(E1157="",F1157=""),"",E1157*F1157)</f>
        <v/>
      </c>
      <c r="K1157" s="22" t="str">
        <f aca="false">IF($M1157="","",INDEX('Программа тренировок'!$G$6:$G$25,$M1157))</f>
        <v/>
      </c>
      <c r="L1157" s="23" t="str">
        <f aca="false">IF(OR($M1157="",$F1157="",$G1157=""),"",IF($H1157="Разминка","Разминка",IF($F1157&lt;INDEX('Программа тренировок'!$E$6:$E$25,$M1157),"Ниже диапазона",IF(AND($F1157&gt;=INDEX('Программа тренировок'!$F$6:$F$25,$M1157),$G1157&gt;=INDEX('Программа тренировок'!$L$6:$L$25,$M1157)),"Верх диапазона: пора добавлять вес",IF($G1157&lt;INDEX('Программа тренировок'!$L$6:$L$25,$M1157),"RIR ниже цели","В диапазоне")))))</f>
        <v/>
      </c>
      <c r="M1157" s="23" t="str">
        <f aca="false">IF($C1157="","",IFERROR(MATCH($C1157,'Программа тренировок'!$C$6:$C$25,0),""))</f>
        <v/>
      </c>
    </row>
    <row r="1158" customFormat="false" ht="15" hidden="false" customHeight="true" outlineLevel="0" collapsed="false">
      <c r="A1158" s="20"/>
      <c r="B1158" s="21"/>
      <c r="C1158" s="19"/>
      <c r="D1158" s="18"/>
      <c r="E1158" s="17"/>
      <c r="F1158" s="18"/>
      <c r="G1158" s="18"/>
      <c r="H1158" s="21"/>
      <c r="I1158" s="19"/>
      <c r="J1158" s="8" t="str">
        <f aca="false">IF(OR(E1158="",F1158=""),"",E1158*F1158)</f>
        <v/>
      </c>
      <c r="K1158" s="22" t="str">
        <f aca="false">IF($M1158="","",INDEX('Программа тренировок'!$G$6:$G$25,$M1158))</f>
        <v/>
      </c>
      <c r="L1158" s="23" t="str">
        <f aca="false">IF(OR($M1158="",$F1158="",$G1158=""),"",IF($H1158="Разминка","Разминка",IF($F1158&lt;INDEX('Программа тренировок'!$E$6:$E$25,$M1158),"Ниже диапазона",IF(AND($F1158&gt;=INDEX('Программа тренировок'!$F$6:$F$25,$M1158),$G1158&gt;=INDEX('Программа тренировок'!$L$6:$L$25,$M1158)),"Верх диапазона: пора добавлять вес",IF($G1158&lt;INDEX('Программа тренировок'!$L$6:$L$25,$M1158),"RIR ниже цели","В диапазоне")))))</f>
        <v/>
      </c>
      <c r="M1158" s="23" t="str">
        <f aca="false">IF($C1158="","",IFERROR(MATCH($C1158,'Программа тренировок'!$C$6:$C$25,0),""))</f>
        <v/>
      </c>
    </row>
    <row r="1159" customFormat="false" ht="15" hidden="false" customHeight="true" outlineLevel="0" collapsed="false">
      <c r="A1159" s="20"/>
      <c r="B1159" s="21"/>
      <c r="C1159" s="19"/>
      <c r="D1159" s="18"/>
      <c r="E1159" s="17"/>
      <c r="F1159" s="18"/>
      <c r="G1159" s="18"/>
      <c r="H1159" s="21"/>
      <c r="I1159" s="19"/>
      <c r="J1159" s="8" t="str">
        <f aca="false">IF(OR(E1159="",F1159=""),"",E1159*F1159)</f>
        <v/>
      </c>
      <c r="K1159" s="22" t="str">
        <f aca="false">IF($M1159="","",INDEX('Программа тренировок'!$G$6:$G$25,$M1159))</f>
        <v/>
      </c>
      <c r="L1159" s="23" t="str">
        <f aca="false">IF(OR($M1159="",$F1159="",$G1159=""),"",IF($H1159="Разминка","Разминка",IF($F1159&lt;INDEX('Программа тренировок'!$E$6:$E$25,$M1159),"Ниже диапазона",IF(AND($F1159&gt;=INDEX('Программа тренировок'!$F$6:$F$25,$M1159),$G1159&gt;=INDEX('Программа тренировок'!$L$6:$L$25,$M1159)),"Верх диапазона: пора добавлять вес",IF($G1159&lt;INDEX('Программа тренировок'!$L$6:$L$25,$M1159),"RIR ниже цели","В диапазоне")))))</f>
        <v/>
      </c>
      <c r="M1159" s="23" t="str">
        <f aca="false">IF($C1159="","",IFERROR(MATCH($C1159,'Программа тренировок'!$C$6:$C$25,0),""))</f>
        <v/>
      </c>
    </row>
    <row r="1160" customFormat="false" ht="15" hidden="false" customHeight="true" outlineLevel="0" collapsed="false">
      <c r="A1160" s="20"/>
      <c r="B1160" s="21"/>
      <c r="C1160" s="19"/>
      <c r="D1160" s="18"/>
      <c r="E1160" s="17"/>
      <c r="F1160" s="18"/>
      <c r="G1160" s="18"/>
      <c r="H1160" s="21"/>
      <c r="I1160" s="19"/>
      <c r="J1160" s="8" t="str">
        <f aca="false">IF(OR(E1160="",F1160=""),"",E1160*F1160)</f>
        <v/>
      </c>
      <c r="K1160" s="22" t="str">
        <f aca="false">IF($M1160="","",INDEX('Программа тренировок'!$G$6:$G$25,$M1160))</f>
        <v/>
      </c>
      <c r="L1160" s="23" t="str">
        <f aca="false">IF(OR($M1160="",$F1160="",$G1160=""),"",IF($H1160="Разминка","Разминка",IF($F1160&lt;INDEX('Программа тренировок'!$E$6:$E$25,$M1160),"Ниже диапазона",IF(AND($F1160&gt;=INDEX('Программа тренировок'!$F$6:$F$25,$M1160),$G1160&gt;=INDEX('Программа тренировок'!$L$6:$L$25,$M1160)),"Верх диапазона: пора добавлять вес",IF($G1160&lt;INDEX('Программа тренировок'!$L$6:$L$25,$M1160),"RIR ниже цели","В диапазоне")))))</f>
        <v/>
      </c>
      <c r="M1160" s="23" t="str">
        <f aca="false">IF($C1160="","",IFERROR(MATCH($C1160,'Программа тренировок'!$C$6:$C$25,0),""))</f>
        <v/>
      </c>
    </row>
    <row r="1161" customFormat="false" ht="15" hidden="false" customHeight="true" outlineLevel="0" collapsed="false">
      <c r="A1161" s="20"/>
      <c r="B1161" s="21"/>
      <c r="C1161" s="19"/>
      <c r="D1161" s="18"/>
      <c r="E1161" s="17"/>
      <c r="F1161" s="18"/>
      <c r="G1161" s="18"/>
      <c r="H1161" s="21"/>
      <c r="I1161" s="19"/>
      <c r="J1161" s="8" t="str">
        <f aca="false">IF(OR(E1161="",F1161=""),"",E1161*F1161)</f>
        <v/>
      </c>
      <c r="K1161" s="22" t="str">
        <f aca="false">IF($M1161="","",INDEX('Программа тренировок'!$G$6:$G$25,$M1161))</f>
        <v/>
      </c>
      <c r="L1161" s="23" t="str">
        <f aca="false">IF(OR($M1161="",$F1161="",$G1161=""),"",IF($H1161="Разминка","Разминка",IF($F1161&lt;INDEX('Программа тренировок'!$E$6:$E$25,$M1161),"Ниже диапазона",IF(AND($F1161&gt;=INDEX('Программа тренировок'!$F$6:$F$25,$M1161),$G1161&gt;=INDEX('Программа тренировок'!$L$6:$L$25,$M1161)),"Верх диапазона: пора добавлять вес",IF($G1161&lt;INDEX('Программа тренировок'!$L$6:$L$25,$M1161),"RIR ниже цели","В диапазоне")))))</f>
        <v/>
      </c>
      <c r="M1161" s="23" t="str">
        <f aca="false">IF($C1161="","",IFERROR(MATCH($C1161,'Программа тренировок'!$C$6:$C$25,0),""))</f>
        <v/>
      </c>
    </row>
    <row r="1162" customFormat="false" ht="15" hidden="false" customHeight="true" outlineLevel="0" collapsed="false">
      <c r="A1162" s="20"/>
      <c r="B1162" s="21"/>
      <c r="C1162" s="19"/>
      <c r="D1162" s="18"/>
      <c r="E1162" s="17"/>
      <c r="F1162" s="18"/>
      <c r="G1162" s="18"/>
      <c r="H1162" s="21"/>
      <c r="I1162" s="19"/>
      <c r="J1162" s="8" t="str">
        <f aca="false">IF(OR(E1162="",F1162=""),"",E1162*F1162)</f>
        <v/>
      </c>
      <c r="K1162" s="22" t="str">
        <f aca="false">IF($M1162="","",INDEX('Программа тренировок'!$G$6:$G$25,$M1162))</f>
        <v/>
      </c>
      <c r="L1162" s="23" t="str">
        <f aca="false">IF(OR($M1162="",$F1162="",$G1162=""),"",IF($H1162="Разминка","Разминка",IF($F1162&lt;INDEX('Программа тренировок'!$E$6:$E$25,$M1162),"Ниже диапазона",IF(AND($F1162&gt;=INDEX('Программа тренировок'!$F$6:$F$25,$M1162),$G1162&gt;=INDEX('Программа тренировок'!$L$6:$L$25,$M1162)),"Верх диапазона: пора добавлять вес",IF($G1162&lt;INDEX('Программа тренировок'!$L$6:$L$25,$M1162),"RIR ниже цели","В диапазоне")))))</f>
        <v/>
      </c>
      <c r="M1162" s="23" t="str">
        <f aca="false">IF($C1162="","",IFERROR(MATCH($C1162,'Программа тренировок'!$C$6:$C$25,0),""))</f>
        <v/>
      </c>
    </row>
    <row r="1163" customFormat="false" ht="15" hidden="false" customHeight="true" outlineLevel="0" collapsed="false">
      <c r="A1163" s="20"/>
      <c r="B1163" s="21"/>
      <c r="C1163" s="19"/>
      <c r="D1163" s="18"/>
      <c r="E1163" s="17"/>
      <c r="F1163" s="18"/>
      <c r="G1163" s="18"/>
      <c r="H1163" s="21"/>
      <c r="I1163" s="19"/>
      <c r="J1163" s="8" t="str">
        <f aca="false">IF(OR(E1163="",F1163=""),"",E1163*F1163)</f>
        <v/>
      </c>
      <c r="K1163" s="22" t="str">
        <f aca="false">IF($M1163="","",INDEX('Программа тренировок'!$G$6:$G$25,$M1163))</f>
        <v/>
      </c>
      <c r="L1163" s="23" t="str">
        <f aca="false">IF(OR($M1163="",$F1163="",$G1163=""),"",IF($H1163="Разминка","Разминка",IF($F1163&lt;INDEX('Программа тренировок'!$E$6:$E$25,$M1163),"Ниже диапазона",IF(AND($F1163&gt;=INDEX('Программа тренировок'!$F$6:$F$25,$M1163),$G1163&gt;=INDEX('Программа тренировок'!$L$6:$L$25,$M1163)),"Верх диапазона: пора добавлять вес",IF($G1163&lt;INDEX('Программа тренировок'!$L$6:$L$25,$M1163),"RIR ниже цели","В диапазоне")))))</f>
        <v/>
      </c>
      <c r="M1163" s="23" t="str">
        <f aca="false">IF($C1163="","",IFERROR(MATCH($C1163,'Программа тренировок'!$C$6:$C$25,0),""))</f>
        <v/>
      </c>
    </row>
    <row r="1164" customFormat="false" ht="15" hidden="false" customHeight="true" outlineLevel="0" collapsed="false">
      <c r="A1164" s="20"/>
      <c r="B1164" s="21"/>
      <c r="C1164" s="19"/>
      <c r="D1164" s="18"/>
      <c r="E1164" s="17"/>
      <c r="F1164" s="18"/>
      <c r="G1164" s="18"/>
      <c r="H1164" s="21"/>
      <c r="I1164" s="19"/>
      <c r="J1164" s="8" t="str">
        <f aca="false">IF(OR(E1164="",F1164=""),"",E1164*F1164)</f>
        <v/>
      </c>
      <c r="K1164" s="22" t="str">
        <f aca="false">IF($M1164="","",INDEX('Программа тренировок'!$G$6:$G$25,$M1164))</f>
        <v/>
      </c>
      <c r="L1164" s="23" t="str">
        <f aca="false">IF(OR($M1164="",$F1164="",$G1164=""),"",IF($H1164="Разминка","Разминка",IF($F1164&lt;INDEX('Программа тренировок'!$E$6:$E$25,$M1164),"Ниже диапазона",IF(AND($F1164&gt;=INDEX('Программа тренировок'!$F$6:$F$25,$M1164),$G1164&gt;=INDEX('Программа тренировок'!$L$6:$L$25,$M1164)),"Верх диапазона: пора добавлять вес",IF($G1164&lt;INDEX('Программа тренировок'!$L$6:$L$25,$M1164),"RIR ниже цели","В диапазоне")))))</f>
        <v/>
      </c>
      <c r="M1164" s="23" t="str">
        <f aca="false">IF($C1164="","",IFERROR(MATCH($C1164,'Программа тренировок'!$C$6:$C$25,0),""))</f>
        <v/>
      </c>
    </row>
    <row r="1165" customFormat="false" ht="15" hidden="false" customHeight="true" outlineLevel="0" collapsed="false">
      <c r="A1165" s="20"/>
      <c r="B1165" s="21"/>
      <c r="C1165" s="19"/>
      <c r="D1165" s="18"/>
      <c r="E1165" s="17"/>
      <c r="F1165" s="18"/>
      <c r="G1165" s="18"/>
      <c r="H1165" s="21"/>
      <c r="I1165" s="19"/>
      <c r="J1165" s="8" t="str">
        <f aca="false">IF(OR(E1165="",F1165=""),"",E1165*F1165)</f>
        <v/>
      </c>
      <c r="K1165" s="22" t="str">
        <f aca="false">IF($M1165="","",INDEX('Программа тренировок'!$G$6:$G$25,$M1165))</f>
        <v/>
      </c>
      <c r="L1165" s="23" t="str">
        <f aca="false">IF(OR($M1165="",$F1165="",$G1165=""),"",IF($H1165="Разминка","Разминка",IF($F1165&lt;INDEX('Программа тренировок'!$E$6:$E$25,$M1165),"Ниже диапазона",IF(AND($F1165&gt;=INDEX('Программа тренировок'!$F$6:$F$25,$M1165),$G1165&gt;=INDEX('Программа тренировок'!$L$6:$L$25,$M1165)),"Верх диапазона: пора добавлять вес",IF($G1165&lt;INDEX('Программа тренировок'!$L$6:$L$25,$M1165),"RIR ниже цели","В диапазоне")))))</f>
        <v/>
      </c>
      <c r="M1165" s="23" t="str">
        <f aca="false">IF($C1165="","",IFERROR(MATCH($C1165,'Программа тренировок'!$C$6:$C$25,0),""))</f>
        <v/>
      </c>
    </row>
    <row r="1166" customFormat="false" ht="15" hidden="false" customHeight="true" outlineLevel="0" collapsed="false">
      <c r="A1166" s="20"/>
      <c r="B1166" s="21"/>
      <c r="C1166" s="19"/>
      <c r="D1166" s="18"/>
      <c r="E1166" s="17"/>
      <c r="F1166" s="18"/>
      <c r="G1166" s="18"/>
      <c r="H1166" s="21"/>
      <c r="I1166" s="19"/>
      <c r="J1166" s="8" t="str">
        <f aca="false">IF(OR(E1166="",F1166=""),"",E1166*F1166)</f>
        <v/>
      </c>
      <c r="K1166" s="22" t="str">
        <f aca="false">IF($M1166="","",INDEX('Программа тренировок'!$G$6:$G$25,$M1166))</f>
        <v/>
      </c>
      <c r="L1166" s="23" t="str">
        <f aca="false">IF(OR($M1166="",$F1166="",$G1166=""),"",IF($H1166="Разминка","Разминка",IF($F1166&lt;INDEX('Программа тренировок'!$E$6:$E$25,$M1166),"Ниже диапазона",IF(AND($F1166&gt;=INDEX('Программа тренировок'!$F$6:$F$25,$M1166),$G1166&gt;=INDEX('Программа тренировок'!$L$6:$L$25,$M1166)),"Верх диапазона: пора добавлять вес",IF($G1166&lt;INDEX('Программа тренировок'!$L$6:$L$25,$M1166),"RIR ниже цели","В диапазоне")))))</f>
        <v/>
      </c>
      <c r="M1166" s="23" t="str">
        <f aca="false">IF($C1166="","",IFERROR(MATCH($C1166,'Программа тренировок'!$C$6:$C$25,0),""))</f>
        <v/>
      </c>
    </row>
    <row r="1167" customFormat="false" ht="15" hidden="false" customHeight="true" outlineLevel="0" collapsed="false">
      <c r="A1167" s="20"/>
      <c r="B1167" s="21"/>
      <c r="C1167" s="19"/>
      <c r="D1167" s="18"/>
      <c r="E1167" s="17"/>
      <c r="F1167" s="18"/>
      <c r="G1167" s="18"/>
      <c r="H1167" s="21"/>
      <c r="I1167" s="19"/>
      <c r="J1167" s="8" t="str">
        <f aca="false">IF(OR(E1167="",F1167=""),"",E1167*F1167)</f>
        <v/>
      </c>
      <c r="K1167" s="22" t="str">
        <f aca="false">IF($M1167="","",INDEX('Программа тренировок'!$G$6:$G$25,$M1167))</f>
        <v/>
      </c>
      <c r="L1167" s="23" t="str">
        <f aca="false">IF(OR($M1167="",$F1167="",$G1167=""),"",IF($H1167="Разминка","Разминка",IF($F1167&lt;INDEX('Программа тренировок'!$E$6:$E$25,$M1167),"Ниже диапазона",IF(AND($F1167&gt;=INDEX('Программа тренировок'!$F$6:$F$25,$M1167),$G1167&gt;=INDEX('Программа тренировок'!$L$6:$L$25,$M1167)),"Верх диапазона: пора добавлять вес",IF($G1167&lt;INDEX('Программа тренировок'!$L$6:$L$25,$M1167),"RIR ниже цели","В диапазоне")))))</f>
        <v/>
      </c>
      <c r="M1167" s="23" t="str">
        <f aca="false">IF($C1167="","",IFERROR(MATCH($C1167,'Программа тренировок'!$C$6:$C$25,0),""))</f>
        <v/>
      </c>
    </row>
    <row r="1168" customFormat="false" ht="15" hidden="false" customHeight="true" outlineLevel="0" collapsed="false">
      <c r="A1168" s="20"/>
      <c r="B1168" s="21"/>
      <c r="C1168" s="19"/>
      <c r="D1168" s="18"/>
      <c r="E1168" s="17"/>
      <c r="F1168" s="18"/>
      <c r="G1168" s="18"/>
      <c r="H1168" s="21"/>
      <c r="I1168" s="19"/>
      <c r="J1168" s="8" t="str">
        <f aca="false">IF(OR(E1168="",F1168=""),"",E1168*F1168)</f>
        <v/>
      </c>
      <c r="K1168" s="22" t="str">
        <f aca="false">IF($M1168="","",INDEX('Программа тренировок'!$G$6:$G$25,$M1168))</f>
        <v/>
      </c>
      <c r="L1168" s="23" t="str">
        <f aca="false">IF(OR($M1168="",$F1168="",$G1168=""),"",IF($H1168="Разминка","Разминка",IF($F1168&lt;INDEX('Программа тренировок'!$E$6:$E$25,$M1168),"Ниже диапазона",IF(AND($F1168&gt;=INDEX('Программа тренировок'!$F$6:$F$25,$M1168),$G1168&gt;=INDEX('Программа тренировок'!$L$6:$L$25,$M1168)),"Верх диапазона: пора добавлять вес",IF($G1168&lt;INDEX('Программа тренировок'!$L$6:$L$25,$M1168),"RIR ниже цели","В диапазоне")))))</f>
        <v/>
      </c>
      <c r="M1168" s="23" t="str">
        <f aca="false">IF($C1168="","",IFERROR(MATCH($C1168,'Программа тренировок'!$C$6:$C$25,0),""))</f>
        <v/>
      </c>
    </row>
    <row r="1169" customFormat="false" ht="15" hidden="false" customHeight="true" outlineLevel="0" collapsed="false">
      <c r="A1169" s="20"/>
      <c r="B1169" s="21"/>
      <c r="C1169" s="19"/>
      <c r="D1169" s="18"/>
      <c r="E1169" s="17"/>
      <c r="F1169" s="18"/>
      <c r="G1169" s="18"/>
      <c r="H1169" s="21"/>
      <c r="I1169" s="19"/>
      <c r="J1169" s="8" t="str">
        <f aca="false">IF(OR(E1169="",F1169=""),"",E1169*F1169)</f>
        <v/>
      </c>
      <c r="K1169" s="22" t="str">
        <f aca="false">IF($M1169="","",INDEX('Программа тренировок'!$G$6:$G$25,$M1169))</f>
        <v/>
      </c>
      <c r="L1169" s="23" t="str">
        <f aca="false">IF(OR($M1169="",$F1169="",$G1169=""),"",IF($H1169="Разминка","Разминка",IF($F1169&lt;INDEX('Программа тренировок'!$E$6:$E$25,$M1169),"Ниже диапазона",IF(AND($F1169&gt;=INDEX('Программа тренировок'!$F$6:$F$25,$M1169),$G1169&gt;=INDEX('Программа тренировок'!$L$6:$L$25,$M1169)),"Верх диапазона: пора добавлять вес",IF($G1169&lt;INDEX('Программа тренировок'!$L$6:$L$25,$M1169),"RIR ниже цели","В диапазоне")))))</f>
        <v/>
      </c>
      <c r="M1169" s="23" t="str">
        <f aca="false">IF($C1169="","",IFERROR(MATCH($C1169,'Программа тренировок'!$C$6:$C$25,0),""))</f>
        <v/>
      </c>
    </row>
    <row r="1170" customFormat="false" ht="15" hidden="false" customHeight="true" outlineLevel="0" collapsed="false">
      <c r="A1170" s="20"/>
      <c r="B1170" s="21"/>
      <c r="C1170" s="19"/>
      <c r="D1170" s="18"/>
      <c r="E1170" s="17"/>
      <c r="F1170" s="18"/>
      <c r="G1170" s="18"/>
      <c r="H1170" s="21"/>
      <c r="I1170" s="19"/>
      <c r="J1170" s="8" t="str">
        <f aca="false">IF(OR(E1170="",F1170=""),"",E1170*F1170)</f>
        <v/>
      </c>
      <c r="K1170" s="22" t="str">
        <f aca="false">IF($M1170="","",INDEX('Программа тренировок'!$G$6:$G$25,$M1170))</f>
        <v/>
      </c>
      <c r="L1170" s="23" t="str">
        <f aca="false">IF(OR($M1170="",$F1170="",$G1170=""),"",IF($H1170="Разминка","Разминка",IF($F1170&lt;INDEX('Программа тренировок'!$E$6:$E$25,$M1170),"Ниже диапазона",IF(AND($F1170&gt;=INDEX('Программа тренировок'!$F$6:$F$25,$M1170),$G1170&gt;=INDEX('Программа тренировок'!$L$6:$L$25,$M1170)),"Верх диапазона: пора добавлять вес",IF($G1170&lt;INDEX('Программа тренировок'!$L$6:$L$25,$M1170),"RIR ниже цели","В диапазоне")))))</f>
        <v/>
      </c>
      <c r="M1170" s="23" t="str">
        <f aca="false">IF($C1170="","",IFERROR(MATCH($C1170,'Программа тренировок'!$C$6:$C$25,0),""))</f>
        <v/>
      </c>
    </row>
    <row r="1171" customFormat="false" ht="15" hidden="false" customHeight="true" outlineLevel="0" collapsed="false">
      <c r="A1171" s="20"/>
      <c r="B1171" s="21"/>
      <c r="C1171" s="19"/>
      <c r="D1171" s="18"/>
      <c r="E1171" s="17"/>
      <c r="F1171" s="18"/>
      <c r="G1171" s="18"/>
      <c r="H1171" s="21"/>
      <c r="I1171" s="19"/>
      <c r="J1171" s="8" t="str">
        <f aca="false">IF(OR(E1171="",F1171=""),"",E1171*F1171)</f>
        <v/>
      </c>
      <c r="K1171" s="22" t="str">
        <f aca="false">IF($M1171="","",INDEX('Программа тренировок'!$G$6:$G$25,$M1171))</f>
        <v/>
      </c>
      <c r="L1171" s="23" t="str">
        <f aca="false">IF(OR($M1171="",$F1171="",$G1171=""),"",IF($H1171="Разминка","Разминка",IF($F1171&lt;INDEX('Программа тренировок'!$E$6:$E$25,$M1171),"Ниже диапазона",IF(AND($F1171&gt;=INDEX('Программа тренировок'!$F$6:$F$25,$M1171),$G1171&gt;=INDEX('Программа тренировок'!$L$6:$L$25,$M1171)),"Верх диапазона: пора добавлять вес",IF($G1171&lt;INDEX('Программа тренировок'!$L$6:$L$25,$M1171),"RIR ниже цели","В диапазоне")))))</f>
        <v/>
      </c>
      <c r="M1171" s="23" t="str">
        <f aca="false">IF($C1171="","",IFERROR(MATCH($C1171,'Программа тренировок'!$C$6:$C$25,0),""))</f>
        <v/>
      </c>
    </row>
    <row r="1172" customFormat="false" ht="15" hidden="false" customHeight="true" outlineLevel="0" collapsed="false">
      <c r="A1172" s="20"/>
      <c r="B1172" s="21"/>
      <c r="C1172" s="19"/>
      <c r="D1172" s="18"/>
      <c r="E1172" s="17"/>
      <c r="F1172" s="18"/>
      <c r="G1172" s="18"/>
      <c r="H1172" s="21"/>
      <c r="I1172" s="19"/>
      <c r="J1172" s="8" t="str">
        <f aca="false">IF(OR(E1172="",F1172=""),"",E1172*F1172)</f>
        <v/>
      </c>
      <c r="K1172" s="22" t="str">
        <f aca="false">IF($M1172="","",INDEX('Программа тренировок'!$G$6:$G$25,$M1172))</f>
        <v/>
      </c>
      <c r="L1172" s="23" t="str">
        <f aca="false">IF(OR($M1172="",$F1172="",$G1172=""),"",IF($H1172="Разминка","Разминка",IF($F1172&lt;INDEX('Программа тренировок'!$E$6:$E$25,$M1172),"Ниже диапазона",IF(AND($F1172&gt;=INDEX('Программа тренировок'!$F$6:$F$25,$M1172),$G1172&gt;=INDEX('Программа тренировок'!$L$6:$L$25,$M1172)),"Верх диапазона: пора добавлять вес",IF($G1172&lt;INDEX('Программа тренировок'!$L$6:$L$25,$M1172),"RIR ниже цели","В диапазоне")))))</f>
        <v/>
      </c>
      <c r="M1172" s="23" t="str">
        <f aca="false">IF($C1172="","",IFERROR(MATCH($C1172,'Программа тренировок'!$C$6:$C$25,0),""))</f>
        <v/>
      </c>
    </row>
    <row r="1173" customFormat="false" ht="15" hidden="false" customHeight="true" outlineLevel="0" collapsed="false">
      <c r="A1173" s="20"/>
      <c r="B1173" s="21"/>
      <c r="C1173" s="19"/>
      <c r="D1173" s="18"/>
      <c r="E1173" s="17"/>
      <c r="F1173" s="18"/>
      <c r="G1173" s="18"/>
      <c r="H1173" s="21"/>
      <c r="I1173" s="19"/>
      <c r="J1173" s="8" t="str">
        <f aca="false">IF(OR(E1173="",F1173=""),"",E1173*F1173)</f>
        <v/>
      </c>
      <c r="K1173" s="22" t="str">
        <f aca="false">IF($M1173="","",INDEX('Программа тренировок'!$G$6:$G$25,$M1173))</f>
        <v/>
      </c>
      <c r="L1173" s="23" t="str">
        <f aca="false">IF(OR($M1173="",$F1173="",$G1173=""),"",IF($H1173="Разминка","Разминка",IF($F1173&lt;INDEX('Программа тренировок'!$E$6:$E$25,$M1173),"Ниже диапазона",IF(AND($F1173&gt;=INDEX('Программа тренировок'!$F$6:$F$25,$M1173),$G1173&gt;=INDEX('Программа тренировок'!$L$6:$L$25,$M1173)),"Верх диапазона: пора добавлять вес",IF($G1173&lt;INDEX('Программа тренировок'!$L$6:$L$25,$M1173),"RIR ниже цели","В диапазоне")))))</f>
        <v/>
      </c>
      <c r="M1173" s="23" t="str">
        <f aca="false">IF($C1173="","",IFERROR(MATCH($C1173,'Программа тренировок'!$C$6:$C$25,0),""))</f>
        <v/>
      </c>
    </row>
    <row r="1174" customFormat="false" ht="15" hidden="false" customHeight="true" outlineLevel="0" collapsed="false">
      <c r="A1174" s="20"/>
      <c r="B1174" s="21"/>
      <c r="C1174" s="19"/>
      <c r="D1174" s="18"/>
      <c r="E1174" s="17"/>
      <c r="F1174" s="18"/>
      <c r="G1174" s="18"/>
      <c r="H1174" s="21"/>
      <c r="I1174" s="19"/>
      <c r="J1174" s="8" t="str">
        <f aca="false">IF(OR(E1174="",F1174=""),"",E1174*F1174)</f>
        <v/>
      </c>
      <c r="K1174" s="22" t="str">
        <f aca="false">IF($M1174="","",INDEX('Программа тренировок'!$G$6:$G$25,$M1174))</f>
        <v/>
      </c>
      <c r="L1174" s="23" t="str">
        <f aca="false">IF(OR($M1174="",$F1174="",$G1174=""),"",IF($H1174="Разминка","Разминка",IF($F1174&lt;INDEX('Программа тренировок'!$E$6:$E$25,$M1174),"Ниже диапазона",IF(AND($F1174&gt;=INDEX('Программа тренировок'!$F$6:$F$25,$M1174),$G1174&gt;=INDEX('Программа тренировок'!$L$6:$L$25,$M1174)),"Верх диапазона: пора добавлять вес",IF($G1174&lt;INDEX('Программа тренировок'!$L$6:$L$25,$M1174),"RIR ниже цели","В диапазоне")))))</f>
        <v/>
      </c>
      <c r="M1174" s="23" t="str">
        <f aca="false">IF($C1174="","",IFERROR(MATCH($C1174,'Программа тренировок'!$C$6:$C$25,0),""))</f>
        <v/>
      </c>
    </row>
    <row r="1175" customFormat="false" ht="15" hidden="false" customHeight="true" outlineLevel="0" collapsed="false">
      <c r="A1175" s="20"/>
      <c r="B1175" s="21"/>
      <c r="C1175" s="19"/>
      <c r="D1175" s="18"/>
      <c r="E1175" s="17"/>
      <c r="F1175" s="18"/>
      <c r="G1175" s="18"/>
      <c r="H1175" s="21"/>
      <c r="I1175" s="19"/>
      <c r="J1175" s="8" t="str">
        <f aca="false">IF(OR(E1175="",F1175=""),"",E1175*F1175)</f>
        <v/>
      </c>
      <c r="K1175" s="22" t="str">
        <f aca="false">IF($M1175="","",INDEX('Программа тренировок'!$G$6:$G$25,$M1175))</f>
        <v/>
      </c>
      <c r="L1175" s="23" t="str">
        <f aca="false">IF(OR($M1175="",$F1175="",$G1175=""),"",IF($H1175="Разминка","Разминка",IF($F1175&lt;INDEX('Программа тренировок'!$E$6:$E$25,$M1175),"Ниже диапазона",IF(AND($F1175&gt;=INDEX('Программа тренировок'!$F$6:$F$25,$M1175),$G1175&gt;=INDEX('Программа тренировок'!$L$6:$L$25,$M1175)),"Верх диапазона: пора добавлять вес",IF($G1175&lt;INDEX('Программа тренировок'!$L$6:$L$25,$M1175),"RIR ниже цели","В диапазоне")))))</f>
        <v/>
      </c>
      <c r="M1175" s="23" t="str">
        <f aca="false">IF($C1175="","",IFERROR(MATCH($C1175,'Программа тренировок'!$C$6:$C$25,0),""))</f>
        <v/>
      </c>
    </row>
    <row r="1176" customFormat="false" ht="15" hidden="false" customHeight="true" outlineLevel="0" collapsed="false">
      <c r="A1176" s="20"/>
      <c r="B1176" s="21"/>
      <c r="C1176" s="19"/>
      <c r="D1176" s="18"/>
      <c r="E1176" s="17"/>
      <c r="F1176" s="18"/>
      <c r="G1176" s="18"/>
      <c r="H1176" s="21"/>
      <c r="I1176" s="19"/>
      <c r="J1176" s="8" t="str">
        <f aca="false">IF(OR(E1176="",F1176=""),"",E1176*F1176)</f>
        <v/>
      </c>
      <c r="K1176" s="22" t="str">
        <f aca="false">IF($M1176="","",INDEX('Программа тренировок'!$G$6:$G$25,$M1176))</f>
        <v/>
      </c>
      <c r="L1176" s="23" t="str">
        <f aca="false">IF(OR($M1176="",$F1176="",$G1176=""),"",IF($H1176="Разминка","Разминка",IF($F1176&lt;INDEX('Программа тренировок'!$E$6:$E$25,$M1176),"Ниже диапазона",IF(AND($F1176&gt;=INDEX('Программа тренировок'!$F$6:$F$25,$M1176),$G1176&gt;=INDEX('Программа тренировок'!$L$6:$L$25,$M1176)),"Верх диапазона: пора добавлять вес",IF($G1176&lt;INDEX('Программа тренировок'!$L$6:$L$25,$M1176),"RIR ниже цели","В диапазоне")))))</f>
        <v/>
      </c>
      <c r="M1176" s="23" t="str">
        <f aca="false">IF($C1176="","",IFERROR(MATCH($C1176,'Программа тренировок'!$C$6:$C$25,0),""))</f>
        <v/>
      </c>
    </row>
    <row r="1177" customFormat="false" ht="15" hidden="false" customHeight="true" outlineLevel="0" collapsed="false">
      <c r="A1177" s="20"/>
      <c r="B1177" s="21"/>
      <c r="C1177" s="19"/>
      <c r="D1177" s="18"/>
      <c r="E1177" s="17"/>
      <c r="F1177" s="18"/>
      <c r="G1177" s="18"/>
      <c r="H1177" s="21"/>
      <c r="I1177" s="19"/>
      <c r="J1177" s="8" t="str">
        <f aca="false">IF(OR(E1177="",F1177=""),"",E1177*F1177)</f>
        <v/>
      </c>
      <c r="K1177" s="22" t="str">
        <f aca="false">IF($M1177="","",INDEX('Программа тренировок'!$G$6:$G$25,$M1177))</f>
        <v/>
      </c>
      <c r="L1177" s="23" t="str">
        <f aca="false">IF(OR($M1177="",$F1177="",$G1177=""),"",IF($H1177="Разминка","Разминка",IF($F1177&lt;INDEX('Программа тренировок'!$E$6:$E$25,$M1177),"Ниже диапазона",IF(AND($F1177&gt;=INDEX('Программа тренировок'!$F$6:$F$25,$M1177),$G1177&gt;=INDEX('Программа тренировок'!$L$6:$L$25,$M1177)),"Верх диапазона: пора добавлять вес",IF($G1177&lt;INDEX('Программа тренировок'!$L$6:$L$25,$M1177),"RIR ниже цели","В диапазоне")))))</f>
        <v/>
      </c>
      <c r="M1177" s="23" t="str">
        <f aca="false">IF($C1177="","",IFERROR(MATCH($C1177,'Программа тренировок'!$C$6:$C$25,0),""))</f>
        <v/>
      </c>
    </row>
    <row r="1178" customFormat="false" ht="15" hidden="false" customHeight="true" outlineLevel="0" collapsed="false">
      <c r="A1178" s="20"/>
      <c r="B1178" s="21"/>
      <c r="C1178" s="19"/>
      <c r="D1178" s="18"/>
      <c r="E1178" s="17"/>
      <c r="F1178" s="18"/>
      <c r="G1178" s="18"/>
      <c r="H1178" s="21"/>
      <c r="I1178" s="19"/>
      <c r="J1178" s="8" t="str">
        <f aca="false">IF(OR(E1178="",F1178=""),"",E1178*F1178)</f>
        <v/>
      </c>
      <c r="K1178" s="22" t="str">
        <f aca="false">IF($M1178="","",INDEX('Программа тренировок'!$G$6:$G$25,$M1178))</f>
        <v/>
      </c>
      <c r="L1178" s="23" t="str">
        <f aca="false">IF(OR($M1178="",$F1178="",$G1178=""),"",IF($H1178="Разминка","Разминка",IF($F1178&lt;INDEX('Программа тренировок'!$E$6:$E$25,$M1178),"Ниже диапазона",IF(AND($F1178&gt;=INDEX('Программа тренировок'!$F$6:$F$25,$M1178),$G1178&gt;=INDEX('Программа тренировок'!$L$6:$L$25,$M1178)),"Верх диапазона: пора добавлять вес",IF($G1178&lt;INDEX('Программа тренировок'!$L$6:$L$25,$M1178),"RIR ниже цели","В диапазоне")))))</f>
        <v/>
      </c>
      <c r="M1178" s="23" t="str">
        <f aca="false">IF($C1178="","",IFERROR(MATCH($C1178,'Программа тренировок'!$C$6:$C$25,0),""))</f>
        <v/>
      </c>
    </row>
    <row r="1179" customFormat="false" ht="15" hidden="false" customHeight="true" outlineLevel="0" collapsed="false">
      <c r="A1179" s="20"/>
      <c r="B1179" s="21"/>
      <c r="C1179" s="19"/>
      <c r="D1179" s="18"/>
      <c r="E1179" s="17"/>
      <c r="F1179" s="18"/>
      <c r="G1179" s="18"/>
      <c r="H1179" s="21"/>
      <c r="I1179" s="19"/>
      <c r="J1179" s="8" t="str">
        <f aca="false">IF(OR(E1179="",F1179=""),"",E1179*F1179)</f>
        <v/>
      </c>
      <c r="K1179" s="22" t="str">
        <f aca="false">IF($M1179="","",INDEX('Программа тренировок'!$G$6:$G$25,$M1179))</f>
        <v/>
      </c>
      <c r="L1179" s="23" t="str">
        <f aca="false">IF(OR($M1179="",$F1179="",$G1179=""),"",IF($H1179="Разминка","Разминка",IF($F1179&lt;INDEX('Программа тренировок'!$E$6:$E$25,$M1179),"Ниже диапазона",IF(AND($F1179&gt;=INDEX('Программа тренировок'!$F$6:$F$25,$M1179),$G1179&gt;=INDEX('Программа тренировок'!$L$6:$L$25,$M1179)),"Верх диапазона: пора добавлять вес",IF($G1179&lt;INDEX('Программа тренировок'!$L$6:$L$25,$M1179),"RIR ниже цели","В диапазоне")))))</f>
        <v/>
      </c>
      <c r="M1179" s="23" t="str">
        <f aca="false">IF($C1179="","",IFERROR(MATCH($C1179,'Программа тренировок'!$C$6:$C$25,0),""))</f>
        <v/>
      </c>
    </row>
    <row r="1180" customFormat="false" ht="15" hidden="false" customHeight="true" outlineLevel="0" collapsed="false">
      <c r="A1180" s="20"/>
      <c r="B1180" s="21"/>
      <c r="C1180" s="19"/>
      <c r="D1180" s="18"/>
      <c r="E1180" s="17"/>
      <c r="F1180" s="18"/>
      <c r="G1180" s="18"/>
      <c r="H1180" s="21"/>
      <c r="I1180" s="19"/>
      <c r="J1180" s="8" t="str">
        <f aca="false">IF(OR(E1180="",F1180=""),"",E1180*F1180)</f>
        <v/>
      </c>
      <c r="K1180" s="22" t="str">
        <f aca="false">IF($M1180="","",INDEX('Программа тренировок'!$G$6:$G$25,$M1180))</f>
        <v/>
      </c>
      <c r="L1180" s="23" t="str">
        <f aca="false">IF(OR($M1180="",$F1180="",$G1180=""),"",IF($H1180="Разминка","Разминка",IF($F1180&lt;INDEX('Программа тренировок'!$E$6:$E$25,$M1180),"Ниже диапазона",IF(AND($F1180&gt;=INDEX('Программа тренировок'!$F$6:$F$25,$M1180),$G1180&gt;=INDEX('Программа тренировок'!$L$6:$L$25,$M1180)),"Верх диапазона: пора добавлять вес",IF($G1180&lt;INDEX('Программа тренировок'!$L$6:$L$25,$M1180),"RIR ниже цели","В диапазоне")))))</f>
        <v/>
      </c>
      <c r="M1180" s="23" t="str">
        <f aca="false">IF($C1180="","",IFERROR(MATCH($C1180,'Программа тренировок'!$C$6:$C$25,0),""))</f>
        <v/>
      </c>
    </row>
    <row r="1181" customFormat="false" ht="15" hidden="false" customHeight="true" outlineLevel="0" collapsed="false">
      <c r="A1181" s="20"/>
      <c r="B1181" s="21"/>
      <c r="C1181" s="19"/>
      <c r="D1181" s="18"/>
      <c r="E1181" s="17"/>
      <c r="F1181" s="18"/>
      <c r="G1181" s="18"/>
      <c r="H1181" s="21"/>
      <c r="I1181" s="19"/>
      <c r="J1181" s="8" t="str">
        <f aca="false">IF(OR(E1181="",F1181=""),"",E1181*F1181)</f>
        <v/>
      </c>
      <c r="K1181" s="22" t="str">
        <f aca="false">IF($M1181="","",INDEX('Программа тренировок'!$G$6:$G$25,$M1181))</f>
        <v/>
      </c>
      <c r="L1181" s="23" t="str">
        <f aca="false">IF(OR($M1181="",$F1181="",$G1181=""),"",IF($H1181="Разминка","Разминка",IF($F1181&lt;INDEX('Программа тренировок'!$E$6:$E$25,$M1181),"Ниже диапазона",IF(AND($F1181&gt;=INDEX('Программа тренировок'!$F$6:$F$25,$M1181),$G1181&gt;=INDEX('Программа тренировок'!$L$6:$L$25,$M1181)),"Верх диапазона: пора добавлять вес",IF($G1181&lt;INDEX('Программа тренировок'!$L$6:$L$25,$M1181),"RIR ниже цели","В диапазоне")))))</f>
        <v/>
      </c>
      <c r="M1181" s="23" t="str">
        <f aca="false">IF($C1181="","",IFERROR(MATCH($C1181,'Программа тренировок'!$C$6:$C$25,0),""))</f>
        <v/>
      </c>
    </row>
    <row r="1182" customFormat="false" ht="15" hidden="false" customHeight="true" outlineLevel="0" collapsed="false">
      <c r="A1182" s="20"/>
      <c r="B1182" s="21"/>
      <c r="C1182" s="19"/>
      <c r="D1182" s="18"/>
      <c r="E1182" s="17"/>
      <c r="F1182" s="18"/>
      <c r="G1182" s="18"/>
      <c r="H1182" s="21"/>
      <c r="I1182" s="19"/>
      <c r="J1182" s="8" t="str">
        <f aca="false">IF(OR(E1182="",F1182=""),"",E1182*F1182)</f>
        <v/>
      </c>
      <c r="K1182" s="22" t="str">
        <f aca="false">IF($M1182="","",INDEX('Программа тренировок'!$G$6:$G$25,$M1182))</f>
        <v/>
      </c>
      <c r="L1182" s="23" t="str">
        <f aca="false">IF(OR($M1182="",$F1182="",$G1182=""),"",IF($H1182="Разминка","Разминка",IF($F1182&lt;INDEX('Программа тренировок'!$E$6:$E$25,$M1182),"Ниже диапазона",IF(AND($F1182&gt;=INDEX('Программа тренировок'!$F$6:$F$25,$M1182),$G1182&gt;=INDEX('Программа тренировок'!$L$6:$L$25,$M1182)),"Верх диапазона: пора добавлять вес",IF($G1182&lt;INDEX('Программа тренировок'!$L$6:$L$25,$M1182),"RIR ниже цели","В диапазоне")))))</f>
        <v/>
      </c>
      <c r="M1182" s="23" t="str">
        <f aca="false">IF($C1182="","",IFERROR(MATCH($C1182,'Программа тренировок'!$C$6:$C$25,0),""))</f>
        <v/>
      </c>
    </row>
    <row r="1183" customFormat="false" ht="15" hidden="false" customHeight="true" outlineLevel="0" collapsed="false">
      <c r="A1183" s="20"/>
      <c r="B1183" s="21"/>
      <c r="C1183" s="19"/>
      <c r="D1183" s="18"/>
      <c r="E1183" s="17"/>
      <c r="F1183" s="18"/>
      <c r="G1183" s="18"/>
      <c r="H1183" s="21"/>
      <c r="I1183" s="19"/>
      <c r="J1183" s="8" t="str">
        <f aca="false">IF(OR(E1183="",F1183=""),"",E1183*F1183)</f>
        <v/>
      </c>
      <c r="K1183" s="22" t="str">
        <f aca="false">IF($M1183="","",INDEX('Программа тренировок'!$G$6:$G$25,$M1183))</f>
        <v/>
      </c>
      <c r="L1183" s="23" t="str">
        <f aca="false">IF(OR($M1183="",$F1183="",$G1183=""),"",IF($H1183="Разминка","Разминка",IF($F1183&lt;INDEX('Программа тренировок'!$E$6:$E$25,$M1183),"Ниже диапазона",IF(AND($F1183&gt;=INDEX('Программа тренировок'!$F$6:$F$25,$M1183),$G1183&gt;=INDEX('Программа тренировок'!$L$6:$L$25,$M1183)),"Верх диапазона: пора добавлять вес",IF($G1183&lt;INDEX('Программа тренировок'!$L$6:$L$25,$M1183),"RIR ниже цели","В диапазоне")))))</f>
        <v/>
      </c>
      <c r="M1183" s="23" t="str">
        <f aca="false">IF($C1183="","",IFERROR(MATCH($C1183,'Программа тренировок'!$C$6:$C$25,0),""))</f>
        <v/>
      </c>
    </row>
    <row r="1184" customFormat="false" ht="15" hidden="false" customHeight="true" outlineLevel="0" collapsed="false">
      <c r="A1184" s="20"/>
      <c r="B1184" s="21"/>
      <c r="C1184" s="19"/>
      <c r="D1184" s="18"/>
      <c r="E1184" s="17"/>
      <c r="F1184" s="18"/>
      <c r="G1184" s="18"/>
      <c r="H1184" s="21"/>
      <c r="I1184" s="19"/>
      <c r="J1184" s="8" t="str">
        <f aca="false">IF(OR(E1184="",F1184=""),"",E1184*F1184)</f>
        <v/>
      </c>
      <c r="K1184" s="22" t="str">
        <f aca="false">IF($M1184="","",INDEX('Программа тренировок'!$G$6:$G$25,$M1184))</f>
        <v/>
      </c>
      <c r="L1184" s="23" t="str">
        <f aca="false">IF(OR($M1184="",$F1184="",$G1184=""),"",IF($H1184="Разминка","Разминка",IF($F1184&lt;INDEX('Программа тренировок'!$E$6:$E$25,$M1184),"Ниже диапазона",IF(AND($F1184&gt;=INDEX('Программа тренировок'!$F$6:$F$25,$M1184),$G1184&gt;=INDEX('Программа тренировок'!$L$6:$L$25,$M1184)),"Верх диапазона: пора добавлять вес",IF($G1184&lt;INDEX('Программа тренировок'!$L$6:$L$25,$M1184),"RIR ниже цели","В диапазоне")))))</f>
        <v/>
      </c>
      <c r="M1184" s="23" t="str">
        <f aca="false">IF($C1184="","",IFERROR(MATCH($C1184,'Программа тренировок'!$C$6:$C$25,0),""))</f>
        <v/>
      </c>
    </row>
    <row r="1185" customFormat="false" ht="15" hidden="false" customHeight="true" outlineLevel="0" collapsed="false">
      <c r="A1185" s="20"/>
      <c r="B1185" s="21"/>
      <c r="C1185" s="19"/>
      <c r="D1185" s="18"/>
      <c r="E1185" s="17"/>
      <c r="F1185" s="18"/>
      <c r="G1185" s="18"/>
      <c r="H1185" s="21"/>
      <c r="I1185" s="19"/>
      <c r="J1185" s="8" t="str">
        <f aca="false">IF(OR(E1185="",F1185=""),"",E1185*F1185)</f>
        <v/>
      </c>
      <c r="K1185" s="22" t="str">
        <f aca="false">IF($M1185="","",INDEX('Программа тренировок'!$G$6:$G$25,$M1185))</f>
        <v/>
      </c>
      <c r="L1185" s="23" t="str">
        <f aca="false">IF(OR($M1185="",$F1185="",$G1185=""),"",IF($H1185="Разминка","Разминка",IF($F1185&lt;INDEX('Программа тренировок'!$E$6:$E$25,$M1185),"Ниже диапазона",IF(AND($F1185&gt;=INDEX('Программа тренировок'!$F$6:$F$25,$M1185),$G1185&gt;=INDEX('Программа тренировок'!$L$6:$L$25,$M1185)),"Верх диапазона: пора добавлять вес",IF($G1185&lt;INDEX('Программа тренировок'!$L$6:$L$25,$M1185),"RIR ниже цели","В диапазоне")))))</f>
        <v/>
      </c>
      <c r="M1185" s="23" t="str">
        <f aca="false">IF($C1185="","",IFERROR(MATCH($C1185,'Программа тренировок'!$C$6:$C$25,0),""))</f>
        <v/>
      </c>
    </row>
    <row r="1186" customFormat="false" ht="15" hidden="false" customHeight="true" outlineLevel="0" collapsed="false">
      <c r="A1186" s="20"/>
      <c r="B1186" s="21"/>
      <c r="C1186" s="19"/>
      <c r="D1186" s="18"/>
      <c r="E1186" s="17"/>
      <c r="F1186" s="18"/>
      <c r="G1186" s="18"/>
      <c r="H1186" s="21"/>
      <c r="I1186" s="19"/>
      <c r="J1186" s="8" t="str">
        <f aca="false">IF(OR(E1186="",F1186=""),"",E1186*F1186)</f>
        <v/>
      </c>
      <c r="K1186" s="22" t="str">
        <f aca="false">IF($M1186="","",INDEX('Программа тренировок'!$G$6:$G$25,$M1186))</f>
        <v/>
      </c>
      <c r="L1186" s="23" t="str">
        <f aca="false">IF(OR($M1186="",$F1186="",$G1186=""),"",IF($H1186="Разминка","Разминка",IF($F1186&lt;INDEX('Программа тренировок'!$E$6:$E$25,$M1186),"Ниже диапазона",IF(AND($F1186&gt;=INDEX('Программа тренировок'!$F$6:$F$25,$M1186),$G1186&gt;=INDEX('Программа тренировок'!$L$6:$L$25,$M1186)),"Верх диапазона: пора добавлять вес",IF($G1186&lt;INDEX('Программа тренировок'!$L$6:$L$25,$M1186),"RIR ниже цели","В диапазоне")))))</f>
        <v/>
      </c>
      <c r="M1186" s="23" t="str">
        <f aca="false">IF($C1186="","",IFERROR(MATCH($C1186,'Программа тренировок'!$C$6:$C$25,0),""))</f>
        <v/>
      </c>
    </row>
    <row r="1187" customFormat="false" ht="15" hidden="false" customHeight="true" outlineLevel="0" collapsed="false">
      <c r="A1187" s="20"/>
      <c r="B1187" s="21"/>
      <c r="C1187" s="19"/>
      <c r="D1187" s="18"/>
      <c r="E1187" s="17"/>
      <c r="F1187" s="18"/>
      <c r="G1187" s="18"/>
      <c r="H1187" s="21"/>
      <c r="I1187" s="19"/>
      <c r="J1187" s="8" t="str">
        <f aca="false">IF(OR(E1187="",F1187=""),"",E1187*F1187)</f>
        <v/>
      </c>
      <c r="K1187" s="22" t="str">
        <f aca="false">IF($M1187="","",INDEX('Программа тренировок'!$G$6:$G$25,$M1187))</f>
        <v/>
      </c>
      <c r="L1187" s="23" t="str">
        <f aca="false">IF(OR($M1187="",$F1187="",$G1187=""),"",IF($H1187="Разминка","Разминка",IF($F1187&lt;INDEX('Программа тренировок'!$E$6:$E$25,$M1187),"Ниже диапазона",IF(AND($F1187&gt;=INDEX('Программа тренировок'!$F$6:$F$25,$M1187),$G1187&gt;=INDEX('Программа тренировок'!$L$6:$L$25,$M1187)),"Верх диапазона: пора добавлять вес",IF($G1187&lt;INDEX('Программа тренировок'!$L$6:$L$25,$M1187),"RIR ниже цели","В диапазоне")))))</f>
        <v/>
      </c>
      <c r="M1187" s="23" t="str">
        <f aca="false">IF($C1187="","",IFERROR(MATCH($C1187,'Программа тренировок'!$C$6:$C$25,0),""))</f>
        <v/>
      </c>
    </row>
    <row r="1188" customFormat="false" ht="15" hidden="false" customHeight="true" outlineLevel="0" collapsed="false">
      <c r="A1188" s="20"/>
      <c r="B1188" s="21"/>
      <c r="C1188" s="19"/>
      <c r="D1188" s="18"/>
      <c r="E1188" s="17"/>
      <c r="F1188" s="18"/>
      <c r="G1188" s="18"/>
      <c r="H1188" s="21"/>
      <c r="I1188" s="19"/>
      <c r="J1188" s="8" t="str">
        <f aca="false">IF(OR(E1188="",F1188=""),"",E1188*F1188)</f>
        <v/>
      </c>
      <c r="K1188" s="22" t="str">
        <f aca="false">IF($M1188="","",INDEX('Программа тренировок'!$G$6:$G$25,$M1188))</f>
        <v/>
      </c>
      <c r="L1188" s="23" t="str">
        <f aca="false">IF(OR($M1188="",$F1188="",$G1188=""),"",IF($H1188="Разминка","Разминка",IF($F1188&lt;INDEX('Программа тренировок'!$E$6:$E$25,$M1188),"Ниже диапазона",IF(AND($F1188&gt;=INDEX('Программа тренировок'!$F$6:$F$25,$M1188),$G1188&gt;=INDEX('Программа тренировок'!$L$6:$L$25,$M1188)),"Верх диапазона: пора добавлять вес",IF($G1188&lt;INDEX('Программа тренировок'!$L$6:$L$25,$M1188),"RIR ниже цели","В диапазоне")))))</f>
        <v/>
      </c>
      <c r="M1188" s="23" t="str">
        <f aca="false">IF($C1188="","",IFERROR(MATCH($C1188,'Программа тренировок'!$C$6:$C$25,0),""))</f>
        <v/>
      </c>
    </row>
    <row r="1189" customFormat="false" ht="15" hidden="false" customHeight="true" outlineLevel="0" collapsed="false">
      <c r="A1189" s="20"/>
      <c r="B1189" s="21"/>
      <c r="C1189" s="19"/>
      <c r="D1189" s="18"/>
      <c r="E1189" s="17"/>
      <c r="F1189" s="18"/>
      <c r="G1189" s="18"/>
      <c r="H1189" s="21"/>
      <c r="I1189" s="19"/>
      <c r="J1189" s="8" t="str">
        <f aca="false">IF(OR(E1189="",F1189=""),"",E1189*F1189)</f>
        <v/>
      </c>
      <c r="K1189" s="22" t="str">
        <f aca="false">IF($M1189="","",INDEX('Программа тренировок'!$G$6:$G$25,$M1189))</f>
        <v/>
      </c>
      <c r="L1189" s="23" t="str">
        <f aca="false">IF(OR($M1189="",$F1189="",$G1189=""),"",IF($H1189="Разминка","Разминка",IF($F1189&lt;INDEX('Программа тренировок'!$E$6:$E$25,$M1189),"Ниже диапазона",IF(AND($F1189&gt;=INDEX('Программа тренировок'!$F$6:$F$25,$M1189),$G1189&gt;=INDEX('Программа тренировок'!$L$6:$L$25,$M1189)),"Верх диапазона: пора добавлять вес",IF($G1189&lt;INDEX('Программа тренировок'!$L$6:$L$25,$M1189),"RIR ниже цели","В диапазоне")))))</f>
        <v/>
      </c>
      <c r="M1189" s="23" t="str">
        <f aca="false">IF($C1189="","",IFERROR(MATCH($C1189,'Программа тренировок'!$C$6:$C$25,0),""))</f>
        <v/>
      </c>
    </row>
    <row r="1190" customFormat="false" ht="15" hidden="false" customHeight="true" outlineLevel="0" collapsed="false">
      <c r="A1190" s="20"/>
      <c r="B1190" s="21"/>
      <c r="C1190" s="19"/>
      <c r="D1190" s="18"/>
      <c r="E1190" s="17"/>
      <c r="F1190" s="18"/>
      <c r="G1190" s="18"/>
      <c r="H1190" s="21"/>
      <c r="I1190" s="19"/>
      <c r="J1190" s="8" t="str">
        <f aca="false">IF(OR(E1190="",F1190=""),"",E1190*F1190)</f>
        <v/>
      </c>
      <c r="K1190" s="22" t="str">
        <f aca="false">IF($M1190="","",INDEX('Программа тренировок'!$G$6:$G$25,$M1190))</f>
        <v/>
      </c>
      <c r="L1190" s="23" t="str">
        <f aca="false">IF(OR($M1190="",$F1190="",$G1190=""),"",IF($H1190="Разминка","Разминка",IF($F1190&lt;INDEX('Программа тренировок'!$E$6:$E$25,$M1190),"Ниже диапазона",IF(AND($F1190&gt;=INDEX('Программа тренировок'!$F$6:$F$25,$M1190),$G1190&gt;=INDEX('Программа тренировок'!$L$6:$L$25,$M1190)),"Верх диапазона: пора добавлять вес",IF($G1190&lt;INDEX('Программа тренировок'!$L$6:$L$25,$M1190),"RIR ниже цели","В диапазоне")))))</f>
        <v/>
      </c>
      <c r="M1190" s="23" t="str">
        <f aca="false">IF($C1190="","",IFERROR(MATCH($C1190,'Программа тренировок'!$C$6:$C$25,0),""))</f>
        <v/>
      </c>
    </row>
    <row r="1191" customFormat="false" ht="15" hidden="false" customHeight="true" outlineLevel="0" collapsed="false">
      <c r="A1191" s="20"/>
      <c r="B1191" s="21"/>
      <c r="C1191" s="19"/>
      <c r="D1191" s="18"/>
      <c r="E1191" s="17"/>
      <c r="F1191" s="18"/>
      <c r="G1191" s="18"/>
      <c r="H1191" s="21"/>
      <c r="I1191" s="19"/>
      <c r="J1191" s="8" t="str">
        <f aca="false">IF(OR(E1191="",F1191=""),"",E1191*F1191)</f>
        <v/>
      </c>
      <c r="K1191" s="22" t="str">
        <f aca="false">IF($M1191="","",INDEX('Программа тренировок'!$G$6:$G$25,$M1191))</f>
        <v/>
      </c>
      <c r="L1191" s="23" t="str">
        <f aca="false">IF(OR($M1191="",$F1191="",$G1191=""),"",IF($H1191="Разминка","Разминка",IF($F1191&lt;INDEX('Программа тренировок'!$E$6:$E$25,$M1191),"Ниже диапазона",IF(AND($F1191&gt;=INDEX('Программа тренировок'!$F$6:$F$25,$M1191),$G1191&gt;=INDEX('Программа тренировок'!$L$6:$L$25,$M1191)),"Верх диапазона: пора добавлять вес",IF($G1191&lt;INDEX('Программа тренировок'!$L$6:$L$25,$M1191),"RIR ниже цели","В диапазоне")))))</f>
        <v/>
      </c>
      <c r="M1191" s="23" t="str">
        <f aca="false">IF($C1191="","",IFERROR(MATCH($C1191,'Программа тренировок'!$C$6:$C$25,0),""))</f>
        <v/>
      </c>
    </row>
    <row r="1192" customFormat="false" ht="15" hidden="false" customHeight="true" outlineLevel="0" collapsed="false">
      <c r="A1192" s="20"/>
      <c r="B1192" s="21"/>
      <c r="C1192" s="19"/>
      <c r="D1192" s="18"/>
      <c r="E1192" s="17"/>
      <c r="F1192" s="18"/>
      <c r="G1192" s="18"/>
      <c r="H1192" s="21"/>
      <c r="I1192" s="19"/>
      <c r="J1192" s="8" t="str">
        <f aca="false">IF(OR(E1192="",F1192=""),"",E1192*F1192)</f>
        <v/>
      </c>
      <c r="K1192" s="22" t="str">
        <f aca="false">IF($M1192="","",INDEX('Программа тренировок'!$G$6:$G$25,$M1192))</f>
        <v/>
      </c>
      <c r="L1192" s="23" t="str">
        <f aca="false">IF(OR($M1192="",$F1192="",$G1192=""),"",IF($H1192="Разминка","Разминка",IF($F1192&lt;INDEX('Программа тренировок'!$E$6:$E$25,$M1192),"Ниже диапазона",IF(AND($F1192&gt;=INDEX('Программа тренировок'!$F$6:$F$25,$M1192),$G1192&gt;=INDEX('Программа тренировок'!$L$6:$L$25,$M1192)),"Верх диапазона: пора добавлять вес",IF($G1192&lt;INDEX('Программа тренировок'!$L$6:$L$25,$M1192),"RIR ниже цели","В диапазоне")))))</f>
        <v/>
      </c>
      <c r="M1192" s="23" t="str">
        <f aca="false">IF($C1192="","",IFERROR(MATCH($C1192,'Программа тренировок'!$C$6:$C$25,0),""))</f>
        <v/>
      </c>
    </row>
    <row r="1193" customFormat="false" ht="15" hidden="false" customHeight="true" outlineLevel="0" collapsed="false">
      <c r="A1193" s="20"/>
      <c r="B1193" s="21"/>
      <c r="C1193" s="19"/>
      <c r="D1193" s="18"/>
      <c r="E1193" s="17"/>
      <c r="F1193" s="18"/>
      <c r="G1193" s="18"/>
      <c r="H1193" s="21"/>
      <c r="I1193" s="19"/>
      <c r="J1193" s="8" t="str">
        <f aca="false">IF(OR(E1193="",F1193=""),"",E1193*F1193)</f>
        <v/>
      </c>
      <c r="K1193" s="22" t="str">
        <f aca="false">IF($M1193="","",INDEX('Программа тренировок'!$G$6:$G$25,$M1193))</f>
        <v/>
      </c>
      <c r="L1193" s="23" t="str">
        <f aca="false">IF(OR($M1193="",$F1193="",$G1193=""),"",IF($H1193="Разминка","Разминка",IF($F1193&lt;INDEX('Программа тренировок'!$E$6:$E$25,$M1193),"Ниже диапазона",IF(AND($F1193&gt;=INDEX('Программа тренировок'!$F$6:$F$25,$M1193),$G1193&gt;=INDEX('Программа тренировок'!$L$6:$L$25,$M1193)),"Верх диапазона: пора добавлять вес",IF($G1193&lt;INDEX('Программа тренировок'!$L$6:$L$25,$M1193),"RIR ниже цели","В диапазоне")))))</f>
        <v/>
      </c>
      <c r="M1193" s="23" t="str">
        <f aca="false">IF($C1193="","",IFERROR(MATCH($C1193,'Программа тренировок'!$C$6:$C$25,0),""))</f>
        <v/>
      </c>
    </row>
    <row r="1194" customFormat="false" ht="15" hidden="false" customHeight="true" outlineLevel="0" collapsed="false">
      <c r="A1194" s="20"/>
      <c r="B1194" s="21"/>
      <c r="C1194" s="19"/>
      <c r="D1194" s="18"/>
      <c r="E1194" s="17"/>
      <c r="F1194" s="18"/>
      <c r="G1194" s="18"/>
      <c r="H1194" s="21"/>
      <c r="I1194" s="19"/>
      <c r="J1194" s="8" t="str">
        <f aca="false">IF(OR(E1194="",F1194=""),"",E1194*F1194)</f>
        <v/>
      </c>
      <c r="K1194" s="22" t="str">
        <f aca="false">IF($M1194="","",INDEX('Программа тренировок'!$G$6:$G$25,$M1194))</f>
        <v/>
      </c>
      <c r="L1194" s="23" t="str">
        <f aca="false">IF(OR($M1194="",$F1194="",$G1194=""),"",IF($H1194="Разминка","Разминка",IF($F1194&lt;INDEX('Программа тренировок'!$E$6:$E$25,$M1194),"Ниже диапазона",IF(AND($F1194&gt;=INDEX('Программа тренировок'!$F$6:$F$25,$M1194),$G1194&gt;=INDEX('Программа тренировок'!$L$6:$L$25,$M1194)),"Верх диапазона: пора добавлять вес",IF($G1194&lt;INDEX('Программа тренировок'!$L$6:$L$25,$M1194),"RIR ниже цели","В диапазоне")))))</f>
        <v/>
      </c>
      <c r="M1194" s="23" t="str">
        <f aca="false">IF($C1194="","",IFERROR(MATCH($C1194,'Программа тренировок'!$C$6:$C$25,0),""))</f>
        <v/>
      </c>
    </row>
    <row r="1195" customFormat="false" ht="15" hidden="false" customHeight="true" outlineLevel="0" collapsed="false">
      <c r="A1195" s="20"/>
      <c r="B1195" s="21"/>
      <c r="C1195" s="19"/>
      <c r="D1195" s="18"/>
      <c r="E1195" s="17"/>
      <c r="F1195" s="18"/>
      <c r="G1195" s="18"/>
      <c r="H1195" s="21"/>
      <c r="I1195" s="19"/>
      <c r="J1195" s="8" t="str">
        <f aca="false">IF(OR(E1195="",F1195=""),"",E1195*F1195)</f>
        <v/>
      </c>
      <c r="K1195" s="22" t="str">
        <f aca="false">IF($M1195="","",INDEX('Программа тренировок'!$G$6:$G$25,$M1195))</f>
        <v/>
      </c>
      <c r="L1195" s="23" t="str">
        <f aca="false">IF(OR($M1195="",$F1195="",$G1195=""),"",IF($H1195="Разминка","Разминка",IF($F1195&lt;INDEX('Программа тренировок'!$E$6:$E$25,$M1195),"Ниже диапазона",IF(AND($F1195&gt;=INDEX('Программа тренировок'!$F$6:$F$25,$M1195),$G1195&gt;=INDEX('Программа тренировок'!$L$6:$L$25,$M1195)),"Верх диапазона: пора добавлять вес",IF($G1195&lt;INDEX('Программа тренировок'!$L$6:$L$25,$M1195),"RIR ниже цели","В диапазоне")))))</f>
        <v/>
      </c>
      <c r="M1195" s="23" t="str">
        <f aca="false">IF($C1195="","",IFERROR(MATCH($C1195,'Программа тренировок'!$C$6:$C$25,0),""))</f>
        <v/>
      </c>
    </row>
    <row r="1196" customFormat="false" ht="15" hidden="false" customHeight="true" outlineLevel="0" collapsed="false">
      <c r="A1196" s="20"/>
      <c r="B1196" s="21"/>
      <c r="C1196" s="19"/>
      <c r="D1196" s="18"/>
      <c r="E1196" s="17"/>
      <c r="F1196" s="18"/>
      <c r="G1196" s="18"/>
      <c r="H1196" s="21"/>
      <c r="I1196" s="19"/>
      <c r="J1196" s="8" t="str">
        <f aca="false">IF(OR(E1196="",F1196=""),"",E1196*F1196)</f>
        <v/>
      </c>
      <c r="K1196" s="22" t="str">
        <f aca="false">IF($M1196="","",INDEX('Программа тренировок'!$G$6:$G$25,$M1196))</f>
        <v/>
      </c>
      <c r="L1196" s="23" t="str">
        <f aca="false">IF(OR($M1196="",$F1196="",$G1196=""),"",IF($H1196="Разминка","Разминка",IF($F1196&lt;INDEX('Программа тренировок'!$E$6:$E$25,$M1196),"Ниже диапазона",IF(AND($F1196&gt;=INDEX('Программа тренировок'!$F$6:$F$25,$M1196),$G1196&gt;=INDEX('Программа тренировок'!$L$6:$L$25,$M1196)),"Верх диапазона: пора добавлять вес",IF($G1196&lt;INDEX('Программа тренировок'!$L$6:$L$25,$M1196),"RIR ниже цели","В диапазоне")))))</f>
        <v/>
      </c>
      <c r="M1196" s="23" t="str">
        <f aca="false">IF($C1196="","",IFERROR(MATCH($C1196,'Программа тренировок'!$C$6:$C$25,0),""))</f>
        <v/>
      </c>
    </row>
    <row r="1197" customFormat="false" ht="15" hidden="false" customHeight="true" outlineLevel="0" collapsed="false">
      <c r="A1197" s="20"/>
      <c r="B1197" s="21"/>
      <c r="C1197" s="19"/>
      <c r="D1197" s="18"/>
      <c r="E1197" s="17"/>
      <c r="F1197" s="18"/>
      <c r="G1197" s="18"/>
      <c r="H1197" s="21"/>
      <c r="I1197" s="19"/>
      <c r="J1197" s="8" t="str">
        <f aca="false">IF(OR(E1197="",F1197=""),"",E1197*F1197)</f>
        <v/>
      </c>
      <c r="K1197" s="22" t="str">
        <f aca="false">IF($M1197="","",INDEX('Программа тренировок'!$G$6:$G$25,$M1197))</f>
        <v/>
      </c>
      <c r="L1197" s="23" t="str">
        <f aca="false">IF(OR($M1197="",$F1197="",$G1197=""),"",IF($H1197="Разминка","Разминка",IF($F1197&lt;INDEX('Программа тренировок'!$E$6:$E$25,$M1197),"Ниже диапазона",IF(AND($F1197&gt;=INDEX('Программа тренировок'!$F$6:$F$25,$M1197),$G1197&gt;=INDEX('Программа тренировок'!$L$6:$L$25,$M1197)),"Верх диапазона: пора добавлять вес",IF($G1197&lt;INDEX('Программа тренировок'!$L$6:$L$25,$M1197),"RIR ниже цели","В диапазоне")))))</f>
        <v/>
      </c>
      <c r="M1197" s="23" t="str">
        <f aca="false">IF($C1197="","",IFERROR(MATCH($C1197,'Программа тренировок'!$C$6:$C$25,0),""))</f>
        <v/>
      </c>
    </row>
    <row r="1198" customFormat="false" ht="15" hidden="false" customHeight="true" outlineLevel="0" collapsed="false">
      <c r="A1198" s="20"/>
      <c r="B1198" s="21"/>
      <c r="C1198" s="19"/>
      <c r="D1198" s="18"/>
      <c r="E1198" s="17"/>
      <c r="F1198" s="18"/>
      <c r="G1198" s="18"/>
      <c r="H1198" s="21"/>
      <c r="I1198" s="19"/>
      <c r="J1198" s="8" t="str">
        <f aca="false">IF(OR(E1198="",F1198=""),"",E1198*F1198)</f>
        <v/>
      </c>
      <c r="K1198" s="22" t="str">
        <f aca="false">IF($M1198="","",INDEX('Программа тренировок'!$G$6:$G$25,$M1198))</f>
        <v/>
      </c>
      <c r="L1198" s="23" t="str">
        <f aca="false">IF(OR($M1198="",$F1198="",$G1198=""),"",IF($H1198="Разминка","Разминка",IF($F1198&lt;INDEX('Программа тренировок'!$E$6:$E$25,$M1198),"Ниже диапазона",IF(AND($F1198&gt;=INDEX('Программа тренировок'!$F$6:$F$25,$M1198),$G1198&gt;=INDEX('Программа тренировок'!$L$6:$L$25,$M1198)),"Верх диапазона: пора добавлять вес",IF($G1198&lt;INDEX('Программа тренировок'!$L$6:$L$25,$M1198),"RIR ниже цели","В диапазоне")))))</f>
        <v/>
      </c>
      <c r="M1198" s="23" t="str">
        <f aca="false">IF($C1198="","",IFERROR(MATCH($C1198,'Программа тренировок'!$C$6:$C$25,0),""))</f>
        <v/>
      </c>
    </row>
    <row r="1199" customFormat="false" ht="15" hidden="false" customHeight="true" outlineLevel="0" collapsed="false">
      <c r="A1199" s="20"/>
      <c r="B1199" s="21"/>
      <c r="C1199" s="19"/>
      <c r="D1199" s="18"/>
      <c r="E1199" s="17"/>
      <c r="F1199" s="18"/>
      <c r="G1199" s="18"/>
      <c r="H1199" s="21"/>
      <c r="I1199" s="19"/>
      <c r="J1199" s="8" t="str">
        <f aca="false">IF(OR(E1199="",F1199=""),"",E1199*F1199)</f>
        <v/>
      </c>
      <c r="K1199" s="22" t="str">
        <f aca="false">IF($M1199="","",INDEX('Программа тренировок'!$G$6:$G$25,$M1199))</f>
        <v/>
      </c>
      <c r="L1199" s="23" t="str">
        <f aca="false">IF(OR($M1199="",$F1199="",$G1199=""),"",IF($H1199="Разминка","Разминка",IF($F1199&lt;INDEX('Программа тренировок'!$E$6:$E$25,$M1199),"Ниже диапазона",IF(AND($F1199&gt;=INDEX('Программа тренировок'!$F$6:$F$25,$M1199),$G1199&gt;=INDEX('Программа тренировок'!$L$6:$L$25,$M1199)),"Верх диапазона: пора добавлять вес",IF($G1199&lt;INDEX('Программа тренировок'!$L$6:$L$25,$M1199),"RIR ниже цели","В диапазоне")))))</f>
        <v/>
      </c>
      <c r="M1199" s="23" t="str">
        <f aca="false">IF($C1199="","",IFERROR(MATCH($C1199,'Программа тренировок'!$C$6:$C$25,0),""))</f>
        <v/>
      </c>
    </row>
    <row r="1200" customFormat="false" ht="15" hidden="false" customHeight="true" outlineLevel="0" collapsed="false">
      <c r="A1200" s="20"/>
      <c r="B1200" s="21"/>
      <c r="C1200" s="19"/>
      <c r="D1200" s="18"/>
      <c r="E1200" s="17"/>
      <c r="F1200" s="18"/>
      <c r="G1200" s="18"/>
      <c r="H1200" s="21"/>
      <c r="I1200" s="19"/>
      <c r="J1200" s="8" t="str">
        <f aca="false">IF(OR(E1200="",F1200=""),"",E1200*F1200)</f>
        <v/>
      </c>
      <c r="K1200" s="22" t="str">
        <f aca="false">IF($M1200="","",INDEX('Программа тренировок'!$G$6:$G$25,$M1200))</f>
        <v/>
      </c>
      <c r="L1200" s="23" t="str">
        <f aca="false">IF(OR($M1200="",$F1200="",$G1200=""),"",IF($H1200="Разминка","Разминка",IF($F1200&lt;INDEX('Программа тренировок'!$E$6:$E$25,$M1200),"Ниже диапазона",IF(AND($F1200&gt;=INDEX('Программа тренировок'!$F$6:$F$25,$M1200),$G1200&gt;=INDEX('Программа тренировок'!$L$6:$L$25,$M1200)),"Верх диапазона: пора добавлять вес",IF($G1200&lt;INDEX('Программа тренировок'!$L$6:$L$25,$M1200),"RIR ниже цели","В диапазоне")))))</f>
        <v/>
      </c>
      <c r="M1200" s="23" t="str">
        <f aca="false">IF($C1200="","",IFERROR(MATCH($C1200,'Программа тренировок'!$C$6:$C$25,0),""))</f>
        <v/>
      </c>
    </row>
    <row r="1201" customFormat="false" ht="15" hidden="false" customHeight="true" outlineLevel="0" collapsed="false">
      <c r="A1201" s="20"/>
      <c r="B1201" s="21"/>
      <c r="C1201" s="19"/>
      <c r="D1201" s="18"/>
      <c r="E1201" s="17"/>
      <c r="F1201" s="18"/>
      <c r="G1201" s="18"/>
      <c r="H1201" s="21"/>
      <c r="I1201" s="19"/>
      <c r="J1201" s="8" t="str">
        <f aca="false">IF(OR(E1201="",F1201=""),"",E1201*F1201)</f>
        <v/>
      </c>
      <c r="K1201" s="22" t="str">
        <f aca="false">IF($M1201="","",INDEX('Программа тренировок'!$G$6:$G$25,$M1201))</f>
        <v/>
      </c>
      <c r="L1201" s="23" t="str">
        <f aca="false">IF(OR($M1201="",$F1201="",$G1201=""),"",IF($H1201="Разминка","Разминка",IF($F1201&lt;INDEX('Программа тренировок'!$E$6:$E$25,$M1201),"Ниже диапазона",IF(AND($F1201&gt;=INDEX('Программа тренировок'!$F$6:$F$25,$M1201),$G1201&gt;=INDEX('Программа тренировок'!$L$6:$L$25,$M1201)),"Верх диапазона: пора добавлять вес",IF($G1201&lt;INDEX('Программа тренировок'!$L$6:$L$25,$M1201),"RIR ниже цели","В диапазоне")))))</f>
        <v/>
      </c>
      <c r="M1201" s="23" t="str">
        <f aca="false">IF($C1201="","",IFERROR(MATCH($C1201,'Программа тренировок'!$C$6:$C$25,0),""))</f>
        <v/>
      </c>
    </row>
    <row r="1202" customFormat="false" ht="15" hidden="false" customHeight="true" outlineLevel="0" collapsed="false">
      <c r="A1202" s="20"/>
      <c r="B1202" s="21"/>
      <c r="C1202" s="19"/>
      <c r="D1202" s="18"/>
      <c r="E1202" s="17"/>
      <c r="F1202" s="18"/>
      <c r="G1202" s="18"/>
      <c r="H1202" s="21"/>
      <c r="I1202" s="19"/>
      <c r="J1202" s="8" t="str">
        <f aca="false">IF(OR(E1202="",F1202=""),"",E1202*F1202)</f>
        <v/>
      </c>
      <c r="K1202" s="22" t="str">
        <f aca="false">IF($M1202="","",INDEX('Программа тренировок'!$G$6:$G$25,$M1202))</f>
        <v/>
      </c>
      <c r="L1202" s="23" t="str">
        <f aca="false">IF(OR($M1202="",$F1202="",$G1202=""),"",IF($H1202="Разминка","Разминка",IF($F1202&lt;INDEX('Программа тренировок'!$E$6:$E$25,$M1202),"Ниже диапазона",IF(AND($F1202&gt;=INDEX('Программа тренировок'!$F$6:$F$25,$M1202),$G1202&gt;=INDEX('Программа тренировок'!$L$6:$L$25,$M1202)),"Верх диапазона: пора добавлять вес",IF($G1202&lt;INDEX('Программа тренировок'!$L$6:$L$25,$M1202),"RIR ниже цели","В диапазоне")))))</f>
        <v/>
      </c>
      <c r="M1202" s="23" t="str">
        <f aca="false">IF($C1202="","",IFERROR(MATCH($C1202,'Программа тренировок'!$C$6:$C$25,0),""))</f>
        <v/>
      </c>
    </row>
    <row r="1203" customFormat="false" ht="15" hidden="false" customHeight="true" outlineLevel="0" collapsed="false">
      <c r="A1203" s="20"/>
      <c r="B1203" s="21"/>
      <c r="C1203" s="19"/>
      <c r="D1203" s="18"/>
      <c r="E1203" s="17"/>
      <c r="F1203" s="18"/>
      <c r="G1203" s="18"/>
      <c r="H1203" s="21"/>
      <c r="I1203" s="19"/>
      <c r="J1203" s="8" t="str">
        <f aca="false">IF(OR(E1203="",F1203=""),"",E1203*F1203)</f>
        <v/>
      </c>
      <c r="K1203" s="22" t="str">
        <f aca="false">IF($M1203="","",INDEX('Программа тренировок'!$G$6:$G$25,$M1203))</f>
        <v/>
      </c>
      <c r="L1203" s="23" t="str">
        <f aca="false">IF(OR($M1203="",$F1203="",$G1203=""),"",IF($H1203="Разминка","Разминка",IF($F1203&lt;INDEX('Программа тренировок'!$E$6:$E$25,$M1203),"Ниже диапазона",IF(AND($F1203&gt;=INDEX('Программа тренировок'!$F$6:$F$25,$M1203),$G1203&gt;=INDEX('Программа тренировок'!$L$6:$L$25,$M1203)),"Верх диапазона: пора добавлять вес",IF($G1203&lt;INDEX('Программа тренировок'!$L$6:$L$25,$M1203),"RIR ниже цели","В диапазоне")))))</f>
        <v/>
      </c>
      <c r="M1203" s="23" t="str">
        <f aca="false">IF($C1203="","",IFERROR(MATCH($C1203,'Программа тренировок'!$C$6:$C$25,0),""))</f>
        <v/>
      </c>
    </row>
    <row r="1204" customFormat="false" ht="15" hidden="false" customHeight="true" outlineLevel="0" collapsed="false">
      <c r="A1204" s="20"/>
      <c r="B1204" s="21"/>
      <c r="C1204" s="19"/>
      <c r="D1204" s="18"/>
      <c r="E1204" s="17"/>
      <c r="F1204" s="18"/>
      <c r="G1204" s="18"/>
      <c r="H1204" s="21"/>
      <c r="I1204" s="19"/>
      <c r="J1204" s="8" t="str">
        <f aca="false">IF(OR(E1204="",F1204=""),"",E1204*F1204)</f>
        <v/>
      </c>
      <c r="K1204" s="22" t="str">
        <f aca="false">IF($M1204="","",INDEX('Программа тренировок'!$G$6:$G$25,$M1204))</f>
        <v/>
      </c>
      <c r="L1204" s="23" t="str">
        <f aca="false">IF(OR($M1204="",$F1204="",$G1204=""),"",IF($H1204="Разминка","Разминка",IF($F1204&lt;INDEX('Программа тренировок'!$E$6:$E$25,$M1204),"Ниже диапазона",IF(AND($F1204&gt;=INDEX('Программа тренировок'!$F$6:$F$25,$M1204),$G1204&gt;=INDEX('Программа тренировок'!$L$6:$L$25,$M1204)),"Верх диапазона: пора добавлять вес",IF($G1204&lt;INDEX('Программа тренировок'!$L$6:$L$25,$M1204),"RIR ниже цели","В диапазоне")))))</f>
        <v/>
      </c>
      <c r="M1204" s="23" t="str">
        <f aca="false">IF($C1204="","",IFERROR(MATCH($C1204,'Программа тренировок'!$C$6:$C$25,0),""))</f>
        <v/>
      </c>
    </row>
    <row r="1205" customFormat="false" ht="15" hidden="false" customHeight="true" outlineLevel="0" collapsed="false">
      <c r="A1205" s="20"/>
      <c r="B1205" s="21"/>
      <c r="C1205" s="19"/>
      <c r="D1205" s="18"/>
      <c r="E1205" s="17"/>
      <c r="F1205" s="18"/>
      <c r="G1205" s="18"/>
      <c r="H1205" s="21"/>
      <c r="I1205" s="19"/>
      <c r="J1205" s="8" t="str">
        <f aca="false">IF(OR(E1205="",F1205=""),"",E1205*F1205)</f>
        <v/>
      </c>
      <c r="K1205" s="22" t="str">
        <f aca="false">IF($M1205="","",INDEX('Программа тренировок'!$G$6:$G$25,$M1205))</f>
        <v/>
      </c>
      <c r="L1205" s="23" t="str">
        <f aca="false">IF(OR($M1205="",$F1205="",$G1205=""),"",IF($H1205="Разминка","Разминка",IF($F1205&lt;INDEX('Программа тренировок'!$E$6:$E$25,$M1205),"Ниже диапазона",IF(AND($F1205&gt;=INDEX('Программа тренировок'!$F$6:$F$25,$M1205),$G1205&gt;=INDEX('Программа тренировок'!$L$6:$L$25,$M1205)),"Верх диапазона: пора добавлять вес",IF($G1205&lt;INDEX('Программа тренировок'!$L$6:$L$25,$M1205),"RIR ниже цели","В диапазоне")))))</f>
        <v/>
      </c>
      <c r="M1205" s="23" t="str">
        <f aca="false">IF($C1205="","",IFERROR(MATCH($C1205,'Программа тренировок'!$C$6:$C$25,0),""))</f>
        <v/>
      </c>
    </row>
    <row r="1206" customFormat="false" ht="15" hidden="false" customHeight="true" outlineLevel="0" collapsed="false">
      <c r="A1206" s="20"/>
      <c r="B1206" s="21"/>
      <c r="C1206" s="19"/>
      <c r="D1206" s="18"/>
      <c r="E1206" s="17"/>
      <c r="F1206" s="18"/>
      <c r="G1206" s="18"/>
      <c r="H1206" s="21"/>
      <c r="I1206" s="19"/>
      <c r="J1206" s="8" t="str">
        <f aca="false">IF(OR(E1206="",F1206=""),"",E1206*F1206)</f>
        <v/>
      </c>
      <c r="K1206" s="22" t="str">
        <f aca="false">IF($M1206="","",INDEX('Программа тренировок'!$G$6:$G$25,$M1206))</f>
        <v/>
      </c>
      <c r="L1206" s="23" t="str">
        <f aca="false">IF(OR($M1206="",$F1206="",$G1206=""),"",IF($H1206="Разминка","Разминка",IF($F1206&lt;INDEX('Программа тренировок'!$E$6:$E$25,$M1206),"Ниже диапазона",IF(AND($F1206&gt;=INDEX('Программа тренировок'!$F$6:$F$25,$M1206),$G1206&gt;=INDEX('Программа тренировок'!$L$6:$L$25,$M1206)),"Верх диапазона: пора добавлять вес",IF($G1206&lt;INDEX('Программа тренировок'!$L$6:$L$25,$M1206),"RIR ниже цели","В диапазоне")))))</f>
        <v/>
      </c>
      <c r="M1206" s="23" t="str">
        <f aca="false">IF($C1206="","",IFERROR(MATCH($C1206,'Программа тренировок'!$C$6:$C$25,0),""))</f>
        <v/>
      </c>
    </row>
    <row r="1207" customFormat="false" ht="15" hidden="false" customHeight="true" outlineLevel="0" collapsed="false">
      <c r="A1207" s="20"/>
      <c r="B1207" s="21"/>
      <c r="C1207" s="19"/>
      <c r="D1207" s="18"/>
      <c r="E1207" s="17"/>
      <c r="F1207" s="18"/>
      <c r="G1207" s="18"/>
      <c r="H1207" s="21"/>
      <c r="I1207" s="19"/>
      <c r="J1207" s="8" t="str">
        <f aca="false">IF(OR(E1207="",F1207=""),"",E1207*F1207)</f>
        <v/>
      </c>
      <c r="K1207" s="22" t="str">
        <f aca="false">IF($M1207="","",INDEX('Программа тренировок'!$G$6:$G$25,$M1207))</f>
        <v/>
      </c>
      <c r="L1207" s="23" t="str">
        <f aca="false">IF(OR($M1207="",$F1207="",$G1207=""),"",IF($H1207="Разминка","Разминка",IF($F1207&lt;INDEX('Программа тренировок'!$E$6:$E$25,$M1207),"Ниже диапазона",IF(AND($F1207&gt;=INDEX('Программа тренировок'!$F$6:$F$25,$M1207),$G1207&gt;=INDEX('Программа тренировок'!$L$6:$L$25,$M1207)),"Верх диапазона: пора добавлять вес",IF($G1207&lt;INDEX('Программа тренировок'!$L$6:$L$25,$M1207),"RIR ниже цели","В диапазоне")))))</f>
        <v/>
      </c>
      <c r="M1207" s="23" t="str">
        <f aca="false">IF($C1207="","",IFERROR(MATCH($C1207,'Программа тренировок'!$C$6:$C$25,0),""))</f>
        <v/>
      </c>
    </row>
    <row r="1208" customFormat="false" ht="15" hidden="false" customHeight="true" outlineLevel="0" collapsed="false">
      <c r="A1208" s="20"/>
      <c r="B1208" s="21"/>
      <c r="C1208" s="19"/>
      <c r="D1208" s="18"/>
      <c r="E1208" s="17"/>
      <c r="F1208" s="18"/>
      <c r="G1208" s="18"/>
      <c r="H1208" s="21"/>
      <c r="I1208" s="19"/>
      <c r="J1208" s="8" t="str">
        <f aca="false">IF(OR(E1208="",F1208=""),"",E1208*F1208)</f>
        <v/>
      </c>
      <c r="K1208" s="22" t="str">
        <f aca="false">IF($M1208="","",INDEX('Программа тренировок'!$G$6:$G$25,$M1208))</f>
        <v/>
      </c>
      <c r="L1208" s="23" t="str">
        <f aca="false">IF(OR($M1208="",$F1208="",$G1208=""),"",IF($H1208="Разминка","Разминка",IF($F1208&lt;INDEX('Программа тренировок'!$E$6:$E$25,$M1208),"Ниже диапазона",IF(AND($F1208&gt;=INDEX('Программа тренировок'!$F$6:$F$25,$M1208),$G1208&gt;=INDEX('Программа тренировок'!$L$6:$L$25,$M1208)),"Верх диапазона: пора добавлять вес",IF($G1208&lt;INDEX('Программа тренировок'!$L$6:$L$25,$M1208),"RIR ниже цели","В диапазоне")))))</f>
        <v/>
      </c>
      <c r="M1208" s="23" t="str">
        <f aca="false">IF($C1208="","",IFERROR(MATCH($C1208,'Программа тренировок'!$C$6:$C$25,0),""))</f>
        <v/>
      </c>
    </row>
    <row r="1209" customFormat="false" ht="15" hidden="false" customHeight="true" outlineLevel="0" collapsed="false">
      <c r="A1209" s="20"/>
      <c r="B1209" s="21"/>
      <c r="C1209" s="19"/>
      <c r="D1209" s="18"/>
      <c r="E1209" s="17"/>
      <c r="F1209" s="18"/>
      <c r="G1209" s="18"/>
      <c r="H1209" s="21"/>
      <c r="I1209" s="19"/>
      <c r="J1209" s="8" t="str">
        <f aca="false">IF(OR(E1209="",F1209=""),"",E1209*F1209)</f>
        <v/>
      </c>
      <c r="K1209" s="22" t="str">
        <f aca="false">IF($M1209="","",INDEX('Программа тренировок'!$G$6:$G$25,$M1209))</f>
        <v/>
      </c>
      <c r="L1209" s="23" t="str">
        <f aca="false">IF(OR($M1209="",$F1209="",$G1209=""),"",IF($H1209="Разминка","Разминка",IF($F1209&lt;INDEX('Программа тренировок'!$E$6:$E$25,$M1209),"Ниже диапазона",IF(AND($F1209&gt;=INDEX('Программа тренировок'!$F$6:$F$25,$M1209),$G1209&gt;=INDEX('Программа тренировок'!$L$6:$L$25,$M1209)),"Верх диапазона: пора добавлять вес",IF($G1209&lt;INDEX('Программа тренировок'!$L$6:$L$25,$M1209),"RIR ниже цели","В диапазоне")))))</f>
        <v/>
      </c>
      <c r="M1209" s="23" t="str">
        <f aca="false">IF($C1209="","",IFERROR(MATCH($C1209,'Программа тренировок'!$C$6:$C$25,0),""))</f>
        <v/>
      </c>
    </row>
    <row r="1210" customFormat="false" ht="15" hidden="false" customHeight="true" outlineLevel="0" collapsed="false">
      <c r="A1210" s="20"/>
      <c r="B1210" s="21"/>
      <c r="C1210" s="19"/>
      <c r="D1210" s="18"/>
      <c r="E1210" s="17"/>
      <c r="F1210" s="18"/>
      <c r="G1210" s="18"/>
      <c r="H1210" s="21"/>
      <c r="I1210" s="19"/>
      <c r="J1210" s="8" t="str">
        <f aca="false">IF(OR(E1210="",F1210=""),"",E1210*F1210)</f>
        <v/>
      </c>
      <c r="K1210" s="22" t="str">
        <f aca="false">IF($M1210="","",INDEX('Программа тренировок'!$G$6:$G$25,$M1210))</f>
        <v/>
      </c>
      <c r="L1210" s="23" t="str">
        <f aca="false">IF(OR($M1210="",$F1210="",$G1210=""),"",IF($H1210="Разминка","Разминка",IF($F1210&lt;INDEX('Программа тренировок'!$E$6:$E$25,$M1210),"Ниже диапазона",IF(AND($F1210&gt;=INDEX('Программа тренировок'!$F$6:$F$25,$M1210),$G1210&gt;=INDEX('Программа тренировок'!$L$6:$L$25,$M1210)),"Верх диапазона: пора добавлять вес",IF($G1210&lt;INDEX('Программа тренировок'!$L$6:$L$25,$M1210),"RIR ниже цели","В диапазоне")))))</f>
        <v/>
      </c>
      <c r="M1210" s="23" t="str">
        <f aca="false">IF($C1210="","",IFERROR(MATCH($C1210,'Программа тренировок'!$C$6:$C$25,0),""))</f>
        <v/>
      </c>
    </row>
    <row r="1211" customFormat="false" ht="15" hidden="false" customHeight="true" outlineLevel="0" collapsed="false">
      <c r="A1211" s="20"/>
      <c r="B1211" s="21"/>
      <c r="C1211" s="19"/>
      <c r="D1211" s="18"/>
      <c r="E1211" s="17"/>
      <c r="F1211" s="18"/>
      <c r="G1211" s="18"/>
      <c r="H1211" s="21"/>
      <c r="I1211" s="19"/>
      <c r="J1211" s="8" t="str">
        <f aca="false">IF(OR(E1211="",F1211=""),"",E1211*F1211)</f>
        <v/>
      </c>
      <c r="K1211" s="22" t="str">
        <f aca="false">IF($M1211="","",INDEX('Программа тренировок'!$G$6:$G$25,$M1211))</f>
        <v/>
      </c>
      <c r="L1211" s="23" t="str">
        <f aca="false">IF(OR($M1211="",$F1211="",$G1211=""),"",IF($H1211="Разминка","Разминка",IF($F1211&lt;INDEX('Программа тренировок'!$E$6:$E$25,$M1211),"Ниже диапазона",IF(AND($F1211&gt;=INDEX('Программа тренировок'!$F$6:$F$25,$M1211),$G1211&gt;=INDEX('Программа тренировок'!$L$6:$L$25,$M1211)),"Верх диапазона: пора добавлять вес",IF($G1211&lt;INDEX('Программа тренировок'!$L$6:$L$25,$M1211),"RIR ниже цели","В диапазоне")))))</f>
        <v/>
      </c>
      <c r="M1211" s="23" t="str">
        <f aca="false">IF($C1211="","",IFERROR(MATCH($C1211,'Программа тренировок'!$C$6:$C$25,0),""))</f>
        <v/>
      </c>
    </row>
    <row r="1212" customFormat="false" ht="15" hidden="false" customHeight="true" outlineLevel="0" collapsed="false">
      <c r="A1212" s="20"/>
      <c r="B1212" s="21"/>
      <c r="C1212" s="19"/>
      <c r="D1212" s="18"/>
      <c r="E1212" s="17"/>
      <c r="F1212" s="18"/>
      <c r="G1212" s="18"/>
      <c r="H1212" s="21"/>
      <c r="I1212" s="19"/>
      <c r="J1212" s="8" t="str">
        <f aca="false">IF(OR(E1212="",F1212=""),"",E1212*F1212)</f>
        <v/>
      </c>
      <c r="K1212" s="22" t="str">
        <f aca="false">IF($M1212="","",INDEX('Программа тренировок'!$G$6:$G$25,$M1212))</f>
        <v/>
      </c>
      <c r="L1212" s="23" t="str">
        <f aca="false">IF(OR($M1212="",$F1212="",$G1212=""),"",IF($H1212="Разминка","Разминка",IF($F1212&lt;INDEX('Программа тренировок'!$E$6:$E$25,$M1212),"Ниже диапазона",IF(AND($F1212&gt;=INDEX('Программа тренировок'!$F$6:$F$25,$M1212),$G1212&gt;=INDEX('Программа тренировок'!$L$6:$L$25,$M1212)),"Верх диапазона: пора добавлять вес",IF($G1212&lt;INDEX('Программа тренировок'!$L$6:$L$25,$M1212),"RIR ниже цели","В диапазоне")))))</f>
        <v/>
      </c>
      <c r="M1212" s="23" t="str">
        <f aca="false">IF($C1212="","",IFERROR(MATCH($C1212,'Программа тренировок'!$C$6:$C$25,0),""))</f>
        <v/>
      </c>
    </row>
    <row r="1213" customFormat="false" ht="15" hidden="false" customHeight="true" outlineLevel="0" collapsed="false">
      <c r="A1213" s="20"/>
      <c r="B1213" s="21"/>
      <c r="C1213" s="19"/>
      <c r="D1213" s="18"/>
      <c r="E1213" s="17"/>
      <c r="F1213" s="18"/>
      <c r="G1213" s="18"/>
      <c r="H1213" s="21"/>
      <c r="I1213" s="19"/>
      <c r="J1213" s="8" t="str">
        <f aca="false">IF(OR(E1213="",F1213=""),"",E1213*F1213)</f>
        <v/>
      </c>
      <c r="K1213" s="22" t="str">
        <f aca="false">IF($M1213="","",INDEX('Программа тренировок'!$G$6:$G$25,$M1213))</f>
        <v/>
      </c>
      <c r="L1213" s="23" t="str">
        <f aca="false">IF(OR($M1213="",$F1213="",$G1213=""),"",IF($H1213="Разминка","Разминка",IF($F1213&lt;INDEX('Программа тренировок'!$E$6:$E$25,$M1213),"Ниже диапазона",IF(AND($F1213&gt;=INDEX('Программа тренировок'!$F$6:$F$25,$M1213),$G1213&gt;=INDEX('Программа тренировок'!$L$6:$L$25,$M1213)),"Верх диапазона: пора добавлять вес",IF($G1213&lt;INDEX('Программа тренировок'!$L$6:$L$25,$M1213),"RIR ниже цели","В диапазоне")))))</f>
        <v/>
      </c>
      <c r="M1213" s="23" t="str">
        <f aca="false">IF($C1213="","",IFERROR(MATCH($C1213,'Программа тренировок'!$C$6:$C$25,0),""))</f>
        <v/>
      </c>
    </row>
    <row r="1214" customFormat="false" ht="15" hidden="false" customHeight="true" outlineLevel="0" collapsed="false">
      <c r="A1214" s="20"/>
      <c r="B1214" s="21"/>
      <c r="C1214" s="19"/>
      <c r="D1214" s="18"/>
      <c r="E1214" s="17"/>
      <c r="F1214" s="18"/>
      <c r="G1214" s="18"/>
      <c r="H1214" s="21"/>
      <c r="I1214" s="19"/>
      <c r="J1214" s="8" t="str">
        <f aca="false">IF(OR(E1214="",F1214=""),"",E1214*F1214)</f>
        <v/>
      </c>
      <c r="K1214" s="22" t="str">
        <f aca="false">IF($M1214="","",INDEX('Программа тренировок'!$G$6:$G$25,$M1214))</f>
        <v/>
      </c>
      <c r="L1214" s="23" t="str">
        <f aca="false">IF(OR($M1214="",$F1214="",$G1214=""),"",IF($H1214="Разминка","Разминка",IF($F1214&lt;INDEX('Программа тренировок'!$E$6:$E$25,$M1214),"Ниже диапазона",IF(AND($F1214&gt;=INDEX('Программа тренировок'!$F$6:$F$25,$M1214),$G1214&gt;=INDEX('Программа тренировок'!$L$6:$L$25,$M1214)),"Верх диапазона: пора добавлять вес",IF($G1214&lt;INDEX('Программа тренировок'!$L$6:$L$25,$M1214),"RIR ниже цели","В диапазоне")))))</f>
        <v/>
      </c>
      <c r="M1214" s="23" t="str">
        <f aca="false">IF($C1214="","",IFERROR(MATCH($C1214,'Программа тренировок'!$C$6:$C$25,0),""))</f>
        <v/>
      </c>
    </row>
    <row r="1215" customFormat="false" ht="15" hidden="false" customHeight="true" outlineLevel="0" collapsed="false">
      <c r="A1215" s="20"/>
      <c r="B1215" s="21"/>
      <c r="C1215" s="19"/>
      <c r="D1215" s="18"/>
      <c r="E1215" s="17"/>
      <c r="F1215" s="18"/>
      <c r="G1215" s="18"/>
      <c r="H1215" s="21"/>
      <c r="I1215" s="19"/>
      <c r="J1215" s="8" t="str">
        <f aca="false">IF(OR(E1215="",F1215=""),"",E1215*F1215)</f>
        <v/>
      </c>
      <c r="K1215" s="22" t="str">
        <f aca="false">IF($M1215="","",INDEX('Программа тренировок'!$G$6:$G$25,$M1215))</f>
        <v/>
      </c>
      <c r="L1215" s="23" t="str">
        <f aca="false">IF(OR($M1215="",$F1215="",$G1215=""),"",IF($H1215="Разминка","Разминка",IF($F1215&lt;INDEX('Программа тренировок'!$E$6:$E$25,$M1215),"Ниже диапазона",IF(AND($F1215&gt;=INDEX('Программа тренировок'!$F$6:$F$25,$M1215),$G1215&gt;=INDEX('Программа тренировок'!$L$6:$L$25,$M1215)),"Верх диапазона: пора добавлять вес",IF($G1215&lt;INDEX('Программа тренировок'!$L$6:$L$25,$M1215),"RIR ниже цели","В диапазоне")))))</f>
        <v/>
      </c>
      <c r="M1215" s="23" t="str">
        <f aca="false">IF($C1215="","",IFERROR(MATCH($C1215,'Программа тренировок'!$C$6:$C$25,0),""))</f>
        <v/>
      </c>
    </row>
    <row r="1216" customFormat="false" ht="15" hidden="false" customHeight="true" outlineLevel="0" collapsed="false">
      <c r="A1216" s="20"/>
      <c r="B1216" s="21"/>
      <c r="C1216" s="19"/>
      <c r="D1216" s="18"/>
      <c r="E1216" s="17"/>
      <c r="F1216" s="18"/>
      <c r="G1216" s="18"/>
      <c r="H1216" s="21"/>
      <c r="I1216" s="19"/>
      <c r="J1216" s="8" t="str">
        <f aca="false">IF(OR(E1216="",F1216=""),"",E1216*F1216)</f>
        <v/>
      </c>
      <c r="K1216" s="22" t="str">
        <f aca="false">IF($M1216="","",INDEX('Программа тренировок'!$G$6:$G$25,$M1216))</f>
        <v/>
      </c>
      <c r="L1216" s="23" t="str">
        <f aca="false">IF(OR($M1216="",$F1216="",$G1216=""),"",IF($H1216="Разминка","Разминка",IF($F1216&lt;INDEX('Программа тренировок'!$E$6:$E$25,$M1216),"Ниже диапазона",IF(AND($F1216&gt;=INDEX('Программа тренировок'!$F$6:$F$25,$M1216),$G1216&gt;=INDEX('Программа тренировок'!$L$6:$L$25,$M1216)),"Верх диапазона: пора добавлять вес",IF($G1216&lt;INDEX('Программа тренировок'!$L$6:$L$25,$M1216),"RIR ниже цели","В диапазоне")))))</f>
        <v/>
      </c>
      <c r="M1216" s="23" t="str">
        <f aca="false">IF($C1216="","",IFERROR(MATCH($C1216,'Программа тренировок'!$C$6:$C$25,0),""))</f>
        <v/>
      </c>
    </row>
    <row r="1217" customFormat="false" ht="15" hidden="false" customHeight="true" outlineLevel="0" collapsed="false">
      <c r="A1217" s="20"/>
      <c r="B1217" s="21"/>
      <c r="C1217" s="19"/>
      <c r="D1217" s="18"/>
      <c r="E1217" s="17"/>
      <c r="F1217" s="18"/>
      <c r="G1217" s="18"/>
      <c r="H1217" s="21"/>
      <c r="I1217" s="19"/>
      <c r="J1217" s="8" t="str">
        <f aca="false">IF(OR(E1217="",F1217=""),"",E1217*F1217)</f>
        <v/>
      </c>
      <c r="K1217" s="22" t="str">
        <f aca="false">IF($M1217="","",INDEX('Программа тренировок'!$G$6:$G$25,$M1217))</f>
        <v/>
      </c>
      <c r="L1217" s="23" t="str">
        <f aca="false">IF(OR($M1217="",$F1217="",$G1217=""),"",IF($H1217="Разминка","Разминка",IF($F1217&lt;INDEX('Программа тренировок'!$E$6:$E$25,$M1217),"Ниже диапазона",IF(AND($F1217&gt;=INDEX('Программа тренировок'!$F$6:$F$25,$M1217),$G1217&gt;=INDEX('Программа тренировок'!$L$6:$L$25,$M1217)),"Верх диапазона: пора добавлять вес",IF($G1217&lt;INDEX('Программа тренировок'!$L$6:$L$25,$M1217),"RIR ниже цели","В диапазоне")))))</f>
        <v/>
      </c>
      <c r="M1217" s="23" t="str">
        <f aca="false">IF($C1217="","",IFERROR(MATCH($C1217,'Программа тренировок'!$C$6:$C$25,0),""))</f>
        <v/>
      </c>
    </row>
    <row r="1218" customFormat="false" ht="15" hidden="false" customHeight="true" outlineLevel="0" collapsed="false">
      <c r="A1218" s="20"/>
      <c r="B1218" s="21"/>
      <c r="C1218" s="19"/>
      <c r="D1218" s="18"/>
      <c r="E1218" s="17"/>
      <c r="F1218" s="18"/>
      <c r="G1218" s="18"/>
      <c r="H1218" s="21"/>
      <c r="I1218" s="19"/>
      <c r="J1218" s="8" t="str">
        <f aca="false">IF(OR(E1218="",F1218=""),"",E1218*F1218)</f>
        <v/>
      </c>
      <c r="K1218" s="22" t="str">
        <f aca="false">IF($M1218="","",INDEX('Программа тренировок'!$G$6:$G$25,$M1218))</f>
        <v/>
      </c>
      <c r="L1218" s="23" t="str">
        <f aca="false">IF(OR($M1218="",$F1218="",$G1218=""),"",IF($H1218="Разминка","Разминка",IF($F1218&lt;INDEX('Программа тренировок'!$E$6:$E$25,$M1218),"Ниже диапазона",IF(AND($F1218&gt;=INDEX('Программа тренировок'!$F$6:$F$25,$M1218),$G1218&gt;=INDEX('Программа тренировок'!$L$6:$L$25,$M1218)),"Верх диапазона: пора добавлять вес",IF($G1218&lt;INDEX('Программа тренировок'!$L$6:$L$25,$M1218),"RIR ниже цели","В диапазоне")))))</f>
        <v/>
      </c>
      <c r="M1218" s="23" t="str">
        <f aca="false">IF($C1218="","",IFERROR(MATCH($C1218,'Программа тренировок'!$C$6:$C$25,0),""))</f>
        <v/>
      </c>
    </row>
    <row r="1219" customFormat="false" ht="15" hidden="false" customHeight="true" outlineLevel="0" collapsed="false">
      <c r="A1219" s="20"/>
      <c r="B1219" s="21"/>
      <c r="C1219" s="19"/>
      <c r="D1219" s="18"/>
      <c r="E1219" s="17"/>
      <c r="F1219" s="18"/>
      <c r="G1219" s="18"/>
      <c r="H1219" s="21"/>
      <c r="I1219" s="19"/>
      <c r="J1219" s="8" t="str">
        <f aca="false">IF(OR(E1219="",F1219=""),"",E1219*F1219)</f>
        <v/>
      </c>
      <c r="K1219" s="22" t="str">
        <f aca="false">IF($M1219="","",INDEX('Программа тренировок'!$G$6:$G$25,$M1219))</f>
        <v/>
      </c>
      <c r="L1219" s="23" t="str">
        <f aca="false">IF(OR($M1219="",$F1219="",$G1219=""),"",IF($H1219="Разминка","Разминка",IF($F1219&lt;INDEX('Программа тренировок'!$E$6:$E$25,$M1219),"Ниже диапазона",IF(AND($F1219&gt;=INDEX('Программа тренировок'!$F$6:$F$25,$M1219),$G1219&gt;=INDEX('Программа тренировок'!$L$6:$L$25,$M1219)),"Верх диапазона: пора добавлять вес",IF($G1219&lt;INDEX('Программа тренировок'!$L$6:$L$25,$M1219),"RIR ниже цели","В диапазоне")))))</f>
        <v/>
      </c>
      <c r="M1219" s="23" t="str">
        <f aca="false">IF($C1219="","",IFERROR(MATCH($C1219,'Программа тренировок'!$C$6:$C$25,0),""))</f>
        <v/>
      </c>
    </row>
    <row r="1220" customFormat="false" ht="15" hidden="false" customHeight="true" outlineLevel="0" collapsed="false">
      <c r="A1220" s="20"/>
      <c r="B1220" s="21"/>
      <c r="C1220" s="19"/>
      <c r="D1220" s="18"/>
      <c r="E1220" s="17"/>
      <c r="F1220" s="18"/>
      <c r="G1220" s="18"/>
      <c r="H1220" s="21"/>
      <c r="I1220" s="19"/>
      <c r="J1220" s="8" t="str">
        <f aca="false">IF(OR(E1220="",F1220=""),"",E1220*F1220)</f>
        <v/>
      </c>
      <c r="K1220" s="22" t="str">
        <f aca="false">IF($M1220="","",INDEX('Программа тренировок'!$G$6:$G$25,$M1220))</f>
        <v/>
      </c>
      <c r="L1220" s="23" t="str">
        <f aca="false">IF(OR($M1220="",$F1220="",$G1220=""),"",IF($H1220="Разминка","Разминка",IF($F1220&lt;INDEX('Программа тренировок'!$E$6:$E$25,$M1220),"Ниже диапазона",IF(AND($F1220&gt;=INDEX('Программа тренировок'!$F$6:$F$25,$M1220),$G1220&gt;=INDEX('Программа тренировок'!$L$6:$L$25,$M1220)),"Верх диапазона: пора добавлять вес",IF($G1220&lt;INDEX('Программа тренировок'!$L$6:$L$25,$M1220),"RIR ниже цели","В диапазоне")))))</f>
        <v/>
      </c>
      <c r="M1220" s="23" t="str">
        <f aca="false">IF($C1220="","",IFERROR(MATCH($C1220,'Программа тренировок'!$C$6:$C$25,0),""))</f>
        <v/>
      </c>
    </row>
    <row r="1221" customFormat="false" ht="15" hidden="false" customHeight="true" outlineLevel="0" collapsed="false">
      <c r="A1221" s="20"/>
      <c r="B1221" s="21"/>
      <c r="C1221" s="19"/>
      <c r="D1221" s="18"/>
      <c r="E1221" s="17"/>
      <c r="F1221" s="18"/>
      <c r="G1221" s="18"/>
      <c r="H1221" s="21"/>
      <c r="I1221" s="19"/>
      <c r="J1221" s="8" t="str">
        <f aca="false">IF(OR(E1221="",F1221=""),"",E1221*F1221)</f>
        <v/>
      </c>
      <c r="K1221" s="22" t="str">
        <f aca="false">IF($M1221="","",INDEX('Программа тренировок'!$G$6:$G$25,$M1221))</f>
        <v/>
      </c>
      <c r="L1221" s="23" t="str">
        <f aca="false">IF(OR($M1221="",$F1221="",$G1221=""),"",IF($H1221="Разминка","Разминка",IF($F1221&lt;INDEX('Программа тренировок'!$E$6:$E$25,$M1221),"Ниже диапазона",IF(AND($F1221&gt;=INDEX('Программа тренировок'!$F$6:$F$25,$M1221),$G1221&gt;=INDEX('Программа тренировок'!$L$6:$L$25,$M1221)),"Верх диапазона: пора добавлять вес",IF($G1221&lt;INDEX('Программа тренировок'!$L$6:$L$25,$M1221),"RIR ниже цели","В диапазоне")))))</f>
        <v/>
      </c>
      <c r="M1221" s="23" t="str">
        <f aca="false">IF($C1221="","",IFERROR(MATCH($C1221,'Программа тренировок'!$C$6:$C$25,0),""))</f>
        <v/>
      </c>
    </row>
    <row r="1222" customFormat="false" ht="15" hidden="false" customHeight="true" outlineLevel="0" collapsed="false">
      <c r="A1222" s="20"/>
      <c r="B1222" s="21"/>
      <c r="C1222" s="19"/>
      <c r="D1222" s="18"/>
      <c r="E1222" s="17"/>
      <c r="F1222" s="18"/>
      <c r="G1222" s="18"/>
      <c r="H1222" s="21"/>
      <c r="I1222" s="19"/>
      <c r="J1222" s="8" t="str">
        <f aca="false">IF(OR(E1222="",F1222=""),"",E1222*F1222)</f>
        <v/>
      </c>
      <c r="K1222" s="22" t="str">
        <f aca="false">IF($M1222="","",INDEX('Программа тренировок'!$G$6:$G$25,$M1222))</f>
        <v/>
      </c>
      <c r="L1222" s="23" t="str">
        <f aca="false">IF(OR($M1222="",$F1222="",$G1222=""),"",IF($H1222="Разминка","Разминка",IF($F1222&lt;INDEX('Программа тренировок'!$E$6:$E$25,$M1222),"Ниже диапазона",IF(AND($F1222&gt;=INDEX('Программа тренировок'!$F$6:$F$25,$M1222),$G1222&gt;=INDEX('Программа тренировок'!$L$6:$L$25,$M1222)),"Верх диапазона: пора добавлять вес",IF($G1222&lt;INDEX('Программа тренировок'!$L$6:$L$25,$M1222),"RIR ниже цели","В диапазоне")))))</f>
        <v/>
      </c>
      <c r="M1222" s="23" t="str">
        <f aca="false">IF($C1222="","",IFERROR(MATCH($C1222,'Программа тренировок'!$C$6:$C$25,0),""))</f>
        <v/>
      </c>
    </row>
    <row r="1223" customFormat="false" ht="15" hidden="false" customHeight="true" outlineLevel="0" collapsed="false">
      <c r="A1223" s="20"/>
      <c r="B1223" s="21"/>
      <c r="C1223" s="19"/>
      <c r="D1223" s="18"/>
      <c r="E1223" s="17"/>
      <c r="F1223" s="18"/>
      <c r="G1223" s="18"/>
      <c r="H1223" s="21"/>
      <c r="I1223" s="19"/>
      <c r="J1223" s="8" t="str">
        <f aca="false">IF(OR(E1223="",F1223=""),"",E1223*F1223)</f>
        <v/>
      </c>
      <c r="K1223" s="22" t="str">
        <f aca="false">IF($M1223="","",INDEX('Программа тренировок'!$G$6:$G$25,$M1223))</f>
        <v/>
      </c>
      <c r="L1223" s="23" t="str">
        <f aca="false">IF(OR($M1223="",$F1223="",$G1223=""),"",IF($H1223="Разминка","Разминка",IF($F1223&lt;INDEX('Программа тренировок'!$E$6:$E$25,$M1223),"Ниже диапазона",IF(AND($F1223&gt;=INDEX('Программа тренировок'!$F$6:$F$25,$M1223),$G1223&gt;=INDEX('Программа тренировок'!$L$6:$L$25,$M1223)),"Верх диапазона: пора добавлять вес",IF($G1223&lt;INDEX('Программа тренировок'!$L$6:$L$25,$M1223),"RIR ниже цели","В диапазоне")))))</f>
        <v/>
      </c>
      <c r="M1223" s="23" t="str">
        <f aca="false">IF($C1223="","",IFERROR(MATCH($C1223,'Программа тренировок'!$C$6:$C$25,0),""))</f>
        <v/>
      </c>
    </row>
    <row r="1224" customFormat="false" ht="15" hidden="false" customHeight="true" outlineLevel="0" collapsed="false">
      <c r="A1224" s="20"/>
      <c r="B1224" s="21"/>
      <c r="C1224" s="19"/>
      <c r="D1224" s="18"/>
      <c r="E1224" s="17"/>
      <c r="F1224" s="18"/>
      <c r="G1224" s="18"/>
      <c r="H1224" s="21"/>
      <c r="I1224" s="19"/>
      <c r="J1224" s="8" t="str">
        <f aca="false">IF(OR(E1224="",F1224=""),"",E1224*F1224)</f>
        <v/>
      </c>
      <c r="K1224" s="22" t="str">
        <f aca="false">IF($M1224="","",INDEX('Программа тренировок'!$G$6:$G$25,$M1224))</f>
        <v/>
      </c>
      <c r="L1224" s="23" t="str">
        <f aca="false">IF(OR($M1224="",$F1224="",$G1224=""),"",IF($H1224="Разминка","Разминка",IF($F1224&lt;INDEX('Программа тренировок'!$E$6:$E$25,$M1224),"Ниже диапазона",IF(AND($F1224&gt;=INDEX('Программа тренировок'!$F$6:$F$25,$M1224),$G1224&gt;=INDEX('Программа тренировок'!$L$6:$L$25,$M1224)),"Верх диапазона: пора добавлять вес",IF($G1224&lt;INDEX('Программа тренировок'!$L$6:$L$25,$M1224),"RIR ниже цели","В диапазоне")))))</f>
        <v/>
      </c>
      <c r="M1224" s="23" t="str">
        <f aca="false">IF($C1224="","",IFERROR(MATCH($C1224,'Программа тренировок'!$C$6:$C$25,0),""))</f>
        <v/>
      </c>
    </row>
    <row r="1225" customFormat="false" ht="15" hidden="false" customHeight="true" outlineLevel="0" collapsed="false">
      <c r="A1225" s="20"/>
      <c r="B1225" s="21"/>
      <c r="C1225" s="19"/>
      <c r="D1225" s="18"/>
      <c r="E1225" s="17"/>
      <c r="F1225" s="18"/>
      <c r="G1225" s="18"/>
      <c r="H1225" s="21"/>
      <c r="I1225" s="19"/>
      <c r="J1225" s="8" t="str">
        <f aca="false">IF(OR(E1225="",F1225=""),"",E1225*F1225)</f>
        <v/>
      </c>
      <c r="K1225" s="22" t="str">
        <f aca="false">IF($M1225="","",INDEX('Программа тренировок'!$G$6:$G$25,$M1225))</f>
        <v/>
      </c>
      <c r="L1225" s="23" t="str">
        <f aca="false">IF(OR($M1225="",$F1225="",$G1225=""),"",IF($H1225="Разминка","Разминка",IF($F1225&lt;INDEX('Программа тренировок'!$E$6:$E$25,$M1225),"Ниже диапазона",IF(AND($F1225&gt;=INDEX('Программа тренировок'!$F$6:$F$25,$M1225),$G1225&gt;=INDEX('Программа тренировок'!$L$6:$L$25,$M1225)),"Верх диапазона: пора добавлять вес",IF($G1225&lt;INDEX('Программа тренировок'!$L$6:$L$25,$M1225),"RIR ниже цели","В диапазоне")))))</f>
        <v/>
      </c>
      <c r="M1225" s="23" t="str">
        <f aca="false">IF($C1225="","",IFERROR(MATCH($C1225,'Программа тренировок'!$C$6:$C$25,0),""))</f>
        <v/>
      </c>
    </row>
    <row r="1226" customFormat="false" ht="15" hidden="false" customHeight="true" outlineLevel="0" collapsed="false">
      <c r="A1226" s="20"/>
      <c r="B1226" s="21"/>
      <c r="C1226" s="19"/>
      <c r="D1226" s="18"/>
      <c r="E1226" s="17"/>
      <c r="F1226" s="18"/>
      <c r="G1226" s="18"/>
      <c r="H1226" s="21"/>
      <c r="I1226" s="19"/>
      <c r="J1226" s="8" t="str">
        <f aca="false">IF(OR(E1226="",F1226=""),"",E1226*F1226)</f>
        <v/>
      </c>
      <c r="K1226" s="22" t="str">
        <f aca="false">IF($M1226="","",INDEX('Программа тренировок'!$G$6:$G$25,$M1226))</f>
        <v/>
      </c>
      <c r="L1226" s="23" t="str">
        <f aca="false">IF(OR($M1226="",$F1226="",$G1226=""),"",IF($H1226="Разминка","Разминка",IF($F1226&lt;INDEX('Программа тренировок'!$E$6:$E$25,$M1226),"Ниже диапазона",IF(AND($F1226&gt;=INDEX('Программа тренировок'!$F$6:$F$25,$M1226),$G1226&gt;=INDEX('Программа тренировок'!$L$6:$L$25,$M1226)),"Верх диапазона: пора добавлять вес",IF($G1226&lt;INDEX('Программа тренировок'!$L$6:$L$25,$M1226),"RIR ниже цели","В диапазоне")))))</f>
        <v/>
      </c>
      <c r="M1226" s="23" t="str">
        <f aca="false">IF($C1226="","",IFERROR(MATCH($C1226,'Программа тренировок'!$C$6:$C$25,0),""))</f>
        <v/>
      </c>
    </row>
    <row r="1227" customFormat="false" ht="15" hidden="false" customHeight="true" outlineLevel="0" collapsed="false">
      <c r="A1227" s="20"/>
      <c r="B1227" s="21"/>
      <c r="C1227" s="19"/>
      <c r="D1227" s="18"/>
      <c r="E1227" s="17"/>
      <c r="F1227" s="18"/>
      <c r="G1227" s="18"/>
      <c r="H1227" s="21"/>
      <c r="I1227" s="19"/>
      <c r="J1227" s="8" t="str">
        <f aca="false">IF(OR(E1227="",F1227=""),"",E1227*F1227)</f>
        <v/>
      </c>
      <c r="K1227" s="22" t="str">
        <f aca="false">IF($M1227="","",INDEX('Программа тренировок'!$G$6:$G$25,$M1227))</f>
        <v/>
      </c>
      <c r="L1227" s="23" t="str">
        <f aca="false">IF(OR($M1227="",$F1227="",$G1227=""),"",IF($H1227="Разминка","Разминка",IF($F1227&lt;INDEX('Программа тренировок'!$E$6:$E$25,$M1227),"Ниже диапазона",IF(AND($F1227&gt;=INDEX('Программа тренировок'!$F$6:$F$25,$M1227),$G1227&gt;=INDEX('Программа тренировок'!$L$6:$L$25,$M1227)),"Верх диапазона: пора добавлять вес",IF($G1227&lt;INDEX('Программа тренировок'!$L$6:$L$25,$M1227),"RIR ниже цели","В диапазоне")))))</f>
        <v/>
      </c>
      <c r="M1227" s="23" t="str">
        <f aca="false">IF($C1227="","",IFERROR(MATCH($C1227,'Программа тренировок'!$C$6:$C$25,0),""))</f>
        <v/>
      </c>
    </row>
    <row r="1228" customFormat="false" ht="15" hidden="false" customHeight="true" outlineLevel="0" collapsed="false">
      <c r="A1228" s="20"/>
      <c r="B1228" s="21"/>
      <c r="C1228" s="19"/>
      <c r="D1228" s="18"/>
      <c r="E1228" s="17"/>
      <c r="F1228" s="18"/>
      <c r="G1228" s="18"/>
      <c r="H1228" s="21"/>
      <c r="I1228" s="19"/>
      <c r="J1228" s="8" t="str">
        <f aca="false">IF(OR(E1228="",F1228=""),"",E1228*F1228)</f>
        <v/>
      </c>
      <c r="K1228" s="22" t="str">
        <f aca="false">IF($M1228="","",INDEX('Программа тренировок'!$G$6:$G$25,$M1228))</f>
        <v/>
      </c>
      <c r="L1228" s="23" t="str">
        <f aca="false">IF(OR($M1228="",$F1228="",$G1228=""),"",IF($H1228="Разминка","Разминка",IF($F1228&lt;INDEX('Программа тренировок'!$E$6:$E$25,$M1228),"Ниже диапазона",IF(AND($F1228&gt;=INDEX('Программа тренировок'!$F$6:$F$25,$M1228),$G1228&gt;=INDEX('Программа тренировок'!$L$6:$L$25,$M1228)),"Верх диапазона: пора добавлять вес",IF($G1228&lt;INDEX('Программа тренировок'!$L$6:$L$25,$M1228),"RIR ниже цели","В диапазоне")))))</f>
        <v/>
      </c>
      <c r="M1228" s="23" t="str">
        <f aca="false">IF($C1228="","",IFERROR(MATCH($C1228,'Программа тренировок'!$C$6:$C$25,0),""))</f>
        <v/>
      </c>
    </row>
    <row r="1229" customFormat="false" ht="15" hidden="false" customHeight="true" outlineLevel="0" collapsed="false">
      <c r="A1229" s="20"/>
      <c r="B1229" s="21"/>
      <c r="C1229" s="19"/>
      <c r="D1229" s="18"/>
      <c r="E1229" s="17"/>
      <c r="F1229" s="18"/>
      <c r="G1229" s="18"/>
      <c r="H1229" s="21"/>
      <c r="I1229" s="19"/>
      <c r="J1229" s="8" t="str">
        <f aca="false">IF(OR(E1229="",F1229=""),"",E1229*F1229)</f>
        <v/>
      </c>
      <c r="K1229" s="22" t="str">
        <f aca="false">IF($M1229="","",INDEX('Программа тренировок'!$G$6:$G$25,$M1229))</f>
        <v/>
      </c>
      <c r="L1229" s="23" t="str">
        <f aca="false">IF(OR($M1229="",$F1229="",$G1229=""),"",IF($H1229="Разминка","Разминка",IF($F1229&lt;INDEX('Программа тренировок'!$E$6:$E$25,$M1229),"Ниже диапазона",IF(AND($F1229&gt;=INDEX('Программа тренировок'!$F$6:$F$25,$M1229),$G1229&gt;=INDEX('Программа тренировок'!$L$6:$L$25,$M1229)),"Верх диапазона: пора добавлять вес",IF($G1229&lt;INDEX('Программа тренировок'!$L$6:$L$25,$M1229),"RIR ниже цели","В диапазоне")))))</f>
        <v/>
      </c>
      <c r="M1229" s="23" t="str">
        <f aca="false">IF($C1229="","",IFERROR(MATCH($C1229,'Программа тренировок'!$C$6:$C$25,0),""))</f>
        <v/>
      </c>
    </row>
    <row r="1230" customFormat="false" ht="15" hidden="false" customHeight="true" outlineLevel="0" collapsed="false">
      <c r="A1230" s="20"/>
      <c r="B1230" s="21"/>
      <c r="C1230" s="19"/>
      <c r="D1230" s="18"/>
      <c r="E1230" s="17"/>
      <c r="F1230" s="18"/>
      <c r="G1230" s="18"/>
      <c r="H1230" s="21"/>
      <c r="I1230" s="19"/>
      <c r="J1230" s="8" t="str">
        <f aca="false">IF(OR(E1230="",F1230=""),"",E1230*F1230)</f>
        <v/>
      </c>
      <c r="K1230" s="22" t="str">
        <f aca="false">IF($M1230="","",INDEX('Программа тренировок'!$G$6:$G$25,$M1230))</f>
        <v/>
      </c>
      <c r="L1230" s="23" t="str">
        <f aca="false">IF(OR($M1230="",$F1230="",$G1230=""),"",IF($H1230="Разминка","Разминка",IF($F1230&lt;INDEX('Программа тренировок'!$E$6:$E$25,$M1230),"Ниже диапазона",IF(AND($F1230&gt;=INDEX('Программа тренировок'!$F$6:$F$25,$M1230),$G1230&gt;=INDEX('Программа тренировок'!$L$6:$L$25,$M1230)),"Верх диапазона: пора добавлять вес",IF($G1230&lt;INDEX('Программа тренировок'!$L$6:$L$25,$M1230),"RIR ниже цели","В диапазоне")))))</f>
        <v/>
      </c>
      <c r="M1230" s="23" t="str">
        <f aca="false">IF($C1230="","",IFERROR(MATCH($C1230,'Программа тренировок'!$C$6:$C$25,0),""))</f>
        <v/>
      </c>
    </row>
    <row r="1231" customFormat="false" ht="15" hidden="false" customHeight="true" outlineLevel="0" collapsed="false">
      <c r="A1231" s="20"/>
      <c r="B1231" s="21"/>
      <c r="C1231" s="19"/>
      <c r="D1231" s="18"/>
      <c r="E1231" s="17"/>
      <c r="F1231" s="18"/>
      <c r="G1231" s="18"/>
      <c r="H1231" s="21"/>
      <c r="I1231" s="19"/>
      <c r="J1231" s="8" t="str">
        <f aca="false">IF(OR(E1231="",F1231=""),"",E1231*F1231)</f>
        <v/>
      </c>
      <c r="K1231" s="22" t="str">
        <f aca="false">IF($M1231="","",INDEX('Программа тренировок'!$G$6:$G$25,$M1231))</f>
        <v/>
      </c>
      <c r="L1231" s="23" t="str">
        <f aca="false">IF(OR($M1231="",$F1231="",$G1231=""),"",IF($H1231="Разминка","Разминка",IF($F1231&lt;INDEX('Программа тренировок'!$E$6:$E$25,$M1231),"Ниже диапазона",IF(AND($F1231&gt;=INDEX('Программа тренировок'!$F$6:$F$25,$M1231),$G1231&gt;=INDEX('Программа тренировок'!$L$6:$L$25,$M1231)),"Верх диапазона: пора добавлять вес",IF($G1231&lt;INDEX('Программа тренировок'!$L$6:$L$25,$M1231),"RIR ниже цели","В диапазоне")))))</f>
        <v/>
      </c>
      <c r="M1231" s="23" t="str">
        <f aca="false">IF($C1231="","",IFERROR(MATCH($C1231,'Программа тренировок'!$C$6:$C$25,0),""))</f>
        <v/>
      </c>
    </row>
    <row r="1232" customFormat="false" ht="15" hidden="false" customHeight="true" outlineLevel="0" collapsed="false">
      <c r="A1232" s="20"/>
      <c r="B1232" s="21"/>
      <c r="C1232" s="19"/>
      <c r="D1232" s="18"/>
      <c r="E1232" s="17"/>
      <c r="F1232" s="18"/>
      <c r="G1232" s="18"/>
      <c r="H1232" s="21"/>
      <c r="I1232" s="19"/>
      <c r="J1232" s="8" t="str">
        <f aca="false">IF(OR(E1232="",F1232=""),"",E1232*F1232)</f>
        <v/>
      </c>
      <c r="K1232" s="22" t="str">
        <f aca="false">IF($M1232="","",INDEX('Программа тренировок'!$G$6:$G$25,$M1232))</f>
        <v/>
      </c>
      <c r="L1232" s="23" t="str">
        <f aca="false">IF(OR($M1232="",$F1232="",$G1232=""),"",IF($H1232="Разминка","Разминка",IF($F1232&lt;INDEX('Программа тренировок'!$E$6:$E$25,$M1232),"Ниже диапазона",IF(AND($F1232&gt;=INDEX('Программа тренировок'!$F$6:$F$25,$M1232),$G1232&gt;=INDEX('Программа тренировок'!$L$6:$L$25,$M1232)),"Верх диапазона: пора добавлять вес",IF($G1232&lt;INDEX('Программа тренировок'!$L$6:$L$25,$M1232),"RIR ниже цели","В диапазоне")))))</f>
        <v/>
      </c>
      <c r="M1232" s="23" t="str">
        <f aca="false">IF($C1232="","",IFERROR(MATCH($C1232,'Программа тренировок'!$C$6:$C$25,0),""))</f>
        <v/>
      </c>
    </row>
    <row r="1233" customFormat="false" ht="15" hidden="false" customHeight="true" outlineLevel="0" collapsed="false">
      <c r="A1233" s="20"/>
      <c r="B1233" s="21"/>
      <c r="C1233" s="19"/>
      <c r="D1233" s="18"/>
      <c r="E1233" s="17"/>
      <c r="F1233" s="18"/>
      <c r="G1233" s="18"/>
      <c r="H1233" s="21"/>
      <c r="I1233" s="19"/>
      <c r="J1233" s="8" t="str">
        <f aca="false">IF(OR(E1233="",F1233=""),"",E1233*F1233)</f>
        <v/>
      </c>
      <c r="K1233" s="22" t="str">
        <f aca="false">IF($M1233="","",INDEX('Программа тренировок'!$G$6:$G$25,$M1233))</f>
        <v/>
      </c>
      <c r="L1233" s="23" t="str">
        <f aca="false">IF(OR($M1233="",$F1233="",$G1233=""),"",IF($H1233="Разминка","Разминка",IF($F1233&lt;INDEX('Программа тренировок'!$E$6:$E$25,$M1233),"Ниже диапазона",IF(AND($F1233&gt;=INDEX('Программа тренировок'!$F$6:$F$25,$M1233),$G1233&gt;=INDEX('Программа тренировок'!$L$6:$L$25,$M1233)),"Верх диапазона: пора добавлять вес",IF($G1233&lt;INDEX('Программа тренировок'!$L$6:$L$25,$M1233),"RIR ниже цели","В диапазоне")))))</f>
        <v/>
      </c>
      <c r="M1233" s="23" t="str">
        <f aca="false">IF($C1233="","",IFERROR(MATCH($C1233,'Программа тренировок'!$C$6:$C$25,0),""))</f>
        <v/>
      </c>
    </row>
    <row r="1234" customFormat="false" ht="15" hidden="false" customHeight="true" outlineLevel="0" collapsed="false">
      <c r="A1234" s="20"/>
      <c r="B1234" s="21"/>
      <c r="C1234" s="19"/>
      <c r="D1234" s="18"/>
      <c r="E1234" s="17"/>
      <c r="F1234" s="18"/>
      <c r="G1234" s="18"/>
      <c r="H1234" s="21"/>
      <c r="I1234" s="19"/>
      <c r="J1234" s="8" t="str">
        <f aca="false">IF(OR(E1234="",F1234=""),"",E1234*F1234)</f>
        <v/>
      </c>
      <c r="K1234" s="22" t="str">
        <f aca="false">IF($M1234="","",INDEX('Программа тренировок'!$G$6:$G$25,$M1234))</f>
        <v/>
      </c>
      <c r="L1234" s="23" t="str">
        <f aca="false">IF(OR($M1234="",$F1234="",$G1234=""),"",IF($H1234="Разминка","Разминка",IF($F1234&lt;INDEX('Программа тренировок'!$E$6:$E$25,$M1234),"Ниже диапазона",IF(AND($F1234&gt;=INDEX('Программа тренировок'!$F$6:$F$25,$M1234),$G1234&gt;=INDEX('Программа тренировок'!$L$6:$L$25,$M1234)),"Верх диапазона: пора добавлять вес",IF($G1234&lt;INDEX('Программа тренировок'!$L$6:$L$25,$M1234),"RIR ниже цели","В диапазоне")))))</f>
        <v/>
      </c>
      <c r="M1234" s="23" t="str">
        <f aca="false">IF($C1234="","",IFERROR(MATCH($C1234,'Программа тренировок'!$C$6:$C$25,0),""))</f>
        <v/>
      </c>
    </row>
    <row r="1235" customFormat="false" ht="15" hidden="false" customHeight="true" outlineLevel="0" collapsed="false">
      <c r="A1235" s="20"/>
      <c r="B1235" s="21"/>
      <c r="C1235" s="19"/>
      <c r="D1235" s="18"/>
      <c r="E1235" s="17"/>
      <c r="F1235" s="18"/>
      <c r="G1235" s="18"/>
      <c r="H1235" s="21"/>
      <c r="I1235" s="19"/>
      <c r="J1235" s="8" t="str">
        <f aca="false">IF(OR(E1235="",F1235=""),"",E1235*F1235)</f>
        <v/>
      </c>
      <c r="K1235" s="22" t="str">
        <f aca="false">IF($M1235="","",INDEX('Программа тренировок'!$G$6:$G$25,$M1235))</f>
        <v/>
      </c>
      <c r="L1235" s="23" t="str">
        <f aca="false">IF(OR($M1235="",$F1235="",$G1235=""),"",IF($H1235="Разминка","Разминка",IF($F1235&lt;INDEX('Программа тренировок'!$E$6:$E$25,$M1235),"Ниже диапазона",IF(AND($F1235&gt;=INDEX('Программа тренировок'!$F$6:$F$25,$M1235),$G1235&gt;=INDEX('Программа тренировок'!$L$6:$L$25,$M1235)),"Верх диапазона: пора добавлять вес",IF($G1235&lt;INDEX('Программа тренировок'!$L$6:$L$25,$M1235),"RIR ниже цели","В диапазоне")))))</f>
        <v/>
      </c>
      <c r="M1235" s="23" t="str">
        <f aca="false">IF($C1235="","",IFERROR(MATCH($C1235,'Программа тренировок'!$C$6:$C$25,0),""))</f>
        <v/>
      </c>
    </row>
    <row r="1236" customFormat="false" ht="15" hidden="false" customHeight="true" outlineLevel="0" collapsed="false">
      <c r="A1236" s="20"/>
      <c r="B1236" s="21"/>
      <c r="C1236" s="19"/>
      <c r="D1236" s="18"/>
      <c r="E1236" s="17"/>
      <c r="F1236" s="18"/>
      <c r="G1236" s="18"/>
      <c r="H1236" s="21"/>
      <c r="I1236" s="19"/>
      <c r="J1236" s="8" t="str">
        <f aca="false">IF(OR(E1236="",F1236=""),"",E1236*F1236)</f>
        <v/>
      </c>
      <c r="K1236" s="22" t="str">
        <f aca="false">IF($M1236="","",INDEX('Программа тренировок'!$G$6:$G$25,$M1236))</f>
        <v/>
      </c>
      <c r="L1236" s="23" t="str">
        <f aca="false">IF(OR($M1236="",$F1236="",$G1236=""),"",IF($H1236="Разминка","Разминка",IF($F1236&lt;INDEX('Программа тренировок'!$E$6:$E$25,$M1236),"Ниже диапазона",IF(AND($F1236&gt;=INDEX('Программа тренировок'!$F$6:$F$25,$M1236),$G1236&gt;=INDEX('Программа тренировок'!$L$6:$L$25,$M1236)),"Верх диапазона: пора добавлять вес",IF($G1236&lt;INDEX('Программа тренировок'!$L$6:$L$25,$M1236),"RIR ниже цели","В диапазоне")))))</f>
        <v/>
      </c>
      <c r="M1236" s="23" t="str">
        <f aca="false">IF($C1236="","",IFERROR(MATCH($C1236,'Программа тренировок'!$C$6:$C$25,0),""))</f>
        <v/>
      </c>
    </row>
    <row r="1237" customFormat="false" ht="15" hidden="false" customHeight="true" outlineLevel="0" collapsed="false">
      <c r="A1237" s="20"/>
      <c r="B1237" s="21"/>
      <c r="C1237" s="19"/>
      <c r="D1237" s="18"/>
      <c r="E1237" s="17"/>
      <c r="F1237" s="18"/>
      <c r="G1237" s="18"/>
      <c r="H1237" s="21"/>
      <c r="I1237" s="19"/>
      <c r="J1237" s="8" t="str">
        <f aca="false">IF(OR(E1237="",F1237=""),"",E1237*F1237)</f>
        <v/>
      </c>
      <c r="K1237" s="22" t="str">
        <f aca="false">IF($M1237="","",INDEX('Программа тренировок'!$G$6:$G$25,$M1237))</f>
        <v/>
      </c>
      <c r="L1237" s="23" t="str">
        <f aca="false">IF(OR($M1237="",$F1237="",$G1237=""),"",IF($H1237="Разминка","Разминка",IF($F1237&lt;INDEX('Программа тренировок'!$E$6:$E$25,$M1237),"Ниже диапазона",IF(AND($F1237&gt;=INDEX('Программа тренировок'!$F$6:$F$25,$M1237),$G1237&gt;=INDEX('Программа тренировок'!$L$6:$L$25,$M1237)),"Верх диапазона: пора добавлять вес",IF($G1237&lt;INDEX('Программа тренировок'!$L$6:$L$25,$M1237),"RIR ниже цели","В диапазоне")))))</f>
        <v/>
      </c>
      <c r="M1237" s="23" t="str">
        <f aca="false">IF($C1237="","",IFERROR(MATCH($C1237,'Программа тренировок'!$C$6:$C$25,0),""))</f>
        <v/>
      </c>
    </row>
    <row r="1238" customFormat="false" ht="15" hidden="false" customHeight="true" outlineLevel="0" collapsed="false">
      <c r="A1238" s="20"/>
      <c r="B1238" s="21"/>
      <c r="C1238" s="19"/>
      <c r="D1238" s="18"/>
      <c r="E1238" s="17"/>
      <c r="F1238" s="18"/>
      <c r="G1238" s="18"/>
      <c r="H1238" s="21"/>
      <c r="I1238" s="19"/>
      <c r="J1238" s="8" t="str">
        <f aca="false">IF(OR(E1238="",F1238=""),"",E1238*F1238)</f>
        <v/>
      </c>
      <c r="K1238" s="22" t="str">
        <f aca="false">IF($M1238="","",INDEX('Программа тренировок'!$G$6:$G$25,$M1238))</f>
        <v/>
      </c>
      <c r="L1238" s="23" t="str">
        <f aca="false">IF(OR($M1238="",$F1238="",$G1238=""),"",IF($H1238="Разминка","Разминка",IF($F1238&lt;INDEX('Программа тренировок'!$E$6:$E$25,$M1238),"Ниже диапазона",IF(AND($F1238&gt;=INDEX('Программа тренировок'!$F$6:$F$25,$M1238),$G1238&gt;=INDEX('Программа тренировок'!$L$6:$L$25,$M1238)),"Верх диапазона: пора добавлять вес",IF($G1238&lt;INDEX('Программа тренировок'!$L$6:$L$25,$M1238),"RIR ниже цели","В диапазоне")))))</f>
        <v/>
      </c>
      <c r="M1238" s="23" t="str">
        <f aca="false">IF($C1238="","",IFERROR(MATCH($C1238,'Программа тренировок'!$C$6:$C$25,0),""))</f>
        <v/>
      </c>
    </row>
    <row r="1239" customFormat="false" ht="15" hidden="false" customHeight="true" outlineLevel="0" collapsed="false">
      <c r="A1239" s="20"/>
      <c r="B1239" s="21"/>
      <c r="C1239" s="19"/>
      <c r="D1239" s="18"/>
      <c r="E1239" s="17"/>
      <c r="F1239" s="18"/>
      <c r="G1239" s="18"/>
      <c r="H1239" s="21"/>
      <c r="I1239" s="19"/>
      <c r="J1239" s="8" t="str">
        <f aca="false">IF(OR(E1239="",F1239=""),"",E1239*F1239)</f>
        <v/>
      </c>
      <c r="K1239" s="22" t="str">
        <f aca="false">IF($M1239="","",INDEX('Программа тренировок'!$G$6:$G$25,$M1239))</f>
        <v/>
      </c>
      <c r="L1239" s="23" t="str">
        <f aca="false">IF(OR($M1239="",$F1239="",$G1239=""),"",IF($H1239="Разминка","Разминка",IF($F1239&lt;INDEX('Программа тренировок'!$E$6:$E$25,$M1239),"Ниже диапазона",IF(AND($F1239&gt;=INDEX('Программа тренировок'!$F$6:$F$25,$M1239),$G1239&gt;=INDEX('Программа тренировок'!$L$6:$L$25,$M1239)),"Верх диапазона: пора добавлять вес",IF($G1239&lt;INDEX('Программа тренировок'!$L$6:$L$25,$M1239),"RIR ниже цели","В диапазоне")))))</f>
        <v/>
      </c>
      <c r="M1239" s="23" t="str">
        <f aca="false">IF($C1239="","",IFERROR(MATCH($C1239,'Программа тренировок'!$C$6:$C$25,0),""))</f>
        <v/>
      </c>
    </row>
    <row r="1240" customFormat="false" ht="15" hidden="false" customHeight="true" outlineLevel="0" collapsed="false">
      <c r="A1240" s="20"/>
      <c r="B1240" s="21"/>
      <c r="C1240" s="19"/>
      <c r="D1240" s="18"/>
      <c r="E1240" s="17"/>
      <c r="F1240" s="18"/>
      <c r="G1240" s="18"/>
      <c r="H1240" s="21"/>
      <c r="I1240" s="19"/>
      <c r="J1240" s="8" t="str">
        <f aca="false">IF(OR(E1240="",F1240=""),"",E1240*F1240)</f>
        <v/>
      </c>
      <c r="K1240" s="22" t="str">
        <f aca="false">IF($M1240="","",INDEX('Программа тренировок'!$G$6:$G$25,$M1240))</f>
        <v/>
      </c>
      <c r="L1240" s="23" t="str">
        <f aca="false">IF(OR($M1240="",$F1240="",$G1240=""),"",IF($H1240="Разминка","Разминка",IF($F1240&lt;INDEX('Программа тренировок'!$E$6:$E$25,$M1240),"Ниже диапазона",IF(AND($F1240&gt;=INDEX('Программа тренировок'!$F$6:$F$25,$M1240),$G1240&gt;=INDEX('Программа тренировок'!$L$6:$L$25,$M1240)),"Верх диапазона: пора добавлять вес",IF($G1240&lt;INDEX('Программа тренировок'!$L$6:$L$25,$M1240),"RIR ниже цели","В диапазоне")))))</f>
        <v/>
      </c>
      <c r="M1240" s="23" t="str">
        <f aca="false">IF($C1240="","",IFERROR(MATCH($C1240,'Программа тренировок'!$C$6:$C$25,0),""))</f>
        <v/>
      </c>
    </row>
    <row r="1241" customFormat="false" ht="15" hidden="false" customHeight="true" outlineLevel="0" collapsed="false">
      <c r="A1241" s="20"/>
      <c r="B1241" s="21"/>
      <c r="C1241" s="19"/>
      <c r="D1241" s="18"/>
      <c r="E1241" s="17"/>
      <c r="F1241" s="18"/>
      <c r="G1241" s="18"/>
      <c r="H1241" s="21"/>
      <c r="I1241" s="19"/>
      <c r="J1241" s="8" t="str">
        <f aca="false">IF(OR(E1241="",F1241=""),"",E1241*F1241)</f>
        <v/>
      </c>
      <c r="K1241" s="22" t="str">
        <f aca="false">IF($M1241="","",INDEX('Программа тренировок'!$G$6:$G$25,$M1241))</f>
        <v/>
      </c>
      <c r="L1241" s="23" t="str">
        <f aca="false">IF(OR($M1241="",$F1241="",$G1241=""),"",IF($H1241="Разминка","Разминка",IF($F1241&lt;INDEX('Программа тренировок'!$E$6:$E$25,$M1241),"Ниже диапазона",IF(AND($F1241&gt;=INDEX('Программа тренировок'!$F$6:$F$25,$M1241),$G1241&gt;=INDEX('Программа тренировок'!$L$6:$L$25,$M1241)),"Верх диапазона: пора добавлять вес",IF($G1241&lt;INDEX('Программа тренировок'!$L$6:$L$25,$M1241),"RIR ниже цели","В диапазоне")))))</f>
        <v/>
      </c>
      <c r="M1241" s="23" t="str">
        <f aca="false">IF($C1241="","",IFERROR(MATCH($C1241,'Программа тренировок'!$C$6:$C$25,0),""))</f>
        <v/>
      </c>
    </row>
    <row r="1242" customFormat="false" ht="15" hidden="false" customHeight="true" outlineLevel="0" collapsed="false">
      <c r="A1242" s="20"/>
      <c r="B1242" s="21"/>
      <c r="C1242" s="19"/>
      <c r="D1242" s="18"/>
      <c r="E1242" s="17"/>
      <c r="F1242" s="18"/>
      <c r="G1242" s="18"/>
      <c r="H1242" s="21"/>
      <c r="I1242" s="19"/>
      <c r="J1242" s="8" t="str">
        <f aca="false">IF(OR(E1242="",F1242=""),"",E1242*F1242)</f>
        <v/>
      </c>
      <c r="K1242" s="22" t="str">
        <f aca="false">IF($M1242="","",INDEX('Программа тренировок'!$G$6:$G$25,$M1242))</f>
        <v/>
      </c>
      <c r="L1242" s="23" t="str">
        <f aca="false">IF(OR($M1242="",$F1242="",$G1242=""),"",IF($H1242="Разминка","Разминка",IF($F1242&lt;INDEX('Программа тренировок'!$E$6:$E$25,$M1242),"Ниже диапазона",IF(AND($F1242&gt;=INDEX('Программа тренировок'!$F$6:$F$25,$M1242),$G1242&gt;=INDEX('Программа тренировок'!$L$6:$L$25,$M1242)),"Верх диапазона: пора добавлять вес",IF($G1242&lt;INDEX('Программа тренировок'!$L$6:$L$25,$M1242),"RIR ниже цели","В диапазоне")))))</f>
        <v/>
      </c>
      <c r="M1242" s="23" t="str">
        <f aca="false">IF($C1242="","",IFERROR(MATCH($C1242,'Программа тренировок'!$C$6:$C$25,0),""))</f>
        <v/>
      </c>
    </row>
    <row r="1243" customFormat="false" ht="15" hidden="false" customHeight="true" outlineLevel="0" collapsed="false">
      <c r="A1243" s="20"/>
      <c r="B1243" s="21"/>
      <c r="C1243" s="19"/>
      <c r="D1243" s="18"/>
      <c r="E1243" s="17"/>
      <c r="F1243" s="18"/>
      <c r="G1243" s="18"/>
      <c r="H1243" s="21"/>
      <c r="I1243" s="19"/>
      <c r="J1243" s="8" t="str">
        <f aca="false">IF(OR(E1243="",F1243=""),"",E1243*F1243)</f>
        <v/>
      </c>
      <c r="K1243" s="22" t="str">
        <f aca="false">IF($M1243="","",INDEX('Программа тренировок'!$G$6:$G$25,$M1243))</f>
        <v/>
      </c>
      <c r="L1243" s="23" t="str">
        <f aca="false">IF(OR($M1243="",$F1243="",$G1243=""),"",IF($H1243="Разминка","Разминка",IF($F1243&lt;INDEX('Программа тренировок'!$E$6:$E$25,$M1243),"Ниже диапазона",IF(AND($F1243&gt;=INDEX('Программа тренировок'!$F$6:$F$25,$M1243),$G1243&gt;=INDEX('Программа тренировок'!$L$6:$L$25,$M1243)),"Верх диапазона: пора добавлять вес",IF($G1243&lt;INDEX('Программа тренировок'!$L$6:$L$25,$M1243),"RIR ниже цели","В диапазоне")))))</f>
        <v/>
      </c>
      <c r="M1243" s="23" t="str">
        <f aca="false">IF($C1243="","",IFERROR(MATCH($C1243,'Программа тренировок'!$C$6:$C$25,0),""))</f>
        <v/>
      </c>
    </row>
    <row r="1244" customFormat="false" ht="15" hidden="false" customHeight="true" outlineLevel="0" collapsed="false">
      <c r="A1244" s="20"/>
      <c r="B1244" s="21"/>
      <c r="C1244" s="19"/>
      <c r="D1244" s="18"/>
      <c r="E1244" s="17"/>
      <c r="F1244" s="18"/>
      <c r="G1244" s="18"/>
      <c r="H1244" s="21"/>
      <c r="I1244" s="19"/>
      <c r="J1244" s="8" t="str">
        <f aca="false">IF(OR(E1244="",F1244=""),"",E1244*F1244)</f>
        <v/>
      </c>
      <c r="K1244" s="22" t="str">
        <f aca="false">IF($M1244="","",INDEX('Программа тренировок'!$G$6:$G$25,$M1244))</f>
        <v/>
      </c>
      <c r="L1244" s="23" t="str">
        <f aca="false">IF(OR($M1244="",$F1244="",$G1244=""),"",IF($H1244="Разминка","Разминка",IF($F1244&lt;INDEX('Программа тренировок'!$E$6:$E$25,$M1244),"Ниже диапазона",IF(AND($F1244&gt;=INDEX('Программа тренировок'!$F$6:$F$25,$M1244),$G1244&gt;=INDEX('Программа тренировок'!$L$6:$L$25,$M1244)),"Верх диапазона: пора добавлять вес",IF($G1244&lt;INDEX('Программа тренировок'!$L$6:$L$25,$M1244),"RIR ниже цели","В диапазоне")))))</f>
        <v/>
      </c>
      <c r="M1244" s="23" t="str">
        <f aca="false">IF($C1244="","",IFERROR(MATCH($C1244,'Программа тренировок'!$C$6:$C$25,0),""))</f>
        <v/>
      </c>
    </row>
    <row r="1245" customFormat="false" ht="15" hidden="false" customHeight="true" outlineLevel="0" collapsed="false">
      <c r="A1245" s="20"/>
      <c r="B1245" s="21"/>
      <c r="C1245" s="19"/>
      <c r="D1245" s="18"/>
      <c r="E1245" s="17"/>
      <c r="F1245" s="18"/>
      <c r="G1245" s="18"/>
      <c r="H1245" s="21"/>
      <c r="I1245" s="19"/>
      <c r="J1245" s="8" t="str">
        <f aca="false">IF(OR(E1245="",F1245=""),"",E1245*F1245)</f>
        <v/>
      </c>
      <c r="K1245" s="22" t="str">
        <f aca="false">IF($M1245="","",INDEX('Программа тренировок'!$G$6:$G$25,$M1245))</f>
        <v/>
      </c>
      <c r="L1245" s="23" t="str">
        <f aca="false">IF(OR($M1245="",$F1245="",$G1245=""),"",IF($H1245="Разминка","Разминка",IF($F1245&lt;INDEX('Программа тренировок'!$E$6:$E$25,$M1245),"Ниже диапазона",IF(AND($F1245&gt;=INDEX('Программа тренировок'!$F$6:$F$25,$M1245),$G1245&gt;=INDEX('Программа тренировок'!$L$6:$L$25,$M1245)),"Верх диапазона: пора добавлять вес",IF($G1245&lt;INDEX('Программа тренировок'!$L$6:$L$25,$M1245),"RIR ниже цели","В диапазоне")))))</f>
        <v/>
      </c>
      <c r="M1245" s="23" t="str">
        <f aca="false">IF($C1245="","",IFERROR(MATCH($C1245,'Программа тренировок'!$C$6:$C$25,0),""))</f>
        <v/>
      </c>
    </row>
    <row r="1246" customFormat="false" ht="15" hidden="false" customHeight="true" outlineLevel="0" collapsed="false">
      <c r="A1246" s="20"/>
      <c r="B1246" s="21"/>
      <c r="C1246" s="19"/>
      <c r="D1246" s="18"/>
      <c r="E1246" s="17"/>
      <c r="F1246" s="18"/>
      <c r="G1246" s="18"/>
      <c r="H1246" s="21"/>
      <c r="I1246" s="19"/>
      <c r="J1246" s="8" t="str">
        <f aca="false">IF(OR(E1246="",F1246=""),"",E1246*F1246)</f>
        <v/>
      </c>
      <c r="K1246" s="22" t="str">
        <f aca="false">IF($M1246="","",INDEX('Программа тренировок'!$G$6:$G$25,$M1246))</f>
        <v/>
      </c>
      <c r="L1246" s="23" t="str">
        <f aca="false">IF(OR($M1246="",$F1246="",$G1246=""),"",IF($H1246="Разминка","Разминка",IF($F1246&lt;INDEX('Программа тренировок'!$E$6:$E$25,$M1246),"Ниже диапазона",IF(AND($F1246&gt;=INDEX('Программа тренировок'!$F$6:$F$25,$M1246),$G1246&gt;=INDEX('Программа тренировок'!$L$6:$L$25,$M1246)),"Верх диапазона: пора добавлять вес",IF($G1246&lt;INDEX('Программа тренировок'!$L$6:$L$25,$M1246),"RIR ниже цели","В диапазоне")))))</f>
        <v/>
      </c>
      <c r="M1246" s="23" t="str">
        <f aca="false">IF($C1246="","",IFERROR(MATCH($C1246,'Программа тренировок'!$C$6:$C$25,0),""))</f>
        <v/>
      </c>
    </row>
    <row r="1247" customFormat="false" ht="15" hidden="false" customHeight="true" outlineLevel="0" collapsed="false">
      <c r="A1247" s="20"/>
      <c r="B1247" s="21"/>
      <c r="C1247" s="19"/>
      <c r="D1247" s="18"/>
      <c r="E1247" s="17"/>
      <c r="F1247" s="18"/>
      <c r="G1247" s="18"/>
      <c r="H1247" s="21"/>
      <c r="I1247" s="19"/>
      <c r="J1247" s="8" t="str">
        <f aca="false">IF(OR(E1247="",F1247=""),"",E1247*F1247)</f>
        <v/>
      </c>
      <c r="K1247" s="22" t="str">
        <f aca="false">IF($M1247="","",INDEX('Программа тренировок'!$G$6:$G$25,$M1247))</f>
        <v/>
      </c>
      <c r="L1247" s="23" t="str">
        <f aca="false">IF(OR($M1247="",$F1247="",$G1247=""),"",IF($H1247="Разминка","Разминка",IF($F1247&lt;INDEX('Программа тренировок'!$E$6:$E$25,$M1247),"Ниже диапазона",IF(AND($F1247&gt;=INDEX('Программа тренировок'!$F$6:$F$25,$M1247),$G1247&gt;=INDEX('Программа тренировок'!$L$6:$L$25,$M1247)),"Верх диапазона: пора добавлять вес",IF($G1247&lt;INDEX('Программа тренировок'!$L$6:$L$25,$M1247),"RIR ниже цели","В диапазоне")))))</f>
        <v/>
      </c>
      <c r="M1247" s="23" t="str">
        <f aca="false">IF($C1247="","",IFERROR(MATCH($C1247,'Программа тренировок'!$C$6:$C$25,0),""))</f>
        <v/>
      </c>
    </row>
    <row r="1248" customFormat="false" ht="15" hidden="false" customHeight="true" outlineLevel="0" collapsed="false">
      <c r="A1248" s="20"/>
      <c r="B1248" s="21"/>
      <c r="C1248" s="19"/>
      <c r="D1248" s="18"/>
      <c r="E1248" s="17"/>
      <c r="F1248" s="18"/>
      <c r="G1248" s="18"/>
      <c r="H1248" s="21"/>
      <c r="I1248" s="19"/>
      <c r="J1248" s="8" t="str">
        <f aca="false">IF(OR(E1248="",F1248=""),"",E1248*F1248)</f>
        <v/>
      </c>
      <c r="K1248" s="22" t="str">
        <f aca="false">IF($M1248="","",INDEX('Программа тренировок'!$G$6:$G$25,$M1248))</f>
        <v/>
      </c>
      <c r="L1248" s="23" t="str">
        <f aca="false">IF(OR($M1248="",$F1248="",$G1248=""),"",IF($H1248="Разминка","Разминка",IF($F1248&lt;INDEX('Программа тренировок'!$E$6:$E$25,$M1248),"Ниже диапазона",IF(AND($F1248&gt;=INDEX('Программа тренировок'!$F$6:$F$25,$M1248),$G1248&gt;=INDEX('Программа тренировок'!$L$6:$L$25,$M1248)),"Верх диапазона: пора добавлять вес",IF($G1248&lt;INDEX('Программа тренировок'!$L$6:$L$25,$M1248),"RIR ниже цели","В диапазоне")))))</f>
        <v/>
      </c>
      <c r="M1248" s="23" t="str">
        <f aca="false">IF($C1248="","",IFERROR(MATCH($C1248,'Программа тренировок'!$C$6:$C$25,0),""))</f>
        <v/>
      </c>
    </row>
    <row r="1249" customFormat="false" ht="15" hidden="false" customHeight="true" outlineLevel="0" collapsed="false">
      <c r="A1249" s="20"/>
      <c r="B1249" s="21"/>
      <c r="C1249" s="19"/>
      <c r="D1249" s="18"/>
      <c r="E1249" s="17"/>
      <c r="F1249" s="18"/>
      <c r="G1249" s="18"/>
      <c r="H1249" s="21"/>
      <c r="I1249" s="19"/>
      <c r="J1249" s="8" t="str">
        <f aca="false">IF(OR(E1249="",F1249=""),"",E1249*F1249)</f>
        <v/>
      </c>
      <c r="K1249" s="22" t="str">
        <f aca="false">IF($M1249="","",INDEX('Программа тренировок'!$G$6:$G$25,$M1249))</f>
        <v/>
      </c>
      <c r="L1249" s="23" t="str">
        <f aca="false">IF(OR($M1249="",$F1249="",$G1249=""),"",IF($H1249="Разминка","Разминка",IF($F1249&lt;INDEX('Программа тренировок'!$E$6:$E$25,$M1249),"Ниже диапазона",IF(AND($F1249&gt;=INDEX('Программа тренировок'!$F$6:$F$25,$M1249),$G1249&gt;=INDEX('Программа тренировок'!$L$6:$L$25,$M1249)),"Верх диапазона: пора добавлять вес",IF($G1249&lt;INDEX('Программа тренировок'!$L$6:$L$25,$M1249),"RIR ниже цели","В диапазоне")))))</f>
        <v/>
      </c>
      <c r="M1249" s="23" t="str">
        <f aca="false">IF($C1249="","",IFERROR(MATCH($C1249,'Программа тренировок'!$C$6:$C$25,0),""))</f>
        <v/>
      </c>
    </row>
    <row r="1250" customFormat="false" ht="15" hidden="false" customHeight="true" outlineLevel="0" collapsed="false">
      <c r="A1250" s="20"/>
      <c r="B1250" s="21"/>
      <c r="C1250" s="19"/>
      <c r="D1250" s="18"/>
      <c r="E1250" s="17"/>
      <c r="F1250" s="18"/>
      <c r="G1250" s="18"/>
      <c r="H1250" s="21"/>
      <c r="I1250" s="19"/>
      <c r="J1250" s="8" t="str">
        <f aca="false">IF(OR(E1250="",F1250=""),"",E1250*F1250)</f>
        <v/>
      </c>
      <c r="K1250" s="22" t="str">
        <f aca="false">IF($M1250="","",INDEX('Программа тренировок'!$G$6:$G$25,$M1250))</f>
        <v/>
      </c>
      <c r="L1250" s="23" t="str">
        <f aca="false">IF(OR($M1250="",$F1250="",$G1250=""),"",IF($H1250="Разминка","Разминка",IF($F1250&lt;INDEX('Программа тренировок'!$E$6:$E$25,$M1250),"Ниже диапазона",IF(AND($F1250&gt;=INDEX('Программа тренировок'!$F$6:$F$25,$M1250),$G1250&gt;=INDEX('Программа тренировок'!$L$6:$L$25,$M1250)),"Верх диапазона: пора добавлять вес",IF($G1250&lt;INDEX('Программа тренировок'!$L$6:$L$25,$M1250),"RIR ниже цели","В диапазоне")))))</f>
        <v/>
      </c>
      <c r="M1250" s="23" t="str">
        <f aca="false">IF($C1250="","",IFERROR(MATCH($C1250,'Программа тренировок'!$C$6:$C$25,0),""))</f>
        <v/>
      </c>
    </row>
    <row r="1251" customFormat="false" ht="15" hidden="false" customHeight="true" outlineLevel="0" collapsed="false">
      <c r="A1251" s="20"/>
      <c r="B1251" s="21"/>
      <c r="C1251" s="19"/>
      <c r="D1251" s="18"/>
      <c r="E1251" s="17"/>
      <c r="F1251" s="18"/>
      <c r="G1251" s="18"/>
      <c r="H1251" s="21"/>
      <c r="I1251" s="19"/>
      <c r="J1251" s="8" t="str">
        <f aca="false">IF(OR(E1251="",F1251=""),"",E1251*F1251)</f>
        <v/>
      </c>
      <c r="K1251" s="22" t="str">
        <f aca="false">IF($M1251="","",INDEX('Программа тренировок'!$G$6:$G$25,$M1251))</f>
        <v/>
      </c>
      <c r="L1251" s="23" t="str">
        <f aca="false">IF(OR($M1251="",$F1251="",$G1251=""),"",IF($H1251="Разминка","Разминка",IF($F1251&lt;INDEX('Программа тренировок'!$E$6:$E$25,$M1251),"Ниже диапазона",IF(AND($F1251&gt;=INDEX('Программа тренировок'!$F$6:$F$25,$M1251),$G1251&gt;=INDEX('Программа тренировок'!$L$6:$L$25,$M1251)),"Верх диапазона: пора добавлять вес",IF($G1251&lt;INDEX('Программа тренировок'!$L$6:$L$25,$M1251),"RIR ниже цели","В диапазоне")))))</f>
        <v/>
      </c>
      <c r="M1251" s="23" t="str">
        <f aca="false">IF($C1251="","",IFERROR(MATCH($C1251,'Программа тренировок'!$C$6:$C$25,0),""))</f>
        <v/>
      </c>
    </row>
    <row r="1252" customFormat="false" ht="15" hidden="false" customHeight="true" outlineLevel="0" collapsed="false">
      <c r="A1252" s="20"/>
      <c r="B1252" s="21"/>
      <c r="C1252" s="19"/>
      <c r="D1252" s="18"/>
      <c r="E1252" s="17"/>
      <c r="F1252" s="18"/>
      <c r="G1252" s="18"/>
      <c r="H1252" s="21"/>
      <c r="I1252" s="19"/>
      <c r="J1252" s="8" t="str">
        <f aca="false">IF(OR(E1252="",F1252=""),"",E1252*F1252)</f>
        <v/>
      </c>
      <c r="K1252" s="22" t="str">
        <f aca="false">IF($M1252="","",INDEX('Программа тренировок'!$G$6:$G$25,$M1252))</f>
        <v/>
      </c>
      <c r="L1252" s="23" t="str">
        <f aca="false">IF(OR($M1252="",$F1252="",$G1252=""),"",IF($H1252="Разминка","Разминка",IF($F1252&lt;INDEX('Программа тренировок'!$E$6:$E$25,$M1252),"Ниже диапазона",IF(AND($F1252&gt;=INDEX('Программа тренировок'!$F$6:$F$25,$M1252),$G1252&gt;=INDEX('Программа тренировок'!$L$6:$L$25,$M1252)),"Верх диапазона: пора добавлять вес",IF($G1252&lt;INDEX('Программа тренировок'!$L$6:$L$25,$M1252),"RIR ниже цели","В диапазоне")))))</f>
        <v/>
      </c>
      <c r="M1252" s="23" t="str">
        <f aca="false">IF($C1252="","",IFERROR(MATCH($C1252,'Программа тренировок'!$C$6:$C$25,0),""))</f>
        <v/>
      </c>
    </row>
    <row r="1253" customFormat="false" ht="15" hidden="false" customHeight="true" outlineLevel="0" collapsed="false">
      <c r="A1253" s="20"/>
      <c r="B1253" s="21"/>
      <c r="C1253" s="19"/>
      <c r="D1253" s="18"/>
      <c r="E1253" s="17"/>
      <c r="F1253" s="18"/>
      <c r="G1253" s="18"/>
      <c r="H1253" s="21"/>
      <c r="I1253" s="19"/>
      <c r="J1253" s="8" t="str">
        <f aca="false">IF(OR(E1253="",F1253=""),"",E1253*F1253)</f>
        <v/>
      </c>
      <c r="K1253" s="22" t="str">
        <f aca="false">IF($M1253="","",INDEX('Программа тренировок'!$G$6:$G$25,$M1253))</f>
        <v/>
      </c>
      <c r="L1253" s="23" t="str">
        <f aca="false">IF(OR($M1253="",$F1253="",$G1253=""),"",IF($H1253="Разминка","Разминка",IF($F1253&lt;INDEX('Программа тренировок'!$E$6:$E$25,$M1253),"Ниже диапазона",IF(AND($F1253&gt;=INDEX('Программа тренировок'!$F$6:$F$25,$M1253),$G1253&gt;=INDEX('Программа тренировок'!$L$6:$L$25,$M1253)),"Верх диапазона: пора добавлять вес",IF($G1253&lt;INDEX('Программа тренировок'!$L$6:$L$25,$M1253),"RIR ниже цели","В диапазоне")))))</f>
        <v/>
      </c>
      <c r="M1253" s="23" t="str">
        <f aca="false">IF($C1253="","",IFERROR(MATCH($C1253,'Программа тренировок'!$C$6:$C$25,0),""))</f>
        <v/>
      </c>
    </row>
    <row r="1254" customFormat="false" ht="15" hidden="false" customHeight="true" outlineLevel="0" collapsed="false">
      <c r="A1254" s="20"/>
      <c r="B1254" s="21"/>
      <c r="C1254" s="19"/>
      <c r="D1254" s="18"/>
      <c r="E1254" s="17"/>
      <c r="F1254" s="18"/>
      <c r="G1254" s="18"/>
      <c r="H1254" s="21"/>
      <c r="I1254" s="19"/>
      <c r="J1254" s="8" t="str">
        <f aca="false">IF(OR(E1254="",F1254=""),"",E1254*F1254)</f>
        <v/>
      </c>
      <c r="K1254" s="22" t="str">
        <f aca="false">IF($M1254="","",INDEX('Программа тренировок'!$G$6:$G$25,$M1254))</f>
        <v/>
      </c>
      <c r="L1254" s="23" t="str">
        <f aca="false">IF(OR($M1254="",$F1254="",$G1254=""),"",IF($H1254="Разминка","Разминка",IF($F1254&lt;INDEX('Программа тренировок'!$E$6:$E$25,$M1254),"Ниже диапазона",IF(AND($F1254&gt;=INDEX('Программа тренировок'!$F$6:$F$25,$M1254),$G1254&gt;=INDEX('Программа тренировок'!$L$6:$L$25,$M1254)),"Верх диапазона: пора добавлять вес",IF($G1254&lt;INDEX('Программа тренировок'!$L$6:$L$25,$M1254),"RIR ниже цели","В диапазоне")))))</f>
        <v/>
      </c>
      <c r="M1254" s="23" t="str">
        <f aca="false">IF($C1254="","",IFERROR(MATCH($C1254,'Программа тренировок'!$C$6:$C$25,0),""))</f>
        <v/>
      </c>
    </row>
    <row r="1255" customFormat="false" ht="15" hidden="false" customHeight="true" outlineLevel="0" collapsed="false">
      <c r="A1255" s="20"/>
      <c r="B1255" s="21"/>
      <c r="C1255" s="19"/>
      <c r="D1255" s="18"/>
      <c r="E1255" s="17"/>
      <c r="F1255" s="18"/>
      <c r="G1255" s="18"/>
      <c r="H1255" s="21"/>
      <c r="I1255" s="19"/>
      <c r="J1255" s="8" t="str">
        <f aca="false">IF(OR(E1255="",F1255=""),"",E1255*F1255)</f>
        <v/>
      </c>
      <c r="K1255" s="22" t="str">
        <f aca="false">IF($M1255="","",INDEX('Программа тренировок'!$G$6:$G$25,$M1255))</f>
        <v/>
      </c>
      <c r="L1255" s="23" t="str">
        <f aca="false">IF(OR($M1255="",$F1255="",$G1255=""),"",IF($H1255="Разминка","Разминка",IF($F1255&lt;INDEX('Программа тренировок'!$E$6:$E$25,$M1255),"Ниже диапазона",IF(AND($F1255&gt;=INDEX('Программа тренировок'!$F$6:$F$25,$M1255),$G1255&gt;=INDEX('Программа тренировок'!$L$6:$L$25,$M1255)),"Верх диапазона: пора добавлять вес",IF($G1255&lt;INDEX('Программа тренировок'!$L$6:$L$25,$M1255),"RIR ниже цели","В диапазоне")))))</f>
        <v/>
      </c>
      <c r="M1255" s="23" t="str">
        <f aca="false">IF($C1255="","",IFERROR(MATCH($C1255,'Программа тренировок'!$C$6:$C$25,0),""))</f>
        <v/>
      </c>
    </row>
    <row r="1256" customFormat="false" ht="15" hidden="false" customHeight="true" outlineLevel="0" collapsed="false">
      <c r="A1256" s="20"/>
      <c r="B1256" s="21"/>
      <c r="C1256" s="19"/>
      <c r="D1256" s="18"/>
      <c r="E1256" s="17"/>
      <c r="F1256" s="18"/>
      <c r="G1256" s="18"/>
      <c r="H1256" s="21"/>
      <c r="I1256" s="19"/>
      <c r="J1256" s="8" t="str">
        <f aca="false">IF(OR(E1256="",F1256=""),"",E1256*F1256)</f>
        <v/>
      </c>
      <c r="K1256" s="22" t="str">
        <f aca="false">IF($M1256="","",INDEX('Программа тренировок'!$G$6:$G$25,$M1256))</f>
        <v/>
      </c>
      <c r="L1256" s="23" t="str">
        <f aca="false">IF(OR($M1256="",$F1256="",$G1256=""),"",IF($H1256="Разминка","Разминка",IF($F1256&lt;INDEX('Программа тренировок'!$E$6:$E$25,$M1256),"Ниже диапазона",IF(AND($F1256&gt;=INDEX('Программа тренировок'!$F$6:$F$25,$M1256),$G1256&gt;=INDEX('Программа тренировок'!$L$6:$L$25,$M1256)),"Верх диапазона: пора добавлять вес",IF($G1256&lt;INDEX('Программа тренировок'!$L$6:$L$25,$M1256),"RIR ниже цели","В диапазоне")))))</f>
        <v/>
      </c>
      <c r="M1256" s="23" t="str">
        <f aca="false">IF($C1256="","",IFERROR(MATCH($C1256,'Программа тренировок'!$C$6:$C$25,0),""))</f>
        <v/>
      </c>
    </row>
    <row r="1257" customFormat="false" ht="15" hidden="false" customHeight="true" outlineLevel="0" collapsed="false">
      <c r="A1257" s="20"/>
      <c r="B1257" s="21"/>
      <c r="C1257" s="19"/>
      <c r="D1257" s="18"/>
      <c r="E1257" s="17"/>
      <c r="F1257" s="18"/>
      <c r="G1257" s="18"/>
      <c r="H1257" s="21"/>
      <c r="I1257" s="19"/>
      <c r="J1257" s="8" t="str">
        <f aca="false">IF(OR(E1257="",F1257=""),"",E1257*F1257)</f>
        <v/>
      </c>
      <c r="K1257" s="22" t="str">
        <f aca="false">IF($M1257="","",INDEX('Программа тренировок'!$G$6:$G$25,$M1257))</f>
        <v/>
      </c>
      <c r="L1257" s="23" t="str">
        <f aca="false">IF(OR($M1257="",$F1257="",$G1257=""),"",IF($H1257="Разминка","Разминка",IF($F1257&lt;INDEX('Программа тренировок'!$E$6:$E$25,$M1257),"Ниже диапазона",IF(AND($F1257&gt;=INDEX('Программа тренировок'!$F$6:$F$25,$M1257),$G1257&gt;=INDEX('Программа тренировок'!$L$6:$L$25,$M1257)),"Верх диапазона: пора добавлять вес",IF($G1257&lt;INDEX('Программа тренировок'!$L$6:$L$25,$M1257),"RIR ниже цели","В диапазоне")))))</f>
        <v/>
      </c>
      <c r="M1257" s="23" t="str">
        <f aca="false">IF($C1257="","",IFERROR(MATCH($C1257,'Программа тренировок'!$C$6:$C$25,0),""))</f>
        <v/>
      </c>
    </row>
    <row r="1258" customFormat="false" ht="15" hidden="false" customHeight="true" outlineLevel="0" collapsed="false">
      <c r="A1258" s="20"/>
      <c r="B1258" s="21"/>
      <c r="C1258" s="19"/>
      <c r="D1258" s="18"/>
      <c r="E1258" s="17"/>
      <c r="F1258" s="18"/>
      <c r="G1258" s="18"/>
      <c r="H1258" s="21"/>
      <c r="I1258" s="19"/>
      <c r="J1258" s="8" t="str">
        <f aca="false">IF(OR(E1258="",F1258=""),"",E1258*F1258)</f>
        <v/>
      </c>
      <c r="K1258" s="22" t="str">
        <f aca="false">IF($M1258="","",INDEX('Программа тренировок'!$G$6:$G$25,$M1258))</f>
        <v/>
      </c>
      <c r="L1258" s="23" t="str">
        <f aca="false">IF(OR($M1258="",$F1258="",$G1258=""),"",IF($H1258="Разминка","Разминка",IF($F1258&lt;INDEX('Программа тренировок'!$E$6:$E$25,$M1258),"Ниже диапазона",IF(AND($F1258&gt;=INDEX('Программа тренировок'!$F$6:$F$25,$M1258),$G1258&gt;=INDEX('Программа тренировок'!$L$6:$L$25,$M1258)),"Верх диапазона: пора добавлять вес",IF($G1258&lt;INDEX('Программа тренировок'!$L$6:$L$25,$M1258),"RIR ниже цели","В диапазоне")))))</f>
        <v/>
      </c>
      <c r="M1258" s="23" t="str">
        <f aca="false">IF($C1258="","",IFERROR(MATCH($C1258,'Программа тренировок'!$C$6:$C$25,0),""))</f>
        <v/>
      </c>
    </row>
    <row r="1259" customFormat="false" ht="15" hidden="false" customHeight="true" outlineLevel="0" collapsed="false">
      <c r="A1259" s="20"/>
      <c r="B1259" s="21"/>
      <c r="C1259" s="19"/>
      <c r="D1259" s="18"/>
      <c r="E1259" s="17"/>
      <c r="F1259" s="18"/>
      <c r="G1259" s="18"/>
      <c r="H1259" s="21"/>
      <c r="I1259" s="19"/>
      <c r="J1259" s="8" t="str">
        <f aca="false">IF(OR(E1259="",F1259=""),"",E1259*F1259)</f>
        <v/>
      </c>
      <c r="K1259" s="22" t="str">
        <f aca="false">IF($M1259="","",INDEX('Программа тренировок'!$G$6:$G$25,$M1259))</f>
        <v/>
      </c>
      <c r="L1259" s="23" t="str">
        <f aca="false">IF(OR($M1259="",$F1259="",$G1259=""),"",IF($H1259="Разминка","Разминка",IF($F1259&lt;INDEX('Программа тренировок'!$E$6:$E$25,$M1259),"Ниже диапазона",IF(AND($F1259&gt;=INDEX('Программа тренировок'!$F$6:$F$25,$M1259),$G1259&gt;=INDEX('Программа тренировок'!$L$6:$L$25,$M1259)),"Верх диапазона: пора добавлять вес",IF($G1259&lt;INDEX('Программа тренировок'!$L$6:$L$25,$M1259),"RIR ниже цели","В диапазоне")))))</f>
        <v/>
      </c>
      <c r="M1259" s="23" t="str">
        <f aca="false">IF($C1259="","",IFERROR(MATCH($C1259,'Программа тренировок'!$C$6:$C$25,0),""))</f>
        <v/>
      </c>
    </row>
    <row r="1260" customFormat="false" ht="15" hidden="false" customHeight="true" outlineLevel="0" collapsed="false">
      <c r="A1260" s="20"/>
      <c r="B1260" s="21"/>
      <c r="C1260" s="19"/>
      <c r="D1260" s="18"/>
      <c r="E1260" s="17"/>
      <c r="F1260" s="18"/>
      <c r="G1260" s="18"/>
      <c r="H1260" s="21"/>
      <c r="I1260" s="19"/>
      <c r="J1260" s="8" t="str">
        <f aca="false">IF(OR(E1260="",F1260=""),"",E1260*F1260)</f>
        <v/>
      </c>
      <c r="K1260" s="22" t="str">
        <f aca="false">IF($M1260="","",INDEX('Программа тренировок'!$G$6:$G$25,$M1260))</f>
        <v/>
      </c>
      <c r="L1260" s="23" t="str">
        <f aca="false">IF(OR($M1260="",$F1260="",$G1260=""),"",IF($H1260="Разминка","Разминка",IF($F1260&lt;INDEX('Программа тренировок'!$E$6:$E$25,$M1260),"Ниже диапазона",IF(AND($F1260&gt;=INDEX('Программа тренировок'!$F$6:$F$25,$M1260),$G1260&gt;=INDEX('Программа тренировок'!$L$6:$L$25,$M1260)),"Верх диапазона: пора добавлять вес",IF($G1260&lt;INDEX('Программа тренировок'!$L$6:$L$25,$M1260),"RIR ниже цели","В диапазоне")))))</f>
        <v/>
      </c>
      <c r="M1260" s="23" t="str">
        <f aca="false">IF($C1260="","",IFERROR(MATCH($C1260,'Программа тренировок'!$C$6:$C$25,0),""))</f>
        <v/>
      </c>
    </row>
    <row r="1261" customFormat="false" ht="15" hidden="false" customHeight="true" outlineLevel="0" collapsed="false">
      <c r="A1261" s="20"/>
      <c r="B1261" s="21"/>
      <c r="C1261" s="19"/>
      <c r="D1261" s="18"/>
      <c r="E1261" s="17"/>
      <c r="F1261" s="18"/>
      <c r="G1261" s="18"/>
      <c r="H1261" s="21"/>
      <c r="I1261" s="19"/>
      <c r="J1261" s="8" t="str">
        <f aca="false">IF(OR(E1261="",F1261=""),"",E1261*F1261)</f>
        <v/>
      </c>
      <c r="K1261" s="22" t="str">
        <f aca="false">IF($M1261="","",INDEX('Программа тренировок'!$G$6:$G$25,$M1261))</f>
        <v/>
      </c>
      <c r="L1261" s="23" t="str">
        <f aca="false">IF(OR($M1261="",$F1261="",$G1261=""),"",IF($H1261="Разминка","Разминка",IF($F1261&lt;INDEX('Программа тренировок'!$E$6:$E$25,$M1261),"Ниже диапазона",IF(AND($F1261&gt;=INDEX('Программа тренировок'!$F$6:$F$25,$M1261),$G1261&gt;=INDEX('Программа тренировок'!$L$6:$L$25,$M1261)),"Верх диапазона: пора добавлять вес",IF($G1261&lt;INDEX('Программа тренировок'!$L$6:$L$25,$M1261),"RIR ниже цели","В диапазоне")))))</f>
        <v/>
      </c>
      <c r="M1261" s="23" t="str">
        <f aca="false">IF($C1261="","",IFERROR(MATCH($C1261,'Программа тренировок'!$C$6:$C$25,0),""))</f>
        <v/>
      </c>
    </row>
    <row r="1262" customFormat="false" ht="15" hidden="false" customHeight="true" outlineLevel="0" collapsed="false">
      <c r="A1262" s="20"/>
      <c r="B1262" s="21"/>
      <c r="C1262" s="19"/>
      <c r="D1262" s="18"/>
      <c r="E1262" s="17"/>
      <c r="F1262" s="18"/>
      <c r="G1262" s="18"/>
      <c r="H1262" s="21"/>
      <c r="I1262" s="19"/>
      <c r="J1262" s="8" t="str">
        <f aca="false">IF(OR(E1262="",F1262=""),"",E1262*F1262)</f>
        <v/>
      </c>
      <c r="K1262" s="22" t="str">
        <f aca="false">IF($M1262="","",INDEX('Программа тренировок'!$G$6:$G$25,$M1262))</f>
        <v/>
      </c>
      <c r="L1262" s="23" t="str">
        <f aca="false">IF(OR($M1262="",$F1262="",$G1262=""),"",IF($H1262="Разминка","Разминка",IF($F1262&lt;INDEX('Программа тренировок'!$E$6:$E$25,$M1262),"Ниже диапазона",IF(AND($F1262&gt;=INDEX('Программа тренировок'!$F$6:$F$25,$M1262),$G1262&gt;=INDEX('Программа тренировок'!$L$6:$L$25,$M1262)),"Верх диапазона: пора добавлять вес",IF($G1262&lt;INDEX('Программа тренировок'!$L$6:$L$25,$M1262),"RIR ниже цели","В диапазоне")))))</f>
        <v/>
      </c>
      <c r="M1262" s="23" t="str">
        <f aca="false">IF($C1262="","",IFERROR(MATCH($C1262,'Программа тренировок'!$C$6:$C$25,0),""))</f>
        <v/>
      </c>
    </row>
    <row r="1263" customFormat="false" ht="15" hidden="false" customHeight="true" outlineLevel="0" collapsed="false">
      <c r="A1263" s="20"/>
      <c r="B1263" s="21"/>
      <c r="C1263" s="19"/>
      <c r="D1263" s="18"/>
      <c r="E1263" s="17"/>
      <c r="F1263" s="18"/>
      <c r="G1263" s="18"/>
      <c r="H1263" s="21"/>
      <c r="I1263" s="19"/>
      <c r="J1263" s="8" t="str">
        <f aca="false">IF(OR(E1263="",F1263=""),"",E1263*F1263)</f>
        <v/>
      </c>
      <c r="K1263" s="22" t="str">
        <f aca="false">IF($M1263="","",INDEX('Программа тренировок'!$G$6:$G$25,$M1263))</f>
        <v/>
      </c>
      <c r="L1263" s="23" t="str">
        <f aca="false">IF(OR($M1263="",$F1263="",$G1263=""),"",IF($H1263="Разминка","Разминка",IF($F1263&lt;INDEX('Программа тренировок'!$E$6:$E$25,$M1263),"Ниже диапазона",IF(AND($F1263&gt;=INDEX('Программа тренировок'!$F$6:$F$25,$M1263),$G1263&gt;=INDEX('Программа тренировок'!$L$6:$L$25,$M1263)),"Верх диапазона: пора добавлять вес",IF($G1263&lt;INDEX('Программа тренировок'!$L$6:$L$25,$M1263),"RIR ниже цели","В диапазоне")))))</f>
        <v/>
      </c>
      <c r="M1263" s="23" t="str">
        <f aca="false">IF($C1263="","",IFERROR(MATCH($C1263,'Программа тренировок'!$C$6:$C$25,0),""))</f>
        <v/>
      </c>
    </row>
    <row r="1264" customFormat="false" ht="15" hidden="false" customHeight="true" outlineLevel="0" collapsed="false">
      <c r="A1264" s="20"/>
      <c r="B1264" s="21"/>
      <c r="C1264" s="19"/>
      <c r="D1264" s="18"/>
      <c r="E1264" s="17"/>
      <c r="F1264" s="18"/>
      <c r="G1264" s="18"/>
      <c r="H1264" s="21"/>
      <c r="I1264" s="19"/>
      <c r="J1264" s="8" t="str">
        <f aca="false">IF(OR(E1264="",F1264=""),"",E1264*F1264)</f>
        <v/>
      </c>
      <c r="K1264" s="22" t="str">
        <f aca="false">IF($M1264="","",INDEX('Программа тренировок'!$G$6:$G$25,$M1264))</f>
        <v/>
      </c>
      <c r="L1264" s="23" t="str">
        <f aca="false">IF(OR($M1264="",$F1264="",$G1264=""),"",IF($H1264="Разминка","Разминка",IF($F1264&lt;INDEX('Программа тренировок'!$E$6:$E$25,$M1264),"Ниже диапазона",IF(AND($F1264&gt;=INDEX('Программа тренировок'!$F$6:$F$25,$M1264),$G1264&gt;=INDEX('Программа тренировок'!$L$6:$L$25,$M1264)),"Верх диапазона: пора добавлять вес",IF($G1264&lt;INDEX('Программа тренировок'!$L$6:$L$25,$M1264),"RIR ниже цели","В диапазоне")))))</f>
        <v/>
      </c>
      <c r="M1264" s="23" t="str">
        <f aca="false">IF($C1264="","",IFERROR(MATCH($C1264,'Программа тренировок'!$C$6:$C$25,0),""))</f>
        <v/>
      </c>
    </row>
    <row r="1265" customFormat="false" ht="15" hidden="false" customHeight="true" outlineLevel="0" collapsed="false">
      <c r="A1265" s="20"/>
      <c r="B1265" s="21"/>
      <c r="C1265" s="19"/>
      <c r="D1265" s="18"/>
      <c r="E1265" s="17"/>
      <c r="F1265" s="18"/>
      <c r="G1265" s="18"/>
      <c r="H1265" s="21"/>
      <c r="I1265" s="19"/>
      <c r="J1265" s="8" t="str">
        <f aca="false">IF(OR(E1265="",F1265=""),"",E1265*F1265)</f>
        <v/>
      </c>
      <c r="K1265" s="22" t="str">
        <f aca="false">IF($M1265="","",INDEX('Программа тренировок'!$G$6:$G$25,$M1265))</f>
        <v/>
      </c>
      <c r="L1265" s="23" t="str">
        <f aca="false">IF(OR($M1265="",$F1265="",$G1265=""),"",IF($H1265="Разминка","Разминка",IF($F1265&lt;INDEX('Программа тренировок'!$E$6:$E$25,$M1265),"Ниже диапазона",IF(AND($F1265&gt;=INDEX('Программа тренировок'!$F$6:$F$25,$M1265),$G1265&gt;=INDEX('Программа тренировок'!$L$6:$L$25,$M1265)),"Верх диапазона: пора добавлять вес",IF($G1265&lt;INDEX('Программа тренировок'!$L$6:$L$25,$M1265),"RIR ниже цели","В диапазоне")))))</f>
        <v/>
      </c>
      <c r="M1265" s="23" t="str">
        <f aca="false">IF($C1265="","",IFERROR(MATCH($C1265,'Программа тренировок'!$C$6:$C$25,0),""))</f>
        <v/>
      </c>
    </row>
    <row r="1266" customFormat="false" ht="15" hidden="false" customHeight="true" outlineLevel="0" collapsed="false">
      <c r="A1266" s="20"/>
      <c r="B1266" s="21"/>
      <c r="C1266" s="19"/>
      <c r="D1266" s="18"/>
      <c r="E1266" s="17"/>
      <c r="F1266" s="18"/>
      <c r="G1266" s="18"/>
      <c r="H1266" s="21"/>
      <c r="I1266" s="19"/>
      <c r="J1266" s="8" t="str">
        <f aca="false">IF(OR(E1266="",F1266=""),"",E1266*F1266)</f>
        <v/>
      </c>
      <c r="K1266" s="22" t="str">
        <f aca="false">IF($M1266="","",INDEX('Программа тренировок'!$G$6:$G$25,$M1266))</f>
        <v/>
      </c>
      <c r="L1266" s="23" t="str">
        <f aca="false">IF(OR($M1266="",$F1266="",$G1266=""),"",IF($H1266="Разминка","Разминка",IF($F1266&lt;INDEX('Программа тренировок'!$E$6:$E$25,$M1266),"Ниже диапазона",IF(AND($F1266&gt;=INDEX('Программа тренировок'!$F$6:$F$25,$M1266),$G1266&gt;=INDEX('Программа тренировок'!$L$6:$L$25,$M1266)),"Верх диапазона: пора добавлять вес",IF($G1266&lt;INDEX('Программа тренировок'!$L$6:$L$25,$M1266),"RIR ниже цели","В диапазоне")))))</f>
        <v/>
      </c>
      <c r="M1266" s="23" t="str">
        <f aca="false">IF($C1266="","",IFERROR(MATCH($C1266,'Программа тренировок'!$C$6:$C$25,0),""))</f>
        <v/>
      </c>
    </row>
    <row r="1267" customFormat="false" ht="15" hidden="false" customHeight="true" outlineLevel="0" collapsed="false">
      <c r="A1267" s="20"/>
      <c r="B1267" s="21"/>
      <c r="C1267" s="19"/>
      <c r="D1267" s="18"/>
      <c r="E1267" s="17"/>
      <c r="F1267" s="18"/>
      <c r="G1267" s="18"/>
      <c r="H1267" s="21"/>
      <c r="I1267" s="19"/>
      <c r="J1267" s="8" t="str">
        <f aca="false">IF(OR(E1267="",F1267=""),"",E1267*F1267)</f>
        <v/>
      </c>
      <c r="K1267" s="22" t="str">
        <f aca="false">IF($M1267="","",INDEX('Программа тренировок'!$G$6:$G$25,$M1267))</f>
        <v/>
      </c>
      <c r="L1267" s="23" t="str">
        <f aca="false">IF(OR($M1267="",$F1267="",$G1267=""),"",IF($H1267="Разминка","Разминка",IF($F1267&lt;INDEX('Программа тренировок'!$E$6:$E$25,$M1267),"Ниже диапазона",IF(AND($F1267&gt;=INDEX('Программа тренировок'!$F$6:$F$25,$M1267),$G1267&gt;=INDEX('Программа тренировок'!$L$6:$L$25,$M1267)),"Верх диапазона: пора добавлять вес",IF($G1267&lt;INDEX('Программа тренировок'!$L$6:$L$25,$M1267),"RIR ниже цели","В диапазоне")))))</f>
        <v/>
      </c>
      <c r="M1267" s="23" t="str">
        <f aca="false">IF($C1267="","",IFERROR(MATCH($C1267,'Программа тренировок'!$C$6:$C$25,0),""))</f>
        <v/>
      </c>
    </row>
    <row r="1268" customFormat="false" ht="15" hidden="false" customHeight="true" outlineLevel="0" collapsed="false">
      <c r="A1268" s="20"/>
      <c r="B1268" s="21"/>
      <c r="C1268" s="19"/>
      <c r="D1268" s="18"/>
      <c r="E1268" s="17"/>
      <c r="F1268" s="18"/>
      <c r="G1268" s="18"/>
      <c r="H1268" s="21"/>
      <c r="I1268" s="19"/>
      <c r="J1268" s="8" t="str">
        <f aca="false">IF(OR(E1268="",F1268=""),"",E1268*F1268)</f>
        <v/>
      </c>
      <c r="K1268" s="22" t="str">
        <f aca="false">IF($M1268="","",INDEX('Программа тренировок'!$G$6:$G$25,$M1268))</f>
        <v/>
      </c>
      <c r="L1268" s="23" t="str">
        <f aca="false">IF(OR($M1268="",$F1268="",$G1268=""),"",IF($H1268="Разминка","Разминка",IF($F1268&lt;INDEX('Программа тренировок'!$E$6:$E$25,$M1268),"Ниже диапазона",IF(AND($F1268&gt;=INDEX('Программа тренировок'!$F$6:$F$25,$M1268),$G1268&gt;=INDEX('Программа тренировок'!$L$6:$L$25,$M1268)),"Верх диапазона: пора добавлять вес",IF($G1268&lt;INDEX('Программа тренировок'!$L$6:$L$25,$M1268),"RIR ниже цели","В диапазоне")))))</f>
        <v/>
      </c>
      <c r="M1268" s="23" t="str">
        <f aca="false">IF($C1268="","",IFERROR(MATCH($C1268,'Программа тренировок'!$C$6:$C$25,0),""))</f>
        <v/>
      </c>
    </row>
    <row r="1269" customFormat="false" ht="15" hidden="false" customHeight="true" outlineLevel="0" collapsed="false">
      <c r="A1269" s="20"/>
      <c r="B1269" s="21"/>
      <c r="C1269" s="19"/>
      <c r="D1269" s="18"/>
      <c r="E1269" s="17"/>
      <c r="F1269" s="18"/>
      <c r="G1269" s="18"/>
      <c r="H1269" s="21"/>
      <c r="I1269" s="19"/>
      <c r="J1269" s="8" t="str">
        <f aca="false">IF(OR(E1269="",F1269=""),"",E1269*F1269)</f>
        <v/>
      </c>
      <c r="K1269" s="22" t="str">
        <f aca="false">IF($M1269="","",INDEX('Программа тренировок'!$G$6:$G$25,$M1269))</f>
        <v/>
      </c>
      <c r="L1269" s="23" t="str">
        <f aca="false">IF(OR($M1269="",$F1269="",$G1269=""),"",IF($H1269="Разминка","Разминка",IF($F1269&lt;INDEX('Программа тренировок'!$E$6:$E$25,$M1269),"Ниже диапазона",IF(AND($F1269&gt;=INDEX('Программа тренировок'!$F$6:$F$25,$M1269),$G1269&gt;=INDEX('Программа тренировок'!$L$6:$L$25,$M1269)),"Верх диапазона: пора добавлять вес",IF($G1269&lt;INDEX('Программа тренировок'!$L$6:$L$25,$M1269),"RIR ниже цели","В диапазоне")))))</f>
        <v/>
      </c>
      <c r="M1269" s="23" t="str">
        <f aca="false">IF($C1269="","",IFERROR(MATCH($C1269,'Программа тренировок'!$C$6:$C$25,0),""))</f>
        <v/>
      </c>
    </row>
    <row r="1270" customFormat="false" ht="15" hidden="false" customHeight="true" outlineLevel="0" collapsed="false">
      <c r="A1270" s="20"/>
      <c r="B1270" s="21"/>
      <c r="C1270" s="19"/>
      <c r="D1270" s="18"/>
      <c r="E1270" s="17"/>
      <c r="F1270" s="18"/>
      <c r="G1270" s="18"/>
      <c r="H1270" s="21"/>
      <c r="I1270" s="19"/>
      <c r="J1270" s="8" t="str">
        <f aca="false">IF(OR(E1270="",F1270=""),"",E1270*F1270)</f>
        <v/>
      </c>
      <c r="K1270" s="22" t="str">
        <f aca="false">IF($M1270="","",INDEX('Программа тренировок'!$G$6:$G$25,$M1270))</f>
        <v/>
      </c>
      <c r="L1270" s="23" t="str">
        <f aca="false">IF(OR($M1270="",$F1270="",$G1270=""),"",IF($H1270="Разминка","Разминка",IF($F1270&lt;INDEX('Программа тренировок'!$E$6:$E$25,$M1270),"Ниже диапазона",IF(AND($F1270&gt;=INDEX('Программа тренировок'!$F$6:$F$25,$M1270),$G1270&gt;=INDEX('Программа тренировок'!$L$6:$L$25,$M1270)),"Верх диапазона: пора добавлять вес",IF($G1270&lt;INDEX('Программа тренировок'!$L$6:$L$25,$M1270),"RIR ниже цели","В диапазоне")))))</f>
        <v/>
      </c>
      <c r="M1270" s="23" t="str">
        <f aca="false">IF($C1270="","",IFERROR(MATCH($C1270,'Программа тренировок'!$C$6:$C$25,0),""))</f>
        <v/>
      </c>
    </row>
    <row r="1271" customFormat="false" ht="15" hidden="false" customHeight="true" outlineLevel="0" collapsed="false">
      <c r="A1271" s="20"/>
      <c r="B1271" s="21"/>
      <c r="C1271" s="19"/>
      <c r="D1271" s="18"/>
      <c r="E1271" s="17"/>
      <c r="F1271" s="18"/>
      <c r="G1271" s="18"/>
      <c r="H1271" s="21"/>
      <c r="I1271" s="19"/>
      <c r="J1271" s="8" t="str">
        <f aca="false">IF(OR(E1271="",F1271=""),"",E1271*F1271)</f>
        <v/>
      </c>
      <c r="K1271" s="22" t="str">
        <f aca="false">IF($M1271="","",INDEX('Программа тренировок'!$G$6:$G$25,$M1271))</f>
        <v/>
      </c>
      <c r="L1271" s="23" t="str">
        <f aca="false">IF(OR($M1271="",$F1271="",$G1271=""),"",IF($H1271="Разминка","Разминка",IF($F1271&lt;INDEX('Программа тренировок'!$E$6:$E$25,$M1271),"Ниже диапазона",IF(AND($F1271&gt;=INDEX('Программа тренировок'!$F$6:$F$25,$M1271),$G1271&gt;=INDEX('Программа тренировок'!$L$6:$L$25,$M1271)),"Верх диапазона: пора добавлять вес",IF($G1271&lt;INDEX('Программа тренировок'!$L$6:$L$25,$M1271),"RIR ниже цели","В диапазоне")))))</f>
        <v/>
      </c>
      <c r="M1271" s="23" t="str">
        <f aca="false">IF($C1271="","",IFERROR(MATCH($C1271,'Программа тренировок'!$C$6:$C$25,0),""))</f>
        <v/>
      </c>
    </row>
    <row r="1272" customFormat="false" ht="15" hidden="false" customHeight="true" outlineLevel="0" collapsed="false">
      <c r="A1272" s="20"/>
      <c r="B1272" s="21"/>
      <c r="C1272" s="19"/>
      <c r="D1272" s="18"/>
      <c r="E1272" s="17"/>
      <c r="F1272" s="18"/>
      <c r="G1272" s="18"/>
      <c r="H1272" s="21"/>
      <c r="I1272" s="19"/>
      <c r="J1272" s="8" t="str">
        <f aca="false">IF(OR(E1272="",F1272=""),"",E1272*F1272)</f>
        <v/>
      </c>
      <c r="K1272" s="22" t="str">
        <f aca="false">IF($M1272="","",INDEX('Программа тренировок'!$G$6:$G$25,$M1272))</f>
        <v/>
      </c>
      <c r="L1272" s="23" t="str">
        <f aca="false">IF(OR($M1272="",$F1272="",$G1272=""),"",IF($H1272="Разминка","Разминка",IF($F1272&lt;INDEX('Программа тренировок'!$E$6:$E$25,$M1272),"Ниже диапазона",IF(AND($F1272&gt;=INDEX('Программа тренировок'!$F$6:$F$25,$M1272),$G1272&gt;=INDEX('Программа тренировок'!$L$6:$L$25,$M1272)),"Верх диапазона: пора добавлять вес",IF($G1272&lt;INDEX('Программа тренировок'!$L$6:$L$25,$M1272),"RIR ниже цели","В диапазоне")))))</f>
        <v/>
      </c>
      <c r="M1272" s="23" t="str">
        <f aca="false">IF($C1272="","",IFERROR(MATCH($C1272,'Программа тренировок'!$C$6:$C$25,0),""))</f>
        <v/>
      </c>
    </row>
    <row r="1273" customFormat="false" ht="15" hidden="false" customHeight="true" outlineLevel="0" collapsed="false">
      <c r="A1273" s="20"/>
      <c r="B1273" s="21"/>
      <c r="C1273" s="19"/>
      <c r="D1273" s="18"/>
      <c r="E1273" s="17"/>
      <c r="F1273" s="18"/>
      <c r="G1273" s="18"/>
      <c r="H1273" s="21"/>
      <c r="I1273" s="19"/>
      <c r="J1273" s="8" t="str">
        <f aca="false">IF(OR(E1273="",F1273=""),"",E1273*F1273)</f>
        <v/>
      </c>
      <c r="K1273" s="22" t="str">
        <f aca="false">IF($M1273="","",INDEX('Программа тренировок'!$G$6:$G$25,$M1273))</f>
        <v/>
      </c>
      <c r="L1273" s="23" t="str">
        <f aca="false">IF(OR($M1273="",$F1273="",$G1273=""),"",IF($H1273="Разминка","Разминка",IF($F1273&lt;INDEX('Программа тренировок'!$E$6:$E$25,$M1273),"Ниже диапазона",IF(AND($F1273&gt;=INDEX('Программа тренировок'!$F$6:$F$25,$M1273),$G1273&gt;=INDEX('Программа тренировок'!$L$6:$L$25,$M1273)),"Верх диапазона: пора добавлять вес",IF($G1273&lt;INDEX('Программа тренировок'!$L$6:$L$25,$M1273),"RIR ниже цели","В диапазоне")))))</f>
        <v/>
      </c>
      <c r="M1273" s="23" t="str">
        <f aca="false">IF($C1273="","",IFERROR(MATCH($C1273,'Программа тренировок'!$C$6:$C$25,0),""))</f>
        <v/>
      </c>
    </row>
    <row r="1274" customFormat="false" ht="15" hidden="false" customHeight="true" outlineLevel="0" collapsed="false">
      <c r="A1274" s="20"/>
      <c r="B1274" s="21"/>
      <c r="C1274" s="19"/>
      <c r="D1274" s="18"/>
      <c r="E1274" s="17"/>
      <c r="F1274" s="18"/>
      <c r="G1274" s="18"/>
      <c r="H1274" s="21"/>
      <c r="I1274" s="19"/>
      <c r="J1274" s="8" t="str">
        <f aca="false">IF(OR(E1274="",F1274=""),"",E1274*F1274)</f>
        <v/>
      </c>
      <c r="K1274" s="22" t="str">
        <f aca="false">IF($M1274="","",INDEX('Программа тренировок'!$G$6:$G$25,$M1274))</f>
        <v/>
      </c>
      <c r="L1274" s="23" t="str">
        <f aca="false">IF(OR($M1274="",$F1274="",$G1274=""),"",IF($H1274="Разминка","Разминка",IF($F1274&lt;INDEX('Программа тренировок'!$E$6:$E$25,$M1274),"Ниже диапазона",IF(AND($F1274&gt;=INDEX('Программа тренировок'!$F$6:$F$25,$M1274),$G1274&gt;=INDEX('Программа тренировок'!$L$6:$L$25,$M1274)),"Верх диапазона: пора добавлять вес",IF($G1274&lt;INDEX('Программа тренировок'!$L$6:$L$25,$M1274),"RIR ниже цели","В диапазоне")))))</f>
        <v/>
      </c>
      <c r="M1274" s="23" t="str">
        <f aca="false">IF($C1274="","",IFERROR(MATCH($C1274,'Программа тренировок'!$C$6:$C$25,0),""))</f>
        <v/>
      </c>
    </row>
    <row r="1275" customFormat="false" ht="15" hidden="false" customHeight="true" outlineLevel="0" collapsed="false">
      <c r="A1275" s="20"/>
      <c r="B1275" s="21"/>
      <c r="C1275" s="19"/>
      <c r="D1275" s="18"/>
      <c r="E1275" s="17"/>
      <c r="F1275" s="18"/>
      <c r="G1275" s="18"/>
      <c r="H1275" s="21"/>
      <c r="I1275" s="19"/>
      <c r="J1275" s="8" t="str">
        <f aca="false">IF(OR(E1275="",F1275=""),"",E1275*F1275)</f>
        <v/>
      </c>
      <c r="K1275" s="22" t="str">
        <f aca="false">IF($M1275="","",INDEX('Программа тренировок'!$G$6:$G$25,$M1275))</f>
        <v/>
      </c>
      <c r="L1275" s="23" t="str">
        <f aca="false">IF(OR($M1275="",$F1275="",$G1275=""),"",IF($H1275="Разминка","Разминка",IF($F1275&lt;INDEX('Программа тренировок'!$E$6:$E$25,$M1275),"Ниже диапазона",IF(AND($F1275&gt;=INDEX('Программа тренировок'!$F$6:$F$25,$M1275),$G1275&gt;=INDEX('Программа тренировок'!$L$6:$L$25,$M1275)),"Верх диапазона: пора добавлять вес",IF($G1275&lt;INDEX('Программа тренировок'!$L$6:$L$25,$M1275),"RIR ниже цели","В диапазоне")))))</f>
        <v/>
      </c>
      <c r="M1275" s="23" t="str">
        <f aca="false">IF($C1275="","",IFERROR(MATCH($C1275,'Программа тренировок'!$C$6:$C$25,0),""))</f>
        <v/>
      </c>
    </row>
    <row r="1276" customFormat="false" ht="15" hidden="false" customHeight="true" outlineLevel="0" collapsed="false">
      <c r="A1276" s="20"/>
      <c r="B1276" s="21"/>
      <c r="C1276" s="19"/>
      <c r="D1276" s="18"/>
      <c r="E1276" s="17"/>
      <c r="F1276" s="18"/>
      <c r="G1276" s="18"/>
      <c r="H1276" s="21"/>
      <c r="I1276" s="19"/>
      <c r="J1276" s="8" t="str">
        <f aca="false">IF(OR(E1276="",F1276=""),"",E1276*F1276)</f>
        <v/>
      </c>
      <c r="K1276" s="22" t="str">
        <f aca="false">IF($M1276="","",INDEX('Программа тренировок'!$G$6:$G$25,$M1276))</f>
        <v/>
      </c>
      <c r="L1276" s="23" t="str">
        <f aca="false">IF(OR($M1276="",$F1276="",$G1276=""),"",IF($H1276="Разминка","Разминка",IF($F1276&lt;INDEX('Программа тренировок'!$E$6:$E$25,$M1276),"Ниже диапазона",IF(AND($F1276&gt;=INDEX('Программа тренировок'!$F$6:$F$25,$M1276),$G1276&gt;=INDEX('Программа тренировок'!$L$6:$L$25,$M1276)),"Верх диапазона: пора добавлять вес",IF($G1276&lt;INDEX('Программа тренировок'!$L$6:$L$25,$M1276),"RIR ниже цели","В диапазоне")))))</f>
        <v/>
      </c>
      <c r="M1276" s="23" t="str">
        <f aca="false">IF($C1276="","",IFERROR(MATCH($C1276,'Программа тренировок'!$C$6:$C$25,0),""))</f>
        <v/>
      </c>
    </row>
    <row r="1277" customFormat="false" ht="15" hidden="false" customHeight="true" outlineLevel="0" collapsed="false">
      <c r="A1277" s="20"/>
      <c r="B1277" s="21"/>
      <c r="C1277" s="19"/>
      <c r="D1277" s="18"/>
      <c r="E1277" s="17"/>
      <c r="F1277" s="18"/>
      <c r="G1277" s="18"/>
      <c r="H1277" s="21"/>
      <c r="I1277" s="19"/>
      <c r="J1277" s="8" t="str">
        <f aca="false">IF(OR(E1277="",F1277=""),"",E1277*F1277)</f>
        <v/>
      </c>
      <c r="K1277" s="22" t="str">
        <f aca="false">IF($M1277="","",INDEX('Программа тренировок'!$G$6:$G$25,$M1277))</f>
        <v/>
      </c>
      <c r="L1277" s="23" t="str">
        <f aca="false">IF(OR($M1277="",$F1277="",$G1277=""),"",IF($H1277="Разминка","Разминка",IF($F1277&lt;INDEX('Программа тренировок'!$E$6:$E$25,$M1277),"Ниже диапазона",IF(AND($F1277&gt;=INDEX('Программа тренировок'!$F$6:$F$25,$M1277),$G1277&gt;=INDEX('Программа тренировок'!$L$6:$L$25,$M1277)),"Верх диапазона: пора добавлять вес",IF($G1277&lt;INDEX('Программа тренировок'!$L$6:$L$25,$M1277),"RIR ниже цели","В диапазоне")))))</f>
        <v/>
      </c>
      <c r="M1277" s="23" t="str">
        <f aca="false">IF($C1277="","",IFERROR(MATCH($C1277,'Программа тренировок'!$C$6:$C$25,0),""))</f>
        <v/>
      </c>
    </row>
    <row r="1278" customFormat="false" ht="15" hidden="false" customHeight="true" outlineLevel="0" collapsed="false">
      <c r="A1278" s="20"/>
      <c r="B1278" s="21"/>
      <c r="C1278" s="19"/>
      <c r="D1278" s="18"/>
      <c r="E1278" s="17"/>
      <c r="F1278" s="18"/>
      <c r="G1278" s="18"/>
      <c r="H1278" s="21"/>
      <c r="I1278" s="19"/>
      <c r="J1278" s="8" t="str">
        <f aca="false">IF(OR(E1278="",F1278=""),"",E1278*F1278)</f>
        <v/>
      </c>
      <c r="K1278" s="22" t="str">
        <f aca="false">IF($M1278="","",INDEX('Программа тренировок'!$G$6:$G$25,$M1278))</f>
        <v/>
      </c>
      <c r="L1278" s="23" t="str">
        <f aca="false">IF(OR($M1278="",$F1278="",$G1278=""),"",IF($H1278="Разминка","Разминка",IF($F1278&lt;INDEX('Программа тренировок'!$E$6:$E$25,$M1278),"Ниже диапазона",IF(AND($F1278&gt;=INDEX('Программа тренировок'!$F$6:$F$25,$M1278),$G1278&gt;=INDEX('Программа тренировок'!$L$6:$L$25,$M1278)),"Верх диапазона: пора добавлять вес",IF($G1278&lt;INDEX('Программа тренировок'!$L$6:$L$25,$M1278),"RIR ниже цели","В диапазоне")))))</f>
        <v/>
      </c>
      <c r="M1278" s="23" t="str">
        <f aca="false">IF($C1278="","",IFERROR(MATCH($C1278,'Программа тренировок'!$C$6:$C$25,0),""))</f>
        <v/>
      </c>
    </row>
    <row r="1279" customFormat="false" ht="15" hidden="false" customHeight="true" outlineLevel="0" collapsed="false">
      <c r="A1279" s="20"/>
      <c r="B1279" s="21"/>
      <c r="C1279" s="19"/>
      <c r="D1279" s="18"/>
      <c r="E1279" s="17"/>
      <c r="F1279" s="18"/>
      <c r="G1279" s="18"/>
      <c r="H1279" s="21"/>
      <c r="I1279" s="19"/>
      <c r="J1279" s="8" t="str">
        <f aca="false">IF(OR(E1279="",F1279=""),"",E1279*F1279)</f>
        <v/>
      </c>
      <c r="K1279" s="22" t="str">
        <f aca="false">IF($M1279="","",INDEX('Программа тренировок'!$G$6:$G$25,$M1279))</f>
        <v/>
      </c>
      <c r="L1279" s="23" t="str">
        <f aca="false">IF(OR($M1279="",$F1279="",$G1279=""),"",IF($H1279="Разминка","Разминка",IF($F1279&lt;INDEX('Программа тренировок'!$E$6:$E$25,$M1279),"Ниже диапазона",IF(AND($F1279&gt;=INDEX('Программа тренировок'!$F$6:$F$25,$M1279),$G1279&gt;=INDEX('Программа тренировок'!$L$6:$L$25,$M1279)),"Верх диапазона: пора добавлять вес",IF($G1279&lt;INDEX('Программа тренировок'!$L$6:$L$25,$M1279),"RIR ниже цели","В диапазоне")))))</f>
        <v/>
      </c>
      <c r="M1279" s="23" t="str">
        <f aca="false">IF($C1279="","",IFERROR(MATCH($C1279,'Программа тренировок'!$C$6:$C$25,0),""))</f>
        <v/>
      </c>
    </row>
    <row r="1280" customFormat="false" ht="15" hidden="false" customHeight="true" outlineLevel="0" collapsed="false">
      <c r="A1280" s="20"/>
      <c r="B1280" s="21"/>
      <c r="C1280" s="19"/>
      <c r="D1280" s="18"/>
      <c r="E1280" s="17"/>
      <c r="F1280" s="18"/>
      <c r="G1280" s="18"/>
      <c r="H1280" s="21"/>
      <c r="I1280" s="19"/>
      <c r="J1280" s="8" t="str">
        <f aca="false">IF(OR(E1280="",F1280=""),"",E1280*F1280)</f>
        <v/>
      </c>
      <c r="K1280" s="22" t="str">
        <f aca="false">IF($M1280="","",INDEX('Программа тренировок'!$G$6:$G$25,$M1280))</f>
        <v/>
      </c>
      <c r="L1280" s="23" t="str">
        <f aca="false">IF(OR($M1280="",$F1280="",$G1280=""),"",IF($H1280="Разминка","Разминка",IF($F1280&lt;INDEX('Программа тренировок'!$E$6:$E$25,$M1280),"Ниже диапазона",IF(AND($F1280&gt;=INDEX('Программа тренировок'!$F$6:$F$25,$M1280),$G1280&gt;=INDEX('Программа тренировок'!$L$6:$L$25,$M1280)),"Верх диапазона: пора добавлять вес",IF($G1280&lt;INDEX('Программа тренировок'!$L$6:$L$25,$M1280),"RIR ниже цели","В диапазоне")))))</f>
        <v/>
      </c>
      <c r="M1280" s="23" t="str">
        <f aca="false">IF($C1280="","",IFERROR(MATCH($C1280,'Программа тренировок'!$C$6:$C$25,0),""))</f>
        <v/>
      </c>
    </row>
    <row r="1281" customFormat="false" ht="15" hidden="false" customHeight="true" outlineLevel="0" collapsed="false">
      <c r="A1281" s="20"/>
      <c r="B1281" s="21"/>
      <c r="C1281" s="19"/>
      <c r="D1281" s="18"/>
      <c r="E1281" s="17"/>
      <c r="F1281" s="18"/>
      <c r="G1281" s="18"/>
      <c r="H1281" s="21"/>
      <c r="I1281" s="19"/>
      <c r="J1281" s="8" t="str">
        <f aca="false">IF(OR(E1281="",F1281=""),"",E1281*F1281)</f>
        <v/>
      </c>
      <c r="K1281" s="22" t="str">
        <f aca="false">IF($M1281="","",INDEX('Программа тренировок'!$G$6:$G$25,$M1281))</f>
        <v/>
      </c>
      <c r="L1281" s="23" t="str">
        <f aca="false">IF(OR($M1281="",$F1281="",$G1281=""),"",IF($H1281="Разминка","Разминка",IF($F1281&lt;INDEX('Программа тренировок'!$E$6:$E$25,$M1281),"Ниже диапазона",IF(AND($F1281&gt;=INDEX('Программа тренировок'!$F$6:$F$25,$M1281),$G1281&gt;=INDEX('Программа тренировок'!$L$6:$L$25,$M1281)),"Верх диапазона: пора добавлять вес",IF($G1281&lt;INDEX('Программа тренировок'!$L$6:$L$25,$M1281),"RIR ниже цели","В диапазоне")))))</f>
        <v/>
      </c>
      <c r="M1281" s="23" t="str">
        <f aca="false">IF($C1281="","",IFERROR(MATCH($C1281,'Программа тренировок'!$C$6:$C$25,0),""))</f>
        <v/>
      </c>
    </row>
    <row r="1282" customFormat="false" ht="15" hidden="false" customHeight="true" outlineLevel="0" collapsed="false">
      <c r="A1282" s="20"/>
      <c r="B1282" s="21"/>
      <c r="C1282" s="19"/>
      <c r="D1282" s="18"/>
      <c r="E1282" s="17"/>
      <c r="F1282" s="18"/>
      <c r="G1282" s="18"/>
      <c r="H1282" s="21"/>
      <c r="I1282" s="19"/>
      <c r="J1282" s="8" t="str">
        <f aca="false">IF(OR(E1282="",F1282=""),"",E1282*F1282)</f>
        <v/>
      </c>
      <c r="K1282" s="22" t="str">
        <f aca="false">IF($M1282="","",INDEX('Программа тренировок'!$G$6:$G$25,$M1282))</f>
        <v/>
      </c>
      <c r="L1282" s="23" t="str">
        <f aca="false">IF(OR($M1282="",$F1282="",$G1282=""),"",IF($H1282="Разминка","Разминка",IF($F1282&lt;INDEX('Программа тренировок'!$E$6:$E$25,$M1282),"Ниже диапазона",IF(AND($F1282&gt;=INDEX('Программа тренировок'!$F$6:$F$25,$M1282),$G1282&gt;=INDEX('Программа тренировок'!$L$6:$L$25,$M1282)),"Верх диапазона: пора добавлять вес",IF($G1282&lt;INDEX('Программа тренировок'!$L$6:$L$25,$M1282),"RIR ниже цели","В диапазоне")))))</f>
        <v/>
      </c>
      <c r="M1282" s="23" t="str">
        <f aca="false">IF($C1282="","",IFERROR(MATCH($C1282,'Программа тренировок'!$C$6:$C$25,0),""))</f>
        <v/>
      </c>
    </row>
    <row r="1283" customFormat="false" ht="15" hidden="false" customHeight="true" outlineLevel="0" collapsed="false">
      <c r="A1283" s="20"/>
      <c r="B1283" s="21"/>
      <c r="C1283" s="19"/>
      <c r="D1283" s="18"/>
      <c r="E1283" s="17"/>
      <c r="F1283" s="18"/>
      <c r="G1283" s="18"/>
      <c r="H1283" s="21"/>
      <c r="I1283" s="19"/>
      <c r="J1283" s="8" t="str">
        <f aca="false">IF(OR(E1283="",F1283=""),"",E1283*F1283)</f>
        <v/>
      </c>
      <c r="K1283" s="22" t="str">
        <f aca="false">IF($M1283="","",INDEX('Программа тренировок'!$G$6:$G$25,$M1283))</f>
        <v/>
      </c>
      <c r="L1283" s="23" t="str">
        <f aca="false">IF(OR($M1283="",$F1283="",$G1283=""),"",IF($H1283="Разминка","Разминка",IF($F1283&lt;INDEX('Программа тренировок'!$E$6:$E$25,$M1283),"Ниже диапазона",IF(AND($F1283&gt;=INDEX('Программа тренировок'!$F$6:$F$25,$M1283),$G1283&gt;=INDEX('Программа тренировок'!$L$6:$L$25,$M1283)),"Верх диапазона: пора добавлять вес",IF($G1283&lt;INDEX('Программа тренировок'!$L$6:$L$25,$M1283),"RIR ниже цели","В диапазоне")))))</f>
        <v/>
      </c>
      <c r="M1283" s="23" t="str">
        <f aca="false">IF($C1283="","",IFERROR(MATCH($C1283,'Программа тренировок'!$C$6:$C$25,0),""))</f>
        <v/>
      </c>
    </row>
    <row r="1284" customFormat="false" ht="15" hidden="false" customHeight="true" outlineLevel="0" collapsed="false">
      <c r="A1284" s="20"/>
      <c r="B1284" s="21"/>
      <c r="C1284" s="19"/>
      <c r="D1284" s="18"/>
      <c r="E1284" s="17"/>
      <c r="F1284" s="18"/>
      <c r="G1284" s="18"/>
      <c r="H1284" s="21"/>
      <c r="I1284" s="19"/>
      <c r="J1284" s="8" t="str">
        <f aca="false">IF(OR(E1284="",F1284=""),"",E1284*F1284)</f>
        <v/>
      </c>
      <c r="K1284" s="22" t="str">
        <f aca="false">IF($M1284="","",INDEX('Программа тренировок'!$G$6:$G$25,$M1284))</f>
        <v/>
      </c>
      <c r="L1284" s="23" t="str">
        <f aca="false">IF(OR($M1284="",$F1284="",$G1284=""),"",IF($H1284="Разминка","Разминка",IF($F1284&lt;INDEX('Программа тренировок'!$E$6:$E$25,$M1284),"Ниже диапазона",IF(AND($F1284&gt;=INDEX('Программа тренировок'!$F$6:$F$25,$M1284),$G1284&gt;=INDEX('Программа тренировок'!$L$6:$L$25,$M1284)),"Верх диапазона: пора добавлять вес",IF($G1284&lt;INDEX('Программа тренировок'!$L$6:$L$25,$M1284),"RIR ниже цели","В диапазоне")))))</f>
        <v/>
      </c>
      <c r="M1284" s="23" t="str">
        <f aca="false">IF($C1284="","",IFERROR(MATCH($C1284,'Программа тренировок'!$C$6:$C$25,0),""))</f>
        <v/>
      </c>
    </row>
    <row r="1285" customFormat="false" ht="15" hidden="false" customHeight="true" outlineLevel="0" collapsed="false">
      <c r="A1285" s="20"/>
      <c r="B1285" s="21"/>
      <c r="C1285" s="19"/>
      <c r="D1285" s="18"/>
      <c r="E1285" s="17"/>
      <c r="F1285" s="18"/>
      <c r="G1285" s="18"/>
      <c r="H1285" s="21"/>
      <c r="I1285" s="19"/>
      <c r="J1285" s="8" t="str">
        <f aca="false">IF(OR(E1285="",F1285=""),"",E1285*F1285)</f>
        <v/>
      </c>
      <c r="K1285" s="22" t="str">
        <f aca="false">IF($M1285="","",INDEX('Программа тренировок'!$G$6:$G$25,$M1285))</f>
        <v/>
      </c>
      <c r="L1285" s="23" t="str">
        <f aca="false">IF(OR($M1285="",$F1285="",$G1285=""),"",IF($H1285="Разминка","Разминка",IF($F1285&lt;INDEX('Программа тренировок'!$E$6:$E$25,$M1285),"Ниже диапазона",IF(AND($F1285&gt;=INDEX('Программа тренировок'!$F$6:$F$25,$M1285),$G1285&gt;=INDEX('Программа тренировок'!$L$6:$L$25,$M1285)),"Верх диапазона: пора добавлять вес",IF($G1285&lt;INDEX('Программа тренировок'!$L$6:$L$25,$M1285),"RIR ниже цели","В диапазоне")))))</f>
        <v/>
      </c>
      <c r="M1285" s="23" t="str">
        <f aca="false">IF($C1285="","",IFERROR(MATCH($C1285,'Программа тренировок'!$C$6:$C$25,0),""))</f>
        <v/>
      </c>
    </row>
    <row r="1286" customFormat="false" ht="15" hidden="false" customHeight="true" outlineLevel="0" collapsed="false">
      <c r="A1286" s="20"/>
      <c r="B1286" s="21"/>
      <c r="C1286" s="19"/>
      <c r="D1286" s="18"/>
      <c r="E1286" s="17"/>
      <c r="F1286" s="18"/>
      <c r="G1286" s="18"/>
      <c r="H1286" s="21"/>
      <c r="I1286" s="19"/>
      <c r="J1286" s="8" t="str">
        <f aca="false">IF(OR(E1286="",F1286=""),"",E1286*F1286)</f>
        <v/>
      </c>
      <c r="K1286" s="22" t="str">
        <f aca="false">IF($M1286="","",INDEX('Программа тренировок'!$G$6:$G$25,$M1286))</f>
        <v/>
      </c>
      <c r="L1286" s="23" t="str">
        <f aca="false">IF(OR($M1286="",$F1286="",$G1286=""),"",IF($H1286="Разминка","Разминка",IF($F1286&lt;INDEX('Программа тренировок'!$E$6:$E$25,$M1286),"Ниже диапазона",IF(AND($F1286&gt;=INDEX('Программа тренировок'!$F$6:$F$25,$M1286),$G1286&gt;=INDEX('Программа тренировок'!$L$6:$L$25,$M1286)),"Верх диапазона: пора добавлять вес",IF($G1286&lt;INDEX('Программа тренировок'!$L$6:$L$25,$M1286),"RIR ниже цели","В диапазоне")))))</f>
        <v/>
      </c>
      <c r="M1286" s="23" t="str">
        <f aca="false">IF($C1286="","",IFERROR(MATCH($C1286,'Программа тренировок'!$C$6:$C$25,0),""))</f>
        <v/>
      </c>
    </row>
    <row r="1287" customFormat="false" ht="15" hidden="false" customHeight="true" outlineLevel="0" collapsed="false">
      <c r="A1287" s="20"/>
      <c r="B1287" s="21"/>
      <c r="C1287" s="19"/>
      <c r="D1287" s="18"/>
      <c r="E1287" s="17"/>
      <c r="F1287" s="18"/>
      <c r="G1287" s="18"/>
      <c r="H1287" s="21"/>
      <c r="I1287" s="19"/>
      <c r="J1287" s="8" t="str">
        <f aca="false">IF(OR(E1287="",F1287=""),"",E1287*F1287)</f>
        <v/>
      </c>
      <c r="K1287" s="22" t="str">
        <f aca="false">IF($M1287="","",INDEX('Программа тренировок'!$G$6:$G$25,$M1287))</f>
        <v/>
      </c>
      <c r="L1287" s="23" t="str">
        <f aca="false">IF(OR($M1287="",$F1287="",$G1287=""),"",IF($H1287="Разминка","Разминка",IF($F1287&lt;INDEX('Программа тренировок'!$E$6:$E$25,$M1287),"Ниже диапазона",IF(AND($F1287&gt;=INDEX('Программа тренировок'!$F$6:$F$25,$M1287),$G1287&gt;=INDEX('Программа тренировок'!$L$6:$L$25,$M1287)),"Верх диапазона: пора добавлять вес",IF($G1287&lt;INDEX('Программа тренировок'!$L$6:$L$25,$M1287),"RIR ниже цели","В диапазоне")))))</f>
        <v/>
      </c>
      <c r="M1287" s="23" t="str">
        <f aca="false">IF($C1287="","",IFERROR(MATCH($C1287,'Программа тренировок'!$C$6:$C$25,0),""))</f>
        <v/>
      </c>
    </row>
    <row r="1288" customFormat="false" ht="15" hidden="false" customHeight="true" outlineLevel="0" collapsed="false">
      <c r="A1288" s="20"/>
      <c r="B1288" s="21"/>
      <c r="C1288" s="19"/>
      <c r="D1288" s="18"/>
      <c r="E1288" s="17"/>
      <c r="F1288" s="18"/>
      <c r="G1288" s="18"/>
      <c r="H1288" s="21"/>
      <c r="I1288" s="19"/>
      <c r="J1288" s="8" t="str">
        <f aca="false">IF(OR(E1288="",F1288=""),"",E1288*F1288)</f>
        <v/>
      </c>
      <c r="K1288" s="22" t="str">
        <f aca="false">IF($M1288="","",INDEX('Программа тренировок'!$G$6:$G$25,$M1288))</f>
        <v/>
      </c>
      <c r="L1288" s="23" t="str">
        <f aca="false">IF(OR($M1288="",$F1288="",$G1288=""),"",IF($H1288="Разминка","Разминка",IF($F1288&lt;INDEX('Программа тренировок'!$E$6:$E$25,$M1288),"Ниже диапазона",IF(AND($F1288&gt;=INDEX('Программа тренировок'!$F$6:$F$25,$M1288),$G1288&gt;=INDEX('Программа тренировок'!$L$6:$L$25,$M1288)),"Верх диапазона: пора добавлять вес",IF($G1288&lt;INDEX('Программа тренировок'!$L$6:$L$25,$M1288),"RIR ниже цели","В диапазоне")))))</f>
        <v/>
      </c>
      <c r="M1288" s="23" t="str">
        <f aca="false">IF($C1288="","",IFERROR(MATCH($C1288,'Программа тренировок'!$C$6:$C$25,0),""))</f>
        <v/>
      </c>
    </row>
    <row r="1289" customFormat="false" ht="15" hidden="false" customHeight="true" outlineLevel="0" collapsed="false">
      <c r="A1289" s="20"/>
      <c r="B1289" s="21"/>
      <c r="C1289" s="19"/>
      <c r="D1289" s="18"/>
      <c r="E1289" s="17"/>
      <c r="F1289" s="18"/>
      <c r="G1289" s="18"/>
      <c r="H1289" s="21"/>
      <c r="I1289" s="19"/>
      <c r="J1289" s="8" t="str">
        <f aca="false">IF(OR(E1289="",F1289=""),"",E1289*F1289)</f>
        <v/>
      </c>
      <c r="K1289" s="22" t="str">
        <f aca="false">IF($M1289="","",INDEX('Программа тренировок'!$G$6:$G$25,$M1289))</f>
        <v/>
      </c>
      <c r="L1289" s="23" t="str">
        <f aca="false">IF(OR($M1289="",$F1289="",$G1289=""),"",IF($H1289="Разминка","Разминка",IF($F1289&lt;INDEX('Программа тренировок'!$E$6:$E$25,$M1289),"Ниже диапазона",IF(AND($F1289&gt;=INDEX('Программа тренировок'!$F$6:$F$25,$M1289),$G1289&gt;=INDEX('Программа тренировок'!$L$6:$L$25,$M1289)),"Верх диапазона: пора добавлять вес",IF($G1289&lt;INDEX('Программа тренировок'!$L$6:$L$25,$M1289),"RIR ниже цели","В диапазоне")))))</f>
        <v/>
      </c>
      <c r="M1289" s="23" t="str">
        <f aca="false">IF($C1289="","",IFERROR(MATCH($C1289,'Программа тренировок'!$C$6:$C$25,0),""))</f>
        <v/>
      </c>
    </row>
    <row r="1290" customFormat="false" ht="15" hidden="false" customHeight="true" outlineLevel="0" collapsed="false">
      <c r="A1290" s="20"/>
      <c r="B1290" s="21"/>
      <c r="C1290" s="19"/>
      <c r="D1290" s="18"/>
      <c r="E1290" s="17"/>
      <c r="F1290" s="18"/>
      <c r="G1290" s="18"/>
      <c r="H1290" s="21"/>
      <c r="I1290" s="19"/>
      <c r="J1290" s="8" t="str">
        <f aca="false">IF(OR(E1290="",F1290=""),"",E1290*F1290)</f>
        <v/>
      </c>
      <c r="K1290" s="22" t="str">
        <f aca="false">IF($M1290="","",INDEX('Программа тренировок'!$G$6:$G$25,$M1290))</f>
        <v/>
      </c>
      <c r="L1290" s="23" t="str">
        <f aca="false">IF(OR($M1290="",$F1290="",$G1290=""),"",IF($H1290="Разминка","Разминка",IF($F1290&lt;INDEX('Программа тренировок'!$E$6:$E$25,$M1290),"Ниже диапазона",IF(AND($F1290&gt;=INDEX('Программа тренировок'!$F$6:$F$25,$M1290),$G1290&gt;=INDEX('Программа тренировок'!$L$6:$L$25,$M1290)),"Верх диапазона: пора добавлять вес",IF($G1290&lt;INDEX('Программа тренировок'!$L$6:$L$25,$M1290),"RIR ниже цели","В диапазоне")))))</f>
        <v/>
      </c>
      <c r="M1290" s="23" t="str">
        <f aca="false">IF($C1290="","",IFERROR(MATCH($C1290,'Программа тренировок'!$C$6:$C$25,0),""))</f>
        <v/>
      </c>
    </row>
    <row r="1291" customFormat="false" ht="15" hidden="false" customHeight="true" outlineLevel="0" collapsed="false">
      <c r="A1291" s="20"/>
      <c r="B1291" s="21"/>
      <c r="C1291" s="19"/>
      <c r="D1291" s="18"/>
      <c r="E1291" s="17"/>
      <c r="F1291" s="18"/>
      <c r="G1291" s="18"/>
      <c r="H1291" s="21"/>
      <c r="I1291" s="19"/>
      <c r="J1291" s="8" t="str">
        <f aca="false">IF(OR(E1291="",F1291=""),"",E1291*F1291)</f>
        <v/>
      </c>
      <c r="K1291" s="22" t="str">
        <f aca="false">IF($M1291="","",INDEX('Программа тренировок'!$G$6:$G$25,$M1291))</f>
        <v/>
      </c>
      <c r="L1291" s="23" t="str">
        <f aca="false">IF(OR($M1291="",$F1291="",$G1291=""),"",IF($H1291="Разминка","Разминка",IF($F1291&lt;INDEX('Программа тренировок'!$E$6:$E$25,$M1291),"Ниже диапазона",IF(AND($F1291&gt;=INDEX('Программа тренировок'!$F$6:$F$25,$M1291),$G1291&gt;=INDEX('Программа тренировок'!$L$6:$L$25,$M1291)),"Верх диапазона: пора добавлять вес",IF($G1291&lt;INDEX('Программа тренировок'!$L$6:$L$25,$M1291),"RIR ниже цели","В диапазоне")))))</f>
        <v/>
      </c>
      <c r="M1291" s="23" t="str">
        <f aca="false">IF($C1291="","",IFERROR(MATCH($C1291,'Программа тренировок'!$C$6:$C$25,0),""))</f>
        <v/>
      </c>
    </row>
    <row r="1292" customFormat="false" ht="15" hidden="false" customHeight="true" outlineLevel="0" collapsed="false">
      <c r="A1292" s="20"/>
      <c r="B1292" s="21"/>
      <c r="C1292" s="19"/>
      <c r="D1292" s="18"/>
      <c r="E1292" s="17"/>
      <c r="F1292" s="18"/>
      <c r="G1292" s="18"/>
      <c r="H1292" s="21"/>
      <c r="I1292" s="19"/>
      <c r="J1292" s="8" t="str">
        <f aca="false">IF(OR(E1292="",F1292=""),"",E1292*F1292)</f>
        <v/>
      </c>
      <c r="K1292" s="22" t="str">
        <f aca="false">IF($M1292="","",INDEX('Программа тренировок'!$G$6:$G$25,$M1292))</f>
        <v/>
      </c>
      <c r="L1292" s="23" t="str">
        <f aca="false">IF(OR($M1292="",$F1292="",$G1292=""),"",IF($H1292="Разминка","Разминка",IF($F1292&lt;INDEX('Программа тренировок'!$E$6:$E$25,$M1292),"Ниже диапазона",IF(AND($F1292&gt;=INDEX('Программа тренировок'!$F$6:$F$25,$M1292),$G1292&gt;=INDEX('Программа тренировок'!$L$6:$L$25,$M1292)),"Верх диапазона: пора добавлять вес",IF($G1292&lt;INDEX('Программа тренировок'!$L$6:$L$25,$M1292),"RIR ниже цели","В диапазоне")))))</f>
        <v/>
      </c>
      <c r="M1292" s="23" t="str">
        <f aca="false">IF($C1292="","",IFERROR(MATCH($C1292,'Программа тренировок'!$C$6:$C$25,0),""))</f>
        <v/>
      </c>
    </row>
    <row r="1293" customFormat="false" ht="15" hidden="false" customHeight="true" outlineLevel="0" collapsed="false">
      <c r="A1293" s="20"/>
      <c r="B1293" s="21"/>
      <c r="C1293" s="19"/>
      <c r="D1293" s="18"/>
      <c r="E1293" s="17"/>
      <c r="F1293" s="18"/>
      <c r="G1293" s="18"/>
      <c r="H1293" s="21"/>
      <c r="I1293" s="19"/>
      <c r="J1293" s="8" t="str">
        <f aca="false">IF(OR(E1293="",F1293=""),"",E1293*F1293)</f>
        <v/>
      </c>
      <c r="K1293" s="22" t="str">
        <f aca="false">IF($M1293="","",INDEX('Программа тренировок'!$G$6:$G$25,$M1293))</f>
        <v/>
      </c>
      <c r="L1293" s="23" t="str">
        <f aca="false">IF(OR($M1293="",$F1293="",$G1293=""),"",IF($H1293="Разминка","Разминка",IF($F1293&lt;INDEX('Программа тренировок'!$E$6:$E$25,$M1293),"Ниже диапазона",IF(AND($F1293&gt;=INDEX('Программа тренировок'!$F$6:$F$25,$M1293),$G1293&gt;=INDEX('Программа тренировок'!$L$6:$L$25,$M1293)),"Верх диапазона: пора добавлять вес",IF($G1293&lt;INDEX('Программа тренировок'!$L$6:$L$25,$M1293),"RIR ниже цели","В диапазоне")))))</f>
        <v/>
      </c>
      <c r="M1293" s="23" t="str">
        <f aca="false">IF($C1293="","",IFERROR(MATCH($C1293,'Программа тренировок'!$C$6:$C$25,0),""))</f>
        <v/>
      </c>
    </row>
    <row r="1294" customFormat="false" ht="15" hidden="false" customHeight="true" outlineLevel="0" collapsed="false">
      <c r="A1294" s="20"/>
      <c r="B1294" s="21"/>
      <c r="C1294" s="19"/>
      <c r="D1294" s="18"/>
      <c r="E1294" s="17"/>
      <c r="F1294" s="18"/>
      <c r="G1294" s="18"/>
      <c r="H1294" s="21"/>
      <c r="I1294" s="19"/>
      <c r="J1294" s="8" t="str">
        <f aca="false">IF(OR(E1294="",F1294=""),"",E1294*F1294)</f>
        <v/>
      </c>
      <c r="K1294" s="22" t="str">
        <f aca="false">IF($M1294="","",INDEX('Программа тренировок'!$G$6:$G$25,$M1294))</f>
        <v/>
      </c>
      <c r="L1294" s="23" t="str">
        <f aca="false">IF(OR($M1294="",$F1294="",$G1294=""),"",IF($H1294="Разминка","Разминка",IF($F1294&lt;INDEX('Программа тренировок'!$E$6:$E$25,$M1294),"Ниже диапазона",IF(AND($F1294&gt;=INDEX('Программа тренировок'!$F$6:$F$25,$M1294),$G1294&gt;=INDEX('Программа тренировок'!$L$6:$L$25,$M1294)),"Верх диапазона: пора добавлять вес",IF($G1294&lt;INDEX('Программа тренировок'!$L$6:$L$25,$M1294),"RIR ниже цели","В диапазоне")))))</f>
        <v/>
      </c>
      <c r="M1294" s="23" t="str">
        <f aca="false">IF($C1294="","",IFERROR(MATCH($C1294,'Программа тренировок'!$C$6:$C$25,0),""))</f>
        <v/>
      </c>
    </row>
    <row r="1295" customFormat="false" ht="15" hidden="false" customHeight="true" outlineLevel="0" collapsed="false">
      <c r="A1295" s="20"/>
      <c r="B1295" s="21"/>
      <c r="C1295" s="19"/>
      <c r="D1295" s="18"/>
      <c r="E1295" s="17"/>
      <c r="F1295" s="18"/>
      <c r="G1295" s="18"/>
      <c r="H1295" s="21"/>
      <c r="I1295" s="19"/>
      <c r="J1295" s="8" t="str">
        <f aca="false">IF(OR(E1295="",F1295=""),"",E1295*F1295)</f>
        <v/>
      </c>
      <c r="K1295" s="22" t="str">
        <f aca="false">IF($M1295="","",INDEX('Программа тренировок'!$G$6:$G$25,$M1295))</f>
        <v/>
      </c>
      <c r="L1295" s="23" t="str">
        <f aca="false">IF(OR($M1295="",$F1295="",$G1295=""),"",IF($H1295="Разминка","Разминка",IF($F1295&lt;INDEX('Программа тренировок'!$E$6:$E$25,$M1295),"Ниже диапазона",IF(AND($F1295&gt;=INDEX('Программа тренировок'!$F$6:$F$25,$M1295),$G1295&gt;=INDEX('Программа тренировок'!$L$6:$L$25,$M1295)),"Верх диапазона: пора добавлять вес",IF($G1295&lt;INDEX('Программа тренировок'!$L$6:$L$25,$M1295),"RIR ниже цели","В диапазоне")))))</f>
        <v/>
      </c>
      <c r="M1295" s="23" t="str">
        <f aca="false">IF($C1295="","",IFERROR(MATCH($C1295,'Программа тренировок'!$C$6:$C$25,0),""))</f>
        <v/>
      </c>
    </row>
    <row r="1296" customFormat="false" ht="15" hidden="false" customHeight="true" outlineLevel="0" collapsed="false">
      <c r="A1296" s="20"/>
      <c r="B1296" s="21"/>
      <c r="C1296" s="19"/>
      <c r="D1296" s="18"/>
      <c r="E1296" s="17"/>
      <c r="F1296" s="18"/>
      <c r="G1296" s="18"/>
      <c r="H1296" s="21"/>
      <c r="I1296" s="19"/>
      <c r="J1296" s="8" t="str">
        <f aca="false">IF(OR(E1296="",F1296=""),"",E1296*F1296)</f>
        <v/>
      </c>
      <c r="K1296" s="22" t="str">
        <f aca="false">IF($M1296="","",INDEX('Программа тренировок'!$G$6:$G$25,$M1296))</f>
        <v/>
      </c>
      <c r="L1296" s="23" t="str">
        <f aca="false">IF(OR($M1296="",$F1296="",$G1296=""),"",IF($H1296="Разминка","Разминка",IF($F1296&lt;INDEX('Программа тренировок'!$E$6:$E$25,$M1296),"Ниже диапазона",IF(AND($F1296&gt;=INDEX('Программа тренировок'!$F$6:$F$25,$M1296),$G1296&gt;=INDEX('Программа тренировок'!$L$6:$L$25,$M1296)),"Верх диапазона: пора добавлять вес",IF($G1296&lt;INDEX('Программа тренировок'!$L$6:$L$25,$M1296),"RIR ниже цели","В диапазоне")))))</f>
        <v/>
      </c>
      <c r="M1296" s="23" t="str">
        <f aca="false">IF($C1296="","",IFERROR(MATCH($C1296,'Программа тренировок'!$C$6:$C$25,0),""))</f>
        <v/>
      </c>
    </row>
    <row r="1297" customFormat="false" ht="15" hidden="false" customHeight="true" outlineLevel="0" collapsed="false">
      <c r="A1297" s="20"/>
      <c r="B1297" s="21"/>
      <c r="C1297" s="19"/>
      <c r="D1297" s="18"/>
      <c r="E1297" s="17"/>
      <c r="F1297" s="18"/>
      <c r="G1297" s="18"/>
      <c r="H1297" s="21"/>
      <c r="I1297" s="19"/>
      <c r="J1297" s="8" t="str">
        <f aca="false">IF(OR(E1297="",F1297=""),"",E1297*F1297)</f>
        <v/>
      </c>
      <c r="K1297" s="22" t="str">
        <f aca="false">IF($M1297="","",INDEX('Программа тренировок'!$G$6:$G$25,$M1297))</f>
        <v/>
      </c>
      <c r="L1297" s="23" t="str">
        <f aca="false">IF(OR($M1297="",$F1297="",$G1297=""),"",IF($H1297="Разминка","Разминка",IF($F1297&lt;INDEX('Программа тренировок'!$E$6:$E$25,$M1297),"Ниже диапазона",IF(AND($F1297&gt;=INDEX('Программа тренировок'!$F$6:$F$25,$M1297),$G1297&gt;=INDEX('Программа тренировок'!$L$6:$L$25,$M1297)),"Верх диапазона: пора добавлять вес",IF($G1297&lt;INDEX('Программа тренировок'!$L$6:$L$25,$M1297),"RIR ниже цели","В диапазоне")))))</f>
        <v/>
      </c>
      <c r="M1297" s="23" t="str">
        <f aca="false">IF($C1297="","",IFERROR(MATCH($C1297,'Программа тренировок'!$C$6:$C$25,0),""))</f>
        <v/>
      </c>
    </row>
    <row r="1298" customFormat="false" ht="15" hidden="false" customHeight="true" outlineLevel="0" collapsed="false">
      <c r="A1298" s="20"/>
      <c r="B1298" s="21"/>
      <c r="C1298" s="19"/>
      <c r="D1298" s="18"/>
      <c r="E1298" s="17"/>
      <c r="F1298" s="18"/>
      <c r="G1298" s="18"/>
      <c r="H1298" s="21"/>
      <c r="I1298" s="19"/>
      <c r="J1298" s="8" t="str">
        <f aca="false">IF(OR(E1298="",F1298=""),"",E1298*F1298)</f>
        <v/>
      </c>
      <c r="K1298" s="22" t="str">
        <f aca="false">IF($M1298="","",INDEX('Программа тренировок'!$G$6:$G$25,$M1298))</f>
        <v/>
      </c>
      <c r="L1298" s="23" t="str">
        <f aca="false">IF(OR($M1298="",$F1298="",$G1298=""),"",IF($H1298="Разминка","Разминка",IF($F1298&lt;INDEX('Программа тренировок'!$E$6:$E$25,$M1298),"Ниже диапазона",IF(AND($F1298&gt;=INDEX('Программа тренировок'!$F$6:$F$25,$M1298),$G1298&gt;=INDEX('Программа тренировок'!$L$6:$L$25,$M1298)),"Верх диапазона: пора добавлять вес",IF($G1298&lt;INDEX('Программа тренировок'!$L$6:$L$25,$M1298),"RIR ниже цели","В диапазоне")))))</f>
        <v/>
      </c>
      <c r="M1298" s="23" t="str">
        <f aca="false">IF($C1298="","",IFERROR(MATCH($C1298,'Программа тренировок'!$C$6:$C$25,0),""))</f>
        <v/>
      </c>
    </row>
    <row r="1299" customFormat="false" ht="15" hidden="false" customHeight="true" outlineLevel="0" collapsed="false">
      <c r="A1299" s="20"/>
      <c r="B1299" s="21"/>
      <c r="C1299" s="19"/>
      <c r="D1299" s="18"/>
      <c r="E1299" s="17"/>
      <c r="F1299" s="18"/>
      <c r="G1299" s="18"/>
      <c r="H1299" s="21"/>
      <c r="I1299" s="19"/>
      <c r="J1299" s="8" t="str">
        <f aca="false">IF(OR(E1299="",F1299=""),"",E1299*F1299)</f>
        <v/>
      </c>
      <c r="K1299" s="22" t="str">
        <f aca="false">IF($M1299="","",INDEX('Программа тренировок'!$G$6:$G$25,$M1299))</f>
        <v/>
      </c>
      <c r="L1299" s="23" t="str">
        <f aca="false">IF(OR($M1299="",$F1299="",$G1299=""),"",IF($H1299="Разминка","Разминка",IF($F1299&lt;INDEX('Программа тренировок'!$E$6:$E$25,$M1299),"Ниже диапазона",IF(AND($F1299&gt;=INDEX('Программа тренировок'!$F$6:$F$25,$M1299),$G1299&gt;=INDEX('Программа тренировок'!$L$6:$L$25,$M1299)),"Верх диапазона: пора добавлять вес",IF($G1299&lt;INDEX('Программа тренировок'!$L$6:$L$25,$M1299),"RIR ниже цели","В диапазоне")))))</f>
        <v/>
      </c>
      <c r="M1299" s="23" t="str">
        <f aca="false">IF($C1299="","",IFERROR(MATCH($C1299,'Программа тренировок'!$C$6:$C$25,0),""))</f>
        <v/>
      </c>
    </row>
    <row r="1300" customFormat="false" ht="15" hidden="false" customHeight="true" outlineLevel="0" collapsed="false">
      <c r="A1300" s="20"/>
      <c r="B1300" s="21"/>
      <c r="C1300" s="19"/>
      <c r="D1300" s="18"/>
      <c r="E1300" s="17"/>
      <c r="F1300" s="18"/>
      <c r="G1300" s="18"/>
      <c r="H1300" s="21"/>
      <c r="I1300" s="19"/>
      <c r="J1300" s="8" t="str">
        <f aca="false">IF(OR(E1300="",F1300=""),"",E1300*F1300)</f>
        <v/>
      </c>
      <c r="K1300" s="22" t="str">
        <f aca="false">IF($M1300="","",INDEX('Программа тренировок'!$G$6:$G$25,$M1300))</f>
        <v/>
      </c>
      <c r="L1300" s="23" t="str">
        <f aca="false">IF(OR($M1300="",$F1300="",$G1300=""),"",IF($H1300="Разминка","Разминка",IF($F1300&lt;INDEX('Программа тренировок'!$E$6:$E$25,$M1300),"Ниже диапазона",IF(AND($F1300&gt;=INDEX('Программа тренировок'!$F$6:$F$25,$M1300),$G1300&gt;=INDEX('Программа тренировок'!$L$6:$L$25,$M1300)),"Верх диапазона: пора добавлять вес",IF($G1300&lt;INDEX('Программа тренировок'!$L$6:$L$25,$M1300),"RIR ниже цели","В диапазоне")))))</f>
        <v/>
      </c>
      <c r="M1300" s="23" t="str">
        <f aca="false">IF($C1300="","",IFERROR(MATCH($C1300,'Программа тренировок'!$C$6:$C$25,0),""))</f>
        <v/>
      </c>
    </row>
    <row r="1301" customFormat="false" ht="15" hidden="false" customHeight="true" outlineLevel="0" collapsed="false">
      <c r="A1301" s="20"/>
      <c r="B1301" s="21"/>
      <c r="C1301" s="19"/>
      <c r="D1301" s="18"/>
      <c r="E1301" s="17"/>
      <c r="F1301" s="18"/>
      <c r="G1301" s="18"/>
      <c r="H1301" s="21"/>
      <c r="I1301" s="19"/>
      <c r="J1301" s="8" t="str">
        <f aca="false">IF(OR(E1301="",F1301=""),"",E1301*F1301)</f>
        <v/>
      </c>
      <c r="K1301" s="22" t="str">
        <f aca="false">IF($M1301="","",INDEX('Программа тренировок'!$G$6:$G$25,$M1301))</f>
        <v/>
      </c>
      <c r="L1301" s="23" t="str">
        <f aca="false">IF(OR($M1301="",$F1301="",$G1301=""),"",IF($H1301="Разминка","Разминка",IF($F1301&lt;INDEX('Программа тренировок'!$E$6:$E$25,$M1301),"Ниже диапазона",IF(AND($F1301&gt;=INDEX('Программа тренировок'!$F$6:$F$25,$M1301),$G1301&gt;=INDEX('Программа тренировок'!$L$6:$L$25,$M1301)),"Верх диапазона: пора добавлять вес",IF($G1301&lt;INDEX('Программа тренировок'!$L$6:$L$25,$M1301),"RIR ниже цели","В диапазоне")))))</f>
        <v/>
      </c>
      <c r="M1301" s="23" t="str">
        <f aca="false">IF($C1301="","",IFERROR(MATCH($C1301,'Программа тренировок'!$C$6:$C$25,0),""))</f>
        <v/>
      </c>
    </row>
    <row r="1302" customFormat="false" ht="15" hidden="false" customHeight="true" outlineLevel="0" collapsed="false">
      <c r="A1302" s="20"/>
      <c r="B1302" s="21"/>
      <c r="C1302" s="19"/>
      <c r="D1302" s="18"/>
      <c r="E1302" s="17"/>
      <c r="F1302" s="18"/>
      <c r="G1302" s="18"/>
      <c r="H1302" s="21"/>
      <c r="I1302" s="19"/>
      <c r="J1302" s="8" t="str">
        <f aca="false">IF(OR(E1302="",F1302=""),"",E1302*F1302)</f>
        <v/>
      </c>
      <c r="K1302" s="22" t="str">
        <f aca="false">IF($M1302="","",INDEX('Программа тренировок'!$G$6:$G$25,$M1302))</f>
        <v/>
      </c>
      <c r="L1302" s="23" t="str">
        <f aca="false">IF(OR($M1302="",$F1302="",$G1302=""),"",IF($H1302="Разминка","Разминка",IF($F1302&lt;INDEX('Программа тренировок'!$E$6:$E$25,$M1302),"Ниже диапазона",IF(AND($F1302&gt;=INDEX('Программа тренировок'!$F$6:$F$25,$M1302),$G1302&gt;=INDEX('Программа тренировок'!$L$6:$L$25,$M1302)),"Верх диапазона: пора добавлять вес",IF($G1302&lt;INDEX('Программа тренировок'!$L$6:$L$25,$M1302),"RIR ниже цели","В диапазоне")))))</f>
        <v/>
      </c>
      <c r="M1302" s="23" t="str">
        <f aca="false">IF($C1302="","",IFERROR(MATCH($C1302,'Программа тренировок'!$C$6:$C$25,0),""))</f>
        <v/>
      </c>
    </row>
    <row r="1303" customFormat="false" ht="15" hidden="false" customHeight="true" outlineLevel="0" collapsed="false">
      <c r="A1303" s="20"/>
      <c r="B1303" s="21"/>
      <c r="C1303" s="19"/>
      <c r="D1303" s="18"/>
      <c r="E1303" s="17"/>
      <c r="F1303" s="18"/>
      <c r="G1303" s="18"/>
      <c r="H1303" s="21"/>
      <c r="I1303" s="19"/>
      <c r="J1303" s="8" t="str">
        <f aca="false">IF(OR(E1303="",F1303=""),"",E1303*F1303)</f>
        <v/>
      </c>
      <c r="K1303" s="22" t="str">
        <f aca="false">IF($M1303="","",INDEX('Программа тренировок'!$G$6:$G$25,$M1303))</f>
        <v/>
      </c>
      <c r="L1303" s="23" t="str">
        <f aca="false">IF(OR($M1303="",$F1303="",$G1303=""),"",IF($H1303="Разминка","Разминка",IF($F1303&lt;INDEX('Программа тренировок'!$E$6:$E$25,$M1303),"Ниже диапазона",IF(AND($F1303&gt;=INDEX('Программа тренировок'!$F$6:$F$25,$M1303),$G1303&gt;=INDEX('Программа тренировок'!$L$6:$L$25,$M1303)),"Верх диапазона: пора добавлять вес",IF($G1303&lt;INDEX('Программа тренировок'!$L$6:$L$25,$M1303),"RIR ниже цели","В диапазоне")))))</f>
        <v/>
      </c>
      <c r="M1303" s="23" t="str">
        <f aca="false">IF($C1303="","",IFERROR(MATCH($C1303,'Программа тренировок'!$C$6:$C$25,0),""))</f>
        <v/>
      </c>
    </row>
    <row r="1304" customFormat="false" ht="15" hidden="false" customHeight="true" outlineLevel="0" collapsed="false">
      <c r="A1304" s="20"/>
      <c r="B1304" s="21"/>
      <c r="C1304" s="19"/>
      <c r="D1304" s="18"/>
      <c r="E1304" s="17"/>
      <c r="F1304" s="18"/>
      <c r="G1304" s="18"/>
      <c r="H1304" s="21"/>
      <c r="I1304" s="19"/>
      <c r="J1304" s="8" t="str">
        <f aca="false">IF(OR(E1304="",F1304=""),"",E1304*F1304)</f>
        <v/>
      </c>
      <c r="K1304" s="22" t="str">
        <f aca="false">IF($M1304="","",INDEX('Программа тренировок'!$G$6:$G$25,$M1304))</f>
        <v/>
      </c>
      <c r="L1304" s="23" t="str">
        <f aca="false">IF(OR($M1304="",$F1304="",$G1304=""),"",IF($H1304="Разминка","Разминка",IF($F1304&lt;INDEX('Программа тренировок'!$E$6:$E$25,$M1304),"Ниже диапазона",IF(AND($F1304&gt;=INDEX('Программа тренировок'!$F$6:$F$25,$M1304),$G1304&gt;=INDEX('Программа тренировок'!$L$6:$L$25,$M1304)),"Верх диапазона: пора добавлять вес",IF($G1304&lt;INDEX('Программа тренировок'!$L$6:$L$25,$M1304),"RIR ниже цели","В диапазоне")))))</f>
        <v/>
      </c>
      <c r="M1304" s="23" t="str">
        <f aca="false">IF($C1304="","",IFERROR(MATCH($C1304,'Программа тренировок'!$C$6:$C$25,0),""))</f>
        <v/>
      </c>
    </row>
    <row r="1305" customFormat="false" ht="15" hidden="false" customHeight="true" outlineLevel="0" collapsed="false">
      <c r="A1305" s="20"/>
      <c r="B1305" s="21"/>
      <c r="C1305" s="19"/>
      <c r="D1305" s="18"/>
      <c r="E1305" s="17"/>
      <c r="F1305" s="18"/>
      <c r="G1305" s="18"/>
      <c r="H1305" s="21"/>
      <c r="I1305" s="19"/>
      <c r="J1305" s="8" t="str">
        <f aca="false">IF(OR(E1305="",F1305=""),"",E1305*F1305)</f>
        <v/>
      </c>
      <c r="K1305" s="22" t="str">
        <f aca="false">IF($M1305="","",INDEX('Программа тренировок'!$G$6:$G$25,$M1305))</f>
        <v/>
      </c>
      <c r="L1305" s="23" t="str">
        <f aca="false">IF(OR($M1305="",$F1305="",$G1305=""),"",IF($H1305="Разминка","Разминка",IF($F1305&lt;INDEX('Программа тренировок'!$E$6:$E$25,$M1305),"Ниже диапазона",IF(AND($F1305&gt;=INDEX('Программа тренировок'!$F$6:$F$25,$M1305),$G1305&gt;=INDEX('Программа тренировок'!$L$6:$L$25,$M1305)),"Верх диапазона: пора добавлять вес",IF($G1305&lt;INDEX('Программа тренировок'!$L$6:$L$25,$M1305),"RIR ниже цели","В диапазоне")))))</f>
        <v/>
      </c>
      <c r="M1305" s="23" t="str">
        <f aca="false">IF($C1305="","",IFERROR(MATCH($C1305,'Программа тренировок'!$C$6:$C$25,0),""))</f>
        <v/>
      </c>
    </row>
    <row r="1306" customFormat="false" ht="15" hidden="false" customHeight="true" outlineLevel="0" collapsed="false">
      <c r="A1306" s="20"/>
      <c r="B1306" s="21"/>
      <c r="C1306" s="19"/>
      <c r="D1306" s="18"/>
      <c r="E1306" s="17"/>
      <c r="F1306" s="18"/>
      <c r="G1306" s="18"/>
      <c r="H1306" s="21"/>
      <c r="I1306" s="19"/>
      <c r="J1306" s="8" t="str">
        <f aca="false">IF(OR(E1306="",F1306=""),"",E1306*F1306)</f>
        <v/>
      </c>
      <c r="K1306" s="22" t="str">
        <f aca="false">IF($M1306="","",INDEX('Программа тренировок'!$G$6:$G$25,$M1306))</f>
        <v/>
      </c>
      <c r="L1306" s="23" t="str">
        <f aca="false">IF(OR($M1306="",$F1306="",$G1306=""),"",IF($H1306="Разминка","Разминка",IF($F1306&lt;INDEX('Программа тренировок'!$E$6:$E$25,$M1306),"Ниже диапазона",IF(AND($F1306&gt;=INDEX('Программа тренировок'!$F$6:$F$25,$M1306),$G1306&gt;=INDEX('Программа тренировок'!$L$6:$L$25,$M1306)),"Верх диапазона: пора добавлять вес",IF($G1306&lt;INDEX('Программа тренировок'!$L$6:$L$25,$M1306),"RIR ниже цели","В диапазоне")))))</f>
        <v/>
      </c>
      <c r="M1306" s="23" t="str">
        <f aca="false">IF($C1306="","",IFERROR(MATCH($C1306,'Программа тренировок'!$C$6:$C$25,0),""))</f>
        <v/>
      </c>
    </row>
    <row r="1307" customFormat="false" ht="15" hidden="false" customHeight="true" outlineLevel="0" collapsed="false">
      <c r="A1307" s="20"/>
      <c r="B1307" s="21"/>
      <c r="C1307" s="19"/>
      <c r="D1307" s="18"/>
      <c r="E1307" s="17"/>
      <c r="F1307" s="18"/>
      <c r="G1307" s="18"/>
      <c r="H1307" s="21"/>
      <c r="I1307" s="19"/>
      <c r="J1307" s="8" t="str">
        <f aca="false">IF(OR(E1307="",F1307=""),"",E1307*F1307)</f>
        <v/>
      </c>
      <c r="K1307" s="22" t="str">
        <f aca="false">IF($M1307="","",INDEX('Программа тренировок'!$G$6:$G$25,$M1307))</f>
        <v/>
      </c>
      <c r="L1307" s="23" t="str">
        <f aca="false">IF(OR($M1307="",$F1307="",$G1307=""),"",IF($H1307="Разминка","Разминка",IF($F1307&lt;INDEX('Программа тренировок'!$E$6:$E$25,$M1307),"Ниже диапазона",IF(AND($F1307&gt;=INDEX('Программа тренировок'!$F$6:$F$25,$M1307),$G1307&gt;=INDEX('Программа тренировок'!$L$6:$L$25,$M1307)),"Верх диапазона: пора добавлять вес",IF($G1307&lt;INDEX('Программа тренировок'!$L$6:$L$25,$M1307),"RIR ниже цели","В диапазоне")))))</f>
        <v/>
      </c>
      <c r="M1307" s="23" t="str">
        <f aca="false">IF($C1307="","",IFERROR(MATCH($C1307,'Программа тренировок'!$C$6:$C$25,0),""))</f>
        <v/>
      </c>
    </row>
    <row r="1308" customFormat="false" ht="15" hidden="false" customHeight="true" outlineLevel="0" collapsed="false">
      <c r="A1308" s="20"/>
      <c r="B1308" s="21"/>
      <c r="C1308" s="19"/>
      <c r="D1308" s="18"/>
      <c r="E1308" s="17"/>
      <c r="F1308" s="18"/>
      <c r="G1308" s="18"/>
      <c r="H1308" s="21"/>
      <c r="I1308" s="19"/>
      <c r="J1308" s="8" t="str">
        <f aca="false">IF(OR(E1308="",F1308=""),"",E1308*F1308)</f>
        <v/>
      </c>
      <c r="K1308" s="22" t="str">
        <f aca="false">IF($M1308="","",INDEX('Программа тренировок'!$G$6:$G$25,$M1308))</f>
        <v/>
      </c>
      <c r="L1308" s="23" t="str">
        <f aca="false">IF(OR($M1308="",$F1308="",$G1308=""),"",IF($H1308="Разминка","Разминка",IF($F1308&lt;INDEX('Программа тренировок'!$E$6:$E$25,$M1308),"Ниже диапазона",IF(AND($F1308&gt;=INDEX('Программа тренировок'!$F$6:$F$25,$M1308),$G1308&gt;=INDEX('Программа тренировок'!$L$6:$L$25,$M1308)),"Верх диапазона: пора добавлять вес",IF($G1308&lt;INDEX('Программа тренировок'!$L$6:$L$25,$M1308),"RIR ниже цели","В диапазоне")))))</f>
        <v/>
      </c>
      <c r="M1308" s="23" t="str">
        <f aca="false">IF($C1308="","",IFERROR(MATCH($C1308,'Программа тренировок'!$C$6:$C$25,0),""))</f>
        <v/>
      </c>
    </row>
    <row r="1309" customFormat="false" ht="15" hidden="false" customHeight="true" outlineLevel="0" collapsed="false">
      <c r="A1309" s="20"/>
      <c r="B1309" s="21"/>
      <c r="C1309" s="19"/>
      <c r="D1309" s="18"/>
      <c r="E1309" s="17"/>
      <c r="F1309" s="18"/>
      <c r="G1309" s="18"/>
      <c r="H1309" s="21"/>
      <c r="I1309" s="19"/>
      <c r="J1309" s="8" t="str">
        <f aca="false">IF(OR(E1309="",F1309=""),"",E1309*F1309)</f>
        <v/>
      </c>
      <c r="K1309" s="22" t="str">
        <f aca="false">IF($M1309="","",INDEX('Программа тренировок'!$G$6:$G$25,$M1309))</f>
        <v/>
      </c>
      <c r="L1309" s="23" t="str">
        <f aca="false">IF(OR($M1309="",$F1309="",$G1309=""),"",IF($H1309="Разминка","Разминка",IF($F1309&lt;INDEX('Программа тренировок'!$E$6:$E$25,$M1309),"Ниже диапазона",IF(AND($F1309&gt;=INDEX('Программа тренировок'!$F$6:$F$25,$M1309),$G1309&gt;=INDEX('Программа тренировок'!$L$6:$L$25,$M1309)),"Верх диапазона: пора добавлять вес",IF($G1309&lt;INDEX('Программа тренировок'!$L$6:$L$25,$M1309),"RIR ниже цели","В диапазоне")))))</f>
        <v/>
      </c>
      <c r="M1309" s="23" t="str">
        <f aca="false">IF($C1309="","",IFERROR(MATCH($C1309,'Программа тренировок'!$C$6:$C$25,0),""))</f>
        <v/>
      </c>
    </row>
    <row r="1310" customFormat="false" ht="15" hidden="false" customHeight="true" outlineLevel="0" collapsed="false">
      <c r="A1310" s="20"/>
      <c r="B1310" s="21"/>
      <c r="C1310" s="19"/>
      <c r="D1310" s="18"/>
      <c r="E1310" s="17"/>
      <c r="F1310" s="18"/>
      <c r="G1310" s="18"/>
      <c r="H1310" s="21"/>
      <c r="I1310" s="19"/>
      <c r="J1310" s="8" t="str">
        <f aca="false">IF(OR(E1310="",F1310=""),"",E1310*F1310)</f>
        <v/>
      </c>
      <c r="K1310" s="22" t="str">
        <f aca="false">IF($M1310="","",INDEX('Программа тренировок'!$G$6:$G$25,$M1310))</f>
        <v/>
      </c>
      <c r="L1310" s="23" t="str">
        <f aca="false">IF(OR($M1310="",$F1310="",$G1310=""),"",IF($H1310="Разминка","Разминка",IF($F1310&lt;INDEX('Программа тренировок'!$E$6:$E$25,$M1310),"Ниже диапазона",IF(AND($F1310&gt;=INDEX('Программа тренировок'!$F$6:$F$25,$M1310),$G1310&gt;=INDEX('Программа тренировок'!$L$6:$L$25,$M1310)),"Верх диапазона: пора добавлять вес",IF($G1310&lt;INDEX('Программа тренировок'!$L$6:$L$25,$M1310),"RIR ниже цели","В диапазоне")))))</f>
        <v/>
      </c>
      <c r="M1310" s="23" t="str">
        <f aca="false">IF($C1310="","",IFERROR(MATCH($C1310,'Программа тренировок'!$C$6:$C$25,0),""))</f>
        <v/>
      </c>
    </row>
    <row r="1311" customFormat="false" ht="15" hidden="false" customHeight="true" outlineLevel="0" collapsed="false">
      <c r="A1311" s="20"/>
      <c r="B1311" s="21"/>
      <c r="C1311" s="19"/>
      <c r="D1311" s="18"/>
      <c r="E1311" s="17"/>
      <c r="F1311" s="18"/>
      <c r="G1311" s="18"/>
      <c r="H1311" s="21"/>
      <c r="I1311" s="19"/>
      <c r="J1311" s="8" t="str">
        <f aca="false">IF(OR(E1311="",F1311=""),"",E1311*F1311)</f>
        <v/>
      </c>
      <c r="K1311" s="22" t="str">
        <f aca="false">IF($M1311="","",INDEX('Программа тренировок'!$G$6:$G$25,$M1311))</f>
        <v/>
      </c>
      <c r="L1311" s="23" t="str">
        <f aca="false">IF(OR($M1311="",$F1311="",$G1311=""),"",IF($H1311="Разминка","Разминка",IF($F1311&lt;INDEX('Программа тренировок'!$E$6:$E$25,$M1311),"Ниже диапазона",IF(AND($F1311&gt;=INDEX('Программа тренировок'!$F$6:$F$25,$M1311),$G1311&gt;=INDEX('Программа тренировок'!$L$6:$L$25,$M1311)),"Верх диапазона: пора добавлять вес",IF($G1311&lt;INDEX('Программа тренировок'!$L$6:$L$25,$M1311),"RIR ниже цели","В диапазоне")))))</f>
        <v/>
      </c>
      <c r="M1311" s="23" t="str">
        <f aca="false">IF($C1311="","",IFERROR(MATCH($C1311,'Программа тренировок'!$C$6:$C$25,0),""))</f>
        <v/>
      </c>
    </row>
    <row r="1312" customFormat="false" ht="15" hidden="false" customHeight="true" outlineLevel="0" collapsed="false">
      <c r="A1312" s="20"/>
      <c r="B1312" s="21"/>
      <c r="C1312" s="19"/>
      <c r="D1312" s="18"/>
      <c r="E1312" s="17"/>
      <c r="F1312" s="18"/>
      <c r="G1312" s="18"/>
      <c r="H1312" s="21"/>
      <c r="I1312" s="19"/>
      <c r="J1312" s="8" t="str">
        <f aca="false">IF(OR(E1312="",F1312=""),"",E1312*F1312)</f>
        <v/>
      </c>
      <c r="K1312" s="22" t="str">
        <f aca="false">IF($M1312="","",INDEX('Программа тренировок'!$G$6:$G$25,$M1312))</f>
        <v/>
      </c>
      <c r="L1312" s="23" t="str">
        <f aca="false">IF(OR($M1312="",$F1312="",$G1312=""),"",IF($H1312="Разминка","Разминка",IF($F1312&lt;INDEX('Программа тренировок'!$E$6:$E$25,$M1312),"Ниже диапазона",IF(AND($F1312&gt;=INDEX('Программа тренировок'!$F$6:$F$25,$M1312),$G1312&gt;=INDEX('Программа тренировок'!$L$6:$L$25,$M1312)),"Верх диапазона: пора добавлять вес",IF($G1312&lt;INDEX('Программа тренировок'!$L$6:$L$25,$M1312),"RIR ниже цели","В диапазоне")))))</f>
        <v/>
      </c>
      <c r="M1312" s="23" t="str">
        <f aca="false">IF($C1312="","",IFERROR(MATCH($C1312,'Программа тренировок'!$C$6:$C$25,0),""))</f>
        <v/>
      </c>
    </row>
    <row r="1313" customFormat="false" ht="15" hidden="false" customHeight="true" outlineLevel="0" collapsed="false">
      <c r="A1313" s="20"/>
      <c r="B1313" s="21"/>
      <c r="C1313" s="19"/>
      <c r="D1313" s="18"/>
      <c r="E1313" s="17"/>
      <c r="F1313" s="18"/>
      <c r="G1313" s="18"/>
      <c r="H1313" s="21"/>
      <c r="I1313" s="19"/>
      <c r="J1313" s="8" t="str">
        <f aca="false">IF(OR(E1313="",F1313=""),"",E1313*F1313)</f>
        <v/>
      </c>
      <c r="K1313" s="22" t="str">
        <f aca="false">IF($M1313="","",INDEX('Программа тренировок'!$G$6:$G$25,$M1313))</f>
        <v/>
      </c>
      <c r="L1313" s="23" t="str">
        <f aca="false">IF(OR($M1313="",$F1313="",$G1313=""),"",IF($H1313="Разминка","Разминка",IF($F1313&lt;INDEX('Программа тренировок'!$E$6:$E$25,$M1313),"Ниже диапазона",IF(AND($F1313&gt;=INDEX('Программа тренировок'!$F$6:$F$25,$M1313),$G1313&gt;=INDEX('Программа тренировок'!$L$6:$L$25,$M1313)),"Верх диапазона: пора добавлять вес",IF($G1313&lt;INDEX('Программа тренировок'!$L$6:$L$25,$M1313),"RIR ниже цели","В диапазоне")))))</f>
        <v/>
      </c>
      <c r="M1313" s="23" t="str">
        <f aca="false">IF($C1313="","",IFERROR(MATCH($C1313,'Программа тренировок'!$C$6:$C$25,0),""))</f>
        <v/>
      </c>
    </row>
    <row r="1314" customFormat="false" ht="15" hidden="false" customHeight="true" outlineLevel="0" collapsed="false">
      <c r="A1314" s="20"/>
      <c r="B1314" s="21"/>
      <c r="C1314" s="19"/>
      <c r="D1314" s="18"/>
      <c r="E1314" s="17"/>
      <c r="F1314" s="18"/>
      <c r="G1314" s="18"/>
      <c r="H1314" s="21"/>
      <c r="I1314" s="19"/>
      <c r="J1314" s="8" t="str">
        <f aca="false">IF(OR(E1314="",F1314=""),"",E1314*F1314)</f>
        <v/>
      </c>
      <c r="K1314" s="22" t="str">
        <f aca="false">IF($M1314="","",INDEX('Программа тренировок'!$G$6:$G$25,$M1314))</f>
        <v/>
      </c>
      <c r="L1314" s="23" t="str">
        <f aca="false">IF(OR($M1314="",$F1314="",$G1314=""),"",IF($H1314="Разминка","Разминка",IF($F1314&lt;INDEX('Программа тренировок'!$E$6:$E$25,$M1314),"Ниже диапазона",IF(AND($F1314&gt;=INDEX('Программа тренировок'!$F$6:$F$25,$M1314),$G1314&gt;=INDEX('Программа тренировок'!$L$6:$L$25,$M1314)),"Верх диапазона: пора добавлять вес",IF($G1314&lt;INDEX('Программа тренировок'!$L$6:$L$25,$M1314),"RIR ниже цели","В диапазоне")))))</f>
        <v/>
      </c>
      <c r="M1314" s="23" t="str">
        <f aca="false">IF($C1314="","",IFERROR(MATCH($C1314,'Программа тренировок'!$C$6:$C$25,0),""))</f>
        <v/>
      </c>
    </row>
    <row r="1315" customFormat="false" ht="15" hidden="false" customHeight="true" outlineLevel="0" collapsed="false">
      <c r="A1315" s="20"/>
      <c r="B1315" s="21"/>
      <c r="C1315" s="19"/>
      <c r="D1315" s="18"/>
      <c r="E1315" s="17"/>
      <c r="F1315" s="18"/>
      <c r="G1315" s="18"/>
      <c r="H1315" s="21"/>
      <c r="I1315" s="19"/>
      <c r="J1315" s="8" t="str">
        <f aca="false">IF(OR(E1315="",F1315=""),"",E1315*F1315)</f>
        <v/>
      </c>
      <c r="K1315" s="22" t="str">
        <f aca="false">IF($M1315="","",INDEX('Программа тренировок'!$G$6:$G$25,$M1315))</f>
        <v/>
      </c>
      <c r="L1315" s="23" t="str">
        <f aca="false">IF(OR($M1315="",$F1315="",$G1315=""),"",IF($H1315="Разминка","Разминка",IF($F1315&lt;INDEX('Программа тренировок'!$E$6:$E$25,$M1315),"Ниже диапазона",IF(AND($F1315&gt;=INDEX('Программа тренировок'!$F$6:$F$25,$M1315),$G1315&gt;=INDEX('Программа тренировок'!$L$6:$L$25,$M1315)),"Верх диапазона: пора добавлять вес",IF($G1315&lt;INDEX('Программа тренировок'!$L$6:$L$25,$M1315),"RIR ниже цели","В диапазоне")))))</f>
        <v/>
      </c>
      <c r="M1315" s="23" t="str">
        <f aca="false">IF($C1315="","",IFERROR(MATCH($C1315,'Программа тренировок'!$C$6:$C$25,0),""))</f>
        <v/>
      </c>
    </row>
    <row r="1316" customFormat="false" ht="15" hidden="false" customHeight="true" outlineLevel="0" collapsed="false">
      <c r="A1316" s="20"/>
      <c r="B1316" s="21"/>
      <c r="C1316" s="19"/>
      <c r="D1316" s="18"/>
      <c r="E1316" s="17"/>
      <c r="F1316" s="18"/>
      <c r="G1316" s="18"/>
      <c r="H1316" s="21"/>
      <c r="I1316" s="19"/>
      <c r="J1316" s="8" t="str">
        <f aca="false">IF(OR(E1316="",F1316=""),"",E1316*F1316)</f>
        <v/>
      </c>
      <c r="K1316" s="22" t="str">
        <f aca="false">IF($M1316="","",INDEX('Программа тренировок'!$G$6:$G$25,$M1316))</f>
        <v/>
      </c>
      <c r="L1316" s="23" t="str">
        <f aca="false">IF(OR($M1316="",$F1316="",$G1316=""),"",IF($H1316="Разминка","Разминка",IF($F1316&lt;INDEX('Программа тренировок'!$E$6:$E$25,$M1316),"Ниже диапазона",IF(AND($F1316&gt;=INDEX('Программа тренировок'!$F$6:$F$25,$M1316),$G1316&gt;=INDEX('Программа тренировок'!$L$6:$L$25,$M1316)),"Верх диапазона: пора добавлять вес",IF($G1316&lt;INDEX('Программа тренировок'!$L$6:$L$25,$M1316),"RIR ниже цели","В диапазоне")))))</f>
        <v/>
      </c>
      <c r="M1316" s="23" t="str">
        <f aca="false">IF($C1316="","",IFERROR(MATCH($C1316,'Программа тренировок'!$C$6:$C$25,0),""))</f>
        <v/>
      </c>
    </row>
    <row r="1317" customFormat="false" ht="15" hidden="false" customHeight="true" outlineLevel="0" collapsed="false">
      <c r="A1317" s="20"/>
      <c r="B1317" s="21"/>
      <c r="C1317" s="19"/>
      <c r="D1317" s="18"/>
      <c r="E1317" s="17"/>
      <c r="F1317" s="18"/>
      <c r="G1317" s="18"/>
      <c r="H1317" s="21"/>
      <c r="I1317" s="19"/>
      <c r="J1317" s="8" t="str">
        <f aca="false">IF(OR(E1317="",F1317=""),"",E1317*F1317)</f>
        <v/>
      </c>
      <c r="K1317" s="22" t="str">
        <f aca="false">IF($M1317="","",INDEX('Программа тренировок'!$G$6:$G$25,$M1317))</f>
        <v/>
      </c>
      <c r="L1317" s="23" t="str">
        <f aca="false">IF(OR($M1317="",$F1317="",$G1317=""),"",IF($H1317="Разминка","Разминка",IF($F1317&lt;INDEX('Программа тренировок'!$E$6:$E$25,$M1317),"Ниже диапазона",IF(AND($F1317&gt;=INDEX('Программа тренировок'!$F$6:$F$25,$M1317),$G1317&gt;=INDEX('Программа тренировок'!$L$6:$L$25,$M1317)),"Верх диапазона: пора добавлять вес",IF($G1317&lt;INDEX('Программа тренировок'!$L$6:$L$25,$M1317),"RIR ниже цели","В диапазоне")))))</f>
        <v/>
      </c>
      <c r="M1317" s="23" t="str">
        <f aca="false">IF($C1317="","",IFERROR(MATCH($C1317,'Программа тренировок'!$C$6:$C$25,0),""))</f>
        <v/>
      </c>
    </row>
    <row r="1318" customFormat="false" ht="15" hidden="false" customHeight="true" outlineLevel="0" collapsed="false">
      <c r="A1318" s="20"/>
      <c r="B1318" s="21"/>
      <c r="C1318" s="19"/>
      <c r="D1318" s="18"/>
      <c r="E1318" s="17"/>
      <c r="F1318" s="18"/>
      <c r="G1318" s="18"/>
      <c r="H1318" s="21"/>
      <c r="I1318" s="19"/>
      <c r="J1318" s="8" t="str">
        <f aca="false">IF(OR(E1318="",F1318=""),"",E1318*F1318)</f>
        <v/>
      </c>
      <c r="K1318" s="22" t="str">
        <f aca="false">IF($M1318="","",INDEX('Программа тренировок'!$G$6:$G$25,$M1318))</f>
        <v/>
      </c>
      <c r="L1318" s="23" t="str">
        <f aca="false">IF(OR($M1318="",$F1318="",$G1318=""),"",IF($H1318="Разминка","Разминка",IF($F1318&lt;INDEX('Программа тренировок'!$E$6:$E$25,$M1318),"Ниже диапазона",IF(AND($F1318&gt;=INDEX('Программа тренировок'!$F$6:$F$25,$M1318),$G1318&gt;=INDEX('Программа тренировок'!$L$6:$L$25,$M1318)),"Верх диапазона: пора добавлять вес",IF($G1318&lt;INDEX('Программа тренировок'!$L$6:$L$25,$M1318),"RIR ниже цели","В диапазоне")))))</f>
        <v/>
      </c>
      <c r="M1318" s="23" t="str">
        <f aca="false">IF($C1318="","",IFERROR(MATCH($C1318,'Программа тренировок'!$C$6:$C$25,0),""))</f>
        <v/>
      </c>
    </row>
    <row r="1319" customFormat="false" ht="15" hidden="false" customHeight="true" outlineLevel="0" collapsed="false">
      <c r="A1319" s="20"/>
      <c r="B1319" s="21"/>
      <c r="C1319" s="19"/>
      <c r="D1319" s="18"/>
      <c r="E1319" s="17"/>
      <c r="F1319" s="18"/>
      <c r="G1319" s="18"/>
      <c r="H1319" s="21"/>
      <c r="I1319" s="19"/>
      <c r="J1319" s="8" t="str">
        <f aca="false">IF(OR(E1319="",F1319=""),"",E1319*F1319)</f>
        <v/>
      </c>
      <c r="K1319" s="22" t="str">
        <f aca="false">IF($M1319="","",INDEX('Программа тренировок'!$G$6:$G$25,$M1319))</f>
        <v/>
      </c>
      <c r="L1319" s="23" t="str">
        <f aca="false">IF(OR($M1319="",$F1319="",$G1319=""),"",IF($H1319="Разминка","Разминка",IF($F1319&lt;INDEX('Программа тренировок'!$E$6:$E$25,$M1319),"Ниже диапазона",IF(AND($F1319&gt;=INDEX('Программа тренировок'!$F$6:$F$25,$M1319),$G1319&gt;=INDEX('Программа тренировок'!$L$6:$L$25,$M1319)),"Верх диапазона: пора добавлять вес",IF($G1319&lt;INDEX('Программа тренировок'!$L$6:$L$25,$M1319),"RIR ниже цели","В диапазоне")))))</f>
        <v/>
      </c>
      <c r="M1319" s="23" t="str">
        <f aca="false">IF($C1319="","",IFERROR(MATCH($C1319,'Программа тренировок'!$C$6:$C$25,0),""))</f>
        <v/>
      </c>
    </row>
    <row r="1320" customFormat="false" ht="15" hidden="false" customHeight="true" outlineLevel="0" collapsed="false">
      <c r="A1320" s="20"/>
      <c r="B1320" s="21"/>
      <c r="C1320" s="19"/>
      <c r="D1320" s="18"/>
      <c r="E1320" s="17"/>
      <c r="F1320" s="18"/>
      <c r="G1320" s="18"/>
      <c r="H1320" s="21"/>
      <c r="I1320" s="19"/>
      <c r="J1320" s="8" t="str">
        <f aca="false">IF(OR(E1320="",F1320=""),"",E1320*F1320)</f>
        <v/>
      </c>
      <c r="K1320" s="22" t="str">
        <f aca="false">IF($M1320="","",INDEX('Программа тренировок'!$G$6:$G$25,$M1320))</f>
        <v/>
      </c>
      <c r="L1320" s="23" t="str">
        <f aca="false">IF(OR($M1320="",$F1320="",$G1320=""),"",IF($H1320="Разминка","Разминка",IF($F1320&lt;INDEX('Программа тренировок'!$E$6:$E$25,$M1320),"Ниже диапазона",IF(AND($F1320&gt;=INDEX('Программа тренировок'!$F$6:$F$25,$M1320),$G1320&gt;=INDEX('Программа тренировок'!$L$6:$L$25,$M1320)),"Верх диапазона: пора добавлять вес",IF($G1320&lt;INDEX('Программа тренировок'!$L$6:$L$25,$M1320),"RIR ниже цели","В диапазоне")))))</f>
        <v/>
      </c>
      <c r="M1320" s="23" t="str">
        <f aca="false">IF($C1320="","",IFERROR(MATCH($C1320,'Программа тренировок'!$C$6:$C$25,0),""))</f>
        <v/>
      </c>
    </row>
    <row r="1321" customFormat="false" ht="15" hidden="false" customHeight="true" outlineLevel="0" collapsed="false">
      <c r="A1321" s="20"/>
      <c r="B1321" s="21"/>
      <c r="C1321" s="19"/>
      <c r="D1321" s="18"/>
      <c r="E1321" s="17"/>
      <c r="F1321" s="18"/>
      <c r="G1321" s="18"/>
      <c r="H1321" s="21"/>
      <c r="I1321" s="19"/>
      <c r="J1321" s="8" t="str">
        <f aca="false">IF(OR(E1321="",F1321=""),"",E1321*F1321)</f>
        <v/>
      </c>
      <c r="K1321" s="22" t="str">
        <f aca="false">IF($M1321="","",INDEX('Программа тренировок'!$G$6:$G$25,$M1321))</f>
        <v/>
      </c>
      <c r="L1321" s="23" t="str">
        <f aca="false">IF(OR($M1321="",$F1321="",$G1321=""),"",IF($H1321="Разминка","Разминка",IF($F1321&lt;INDEX('Программа тренировок'!$E$6:$E$25,$M1321),"Ниже диапазона",IF(AND($F1321&gt;=INDEX('Программа тренировок'!$F$6:$F$25,$M1321),$G1321&gt;=INDEX('Программа тренировок'!$L$6:$L$25,$M1321)),"Верх диапазона: пора добавлять вес",IF($G1321&lt;INDEX('Программа тренировок'!$L$6:$L$25,$M1321),"RIR ниже цели","В диапазоне")))))</f>
        <v/>
      </c>
      <c r="M1321" s="23" t="str">
        <f aca="false">IF($C1321="","",IFERROR(MATCH($C1321,'Программа тренировок'!$C$6:$C$25,0),""))</f>
        <v/>
      </c>
    </row>
    <row r="1322" customFormat="false" ht="15" hidden="false" customHeight="true" outlineLevel="0" collapsed="false">
      <c r="A1322" s="20"/>
      <c r="B1322" s="21"/>
      <c r="C1322" s="19"/>
      <c r="D1322" s="18"/>
      <c r="E1322" s="17"/>
      <c r="F1322" s="18"/>
      <c r="G1322" s="18"/>
      <c r="H1322" s="21"/>
      <c r="I1322" s="19"/>
      <c r="J1322" s="8" t="str">
        <f aca="false">IF(OR(E1322="",F1322=""),"",E1322*F1322)</f>
        <v/>
      </c>
      <c r="K1322" s="22" t="str">
        <f aca="false">IF($M1322="","",INDEX('Программа тренировок'!$G$6:$G$25,$M1322))</f>
        <v/>
      </c>
      <c r="L1322" s="23" t="str">
        <f aca="false">IF(OR($M1322="",$F1322="",$G1322=""),"",IF($H1322="Разминка","Разминка",IF($F1322&lt;INDEX('Программа тренировок'!$E$6:$E$25,$M1322),"Ниже диапазона",IF(AND($F1322&gt;=INDEX('Программа тренировок'!$F$6:$F$25,$M1322),$G1322&gt;=INDEX('Программа тренировок'!$L$6:$L$25,$M1322)),"Верх диапазона: пора добавлять вес",IF($G1322&lt;INDEX('Программа тренировок'!$L$6:$L$25,$M1322),"RIR ниже цели","В диапазоне")))))</f>
        <v/>
      </c>
      <c r="M1322" s="23" t="str">
        <f aca="false">IF($C1322="","",IFERROR(MATCH($C1322,'Программа тренировок'!$C$6:$C$25,0),""))</f>
        <v/>
      </c>
    </row>
    <row r="1323" customFormat="false" ht="15" hidden="false" customHeight="true" outlineLevel="0" collapsed="false">
      <c r="A1323" s="20"/>
      <c r="B1323" s="21"/>
      <c r="C1323" s="19"/>
      <c r="D1323" s="18"/>
      <c r="E1323" s="17"/>
      <c r="F1323" s="18"/>
      <c r="G1323" s="18"/>
      <c r="H1323" s="21"/>
      <c r="I1323" s="19"/>
      <c r="J1323" s="8" t="str">
        <f aca="false">IF(OR(E1323="",F1323=""),"",E1323*F1323)</f>
        <v/>
      </c>
      <c r="K1323" s="22" t="str">
        <f aca="false">IF($M1323="","",INDEX('Программа тренировок'!$G$6:$G$25,$M1323))</f>
        <v/>
      </c>
      <c r="L1323" s="23" t="str">
        <f aca="false">IF(OR($M1323="",$F1323="",$G1323=""),"",IF($H1323="Разминка","Разминка",IF($F1323&lt;INDEX('Программа тренировок'!$E$6:$E$25,$M1323),"Ниже диапазона",IF(AND($F1323&gt;=INDEX('Программа тренировок'!$F$6:$F$25,$M1323),$G1323&gt;=INDEX('Программа тренировок'!$L$6:$L$25,$M1323)),"Верх диапазона: пора добавлять вес",IF($G1323&lt;INDEX('Программа тренировок'!$L$6:$L$25,$M1323),"RIR ниже цели","В диапазоне")))))</f>
        <v/>
      </c>
      <c r="M1323" s="23" t="str">
        <f aca="false">IF($C1323="","",IFERROR(MATCH($C1323,'Программа тренировок'!$C$6:$C$25,0),""))</f>
        <v/>
      </c>
    </row>
    <row r="1324" customFormat="false" ht="15" hidden="false" customHeight="true" outlineLevel="0" collapsed="false">
      <c r="A1324" s="20"/>
      <c r="B1324" s="21"/>
      <c r="C1324" s="19"/>
      <c r="D1324" s="18"/>
      <c r="E1324" s="17"/>
      <c r="F1324" s="18"/>
      <c r="G1324" s="18"/>
      <c r="H1324" s="21"/>
      <c r="I1324" s="19"/>
      <c r="J1324" s="8" t="str">
        <f aca="false">IF(OR(E1324="",F1324=""),"",E1324*F1324)</f>
        <v/>
      </c>
      <c r="K1324" s="22" t="str">
        <f aca="false">IF($M1324="","",INDEX('Программа тренировок'!$G$6:$G$25,$M1324))</f>
        <v/>
      </c>
      <c r="L1324" s="23" t="str">
        <f aca="false">IF(OR($M1324="",$F1324="",$G1324=""),"",IF($H1324="Разминка","Разминка",IF($F1324&lt;INDEX('Программа тренировок'!$E$6:$E$25,$M1324),"Ниже диапазона",IF(AND($F1324&gt;=INDEX('Программа тренировок'!$F$6:$F$25,$M1324),$G1324&gt;=INDEX('Программа тренировок'!$L$6:$L$25,$M1324)),"Верх диапазона: пора добавлять вес",IF($G1324&lt;INDEX('Программа тренировок'!$L$6:$L$25,$M1324),"RIR ниже цели","В диапазоне")))))</f>
        <v/>
      </c>
      <c r="M1324" s="23" t="str">
        <f aca="false">IF($C1324="","",IFERROR(MATCH($C1324,'Программа тренировок'!$C$6:$C$25,0),""))</f>
        <v/>
      </c>
    </row>
    <row r="1325" customFormat="false" ht="15" hidden="false" customHeight="true" outlineLevel="0" collapsed="false">
      <c r="A1325" s="20"/>
      <c r="B1325" s="21"/>
      <c r="C1325" s="19"/>
      <c r="D1325" s="18"/>
      <c r="E1325" s="17"/>
      <c r="F1325" s="18"/>
      <c r="G1325" s="18"/>
      <c r="H1325" s="21"/>
      <c r="I1325" s="19"/>
      <c r="J1325" s="8" t="str">
        <f aca="false">IF(OR(E1325="",F1325=""),"",E1325*F1325)</f>
        <v/>
      </c>
      <c r="K1325" s="22" t="str">
        <f aca="false">IF($M1325="","",INDEX('Программа тренировок'!$G$6:$G$25,$M1325))</f>
        <v/>
      </c>
      <c r="L1325" s="23" t="str">
        <f aca="false">IF(OR($M1325="",$F1325="",$G1325=""),"",IF($H1325="Разминка","Разминка",IF($F1325&lt;INDEX('Программа тренировок'!$E$6:$E$25,$M1325),"Ниже диапазона",IF(AND($F1325&gt;=INDEX('Программа тренировок'!$F$6:$F$25,$M1325),$G1325&gt;=INDEX('Программа тренировок'!$L$6:$L$25,$M1325)),"Верх диапазона: пора добавлять вес",IF($G1325&lt;INDEX('Программа тренировок'!$L$6:$L$25,$M1325),"RIR ниже цели","В диапазоне")))))</f>
        <v/>
      </c>
      <c r="M1325" s="23" t="str">
        <f aca="false">IF($C1325="","",IFERROR(MATCH($C1325,'Программа тренировок'!$C$6:$C$25,0),""))</f>
        <v/>
      </c>
    </row>
    <row r="1326" customFormat="false" ht="15" hidden="false" customHeight="true" outlineLevel="0" collapsed="false">
      <c r="A1326" s="20"/>
      <c r="B1326" s="21"/>
      <c r="C1326" s="19"/>
      <c r="D1326" s="18"/>
      <c r="E1326" s="17"/>
      <c r="F1326" s="18"/>
      <c r="G1326" s="18"/>
      <c r="H1326" s="21"/>
      <c r="I1326" s="19"/>
      <c r="J1326" s="8" t="str">
        <f aca="false">IF(OR(E1326="",F1326=""),"",E1326*F1326)</f>
        <v/>
      </c>
      <c r="K1326" s="22" t="str">
        <f aca="false">IF($M1326="","",INDEX('Программа тренировок'!$G$6:$G$25,$M1326))</f>
        <v/>
      </c>
      <c r="L1326" s="23" t="str">
        <f aca="false">IF(OR($M1326="",$F1326="",$G1326=""),"",IF($H1326="Разминка","Разминка",IF($F1326&lt;INDEX('Программа тренировок'!$E$6:$E$25,$M1326),"Ниже диапазона",IF(AND($F1326&gt;=INDEX('Программа тренировок'!$F$6:$F$25,$M1326),$G1326&gt;=INDEX('Программа тренировок'!$L$6:$L$25,$M1326)),"Верх диапазона: пора добавлять вес",IF($G1326&lt;INDEX('Программа тренировок'!$L$6:$L$25,$M1326),"RIR ниже цели","В диапазоне")))))</f>
        <v/>
      </c>
      <c r="M1326" s="23" t="str">
        <f aca="false">IF($C1326="","",IFERROR(MATCH($C1326,'Программа тренировок'!$C$6:$C$25,0),""))</f>
        <v/>
      </c>
    </row>
    <row r="1327" customFormat="false" ht="15" hidden="false" customHeight="true" outlineLevel="0" collapsed="false">
      <c r="A1327" s="20"/>
      <c r="B1327" s="21"/>
      <c r="C1327" s="19"/>
      <c r="D1327" s="18"/>
      <c r="E1327" s="17"/>
      <c r="F1327" s="18"/>
      <c r="G1327" s="18"/>
      <c r="H1327" s="21"/>
      <c r="I1327" s="19"/>
      <c r="J1327" s="8" t="str">
        <f aca="false">IF(OR(E1327="",F1327=""),"",E1327*F1327)</f>
        <v/>
      </c>
      <c r="K1327" s="22" t="str">
        <f aca="false">IF($M1327="","",INDEX('Программа тренировок'!$G$6:$G$25,$M1327))</f>
        <v/>
      </c>
      <c r="L1327" s="23" t="str">
        <f aca="false">IF(OR($M1327="",$F1327="",$G1327=""),"",IF($H1327="Разминка","Разминка",IF($F1327&lt;INDEX('Программа тренировок'!$E$6:$E$25,$M1327),"Ниже диапазона",IF(AND($F1327&gt;=INDEX('Программа тренировок'!$F$6:$F$25,$M1327),$G1327&gt;=INDEX('Программа тренировок'!$L$6:$L$25,$M1327)),"Верх диапазона: пора добавлять вес",IF($G1327&lt;INDEX('Программа тренировок'!$L$6:$L$25,$M1327),"RIR ниже цели","В диапазоне")))))</f>
        <v/>
      </c>
      <c r="M1327" s="23" t="str">
        <f aca="false">IF($C1327="","",IFERROR(MATCH($C1327,'Программа тренировок'!$C$6:$C$25,0),""))</f>
        <v/>
      </c>
    </row>
    <row r="1328" customFormat="false" ht="15" hidden="false" customHeight="true" outlineLevel="0" collapsed="false">
      <c r="A1328" s="20"/>
      <c r="B1328" s="21"/>
      <c r="C1328" s="19"/>
      <c r="D1328" s="18"/>
      <c r="E1328" s="17"/>
      <c r="F1328" s="18"/>
      <c r="G1328" s="18"/>
      <c r="H1328" s="21"/>
      <c r="I1328" s="19"/>
      <c r="J1328" s="8" t="str">
        <f aca="false">IF(OR(E1328="",F1328=""),"",E1328*F1328)</f>
        <v/>
      </c>
      <c r="K1328" s="22" t="str">
        <f aca="false">IF($M1328="","",INDEX('Программа тренировок'!$G$6:$G$25,$M1328))</f>
        <v/>
      </c>
      <c r="L1328" s="23" t="str">
        <f aca="false">IF(OR($M1328="",$F1328="",$G1328=""),"",IF($H1328="Разминка","Разминка",IF($F1328&lt;INDEX('Программа тренировок'!$E$6:$E$25,$M1328),"Ниже диапазона",IF(AND($F1328&gt;=INDEX('Программа тренировок'!$F$6:$F$25,$M1328),$G1328&gt;=INDEX('Программа тренировок'!$L$6:$L$25,$M1328)),"Верх диапазона: пора добавлять вес",IF($G1328&lt;INDEX('Программа тренировок'!$L$6:$L$25,$M1328),"RIR ниже цели","В диапазоне")))))</f>
        <v/>
      </c>
      <c r="M1328" s="23" t="str">
        <f aca="false">IF($C1328="","",IFERROR(MATCH($C1328,'Программа тренировок'!$C$6:$C$25,0),""))</f>
        <v/>
      </c>
    </row>
    <row r="1329" customFormat="false" ht="15" hidden="false" customHeight="true" outlineLevel="0" collapsed="false">
      <c r="A1329" s="20"/>
      <c r="B1329" s="21"/>
      <c r="C1329" s="19"/>
      <c r="D1329" s="18"/>
      <c r="E1329" s="17"/>
      <c r="F1329" s="18"/>
      <c r="G1329" s="18"/>
      <c r="H1329" s="21"/>
      <c r="I1329" s="19"/>
      <c r="J1329" s="8" t="str">
        <f aca="false">IF(OR(E1329="",F1329=""),"",E1329*F1329)</f>
        <v/>
      </c>
      <c r="K1329" s="22" t="str">
        <f aca="false">IF($M1329="","",INDEX('Программа тренировок'!$G$6:$G$25,$M1329))</f>
        <v/>
      </c>
      <c r="L1329" s="23" t="str">
        <f aca="false">IF(OR($M1329="",$F1329="",$G1329=""),"",IF($H1329="Разминка","Разминка",IF($F1329&lt;INDEX('Программа тренировок'!$E$6:$E$25,$M1329),"Ниже диапазона",IF(AND($F1329&gt;=INDEX('Программа тренировок'!$F$6:$F$25,$M1329),$G1329&gt;=INDEX('Программа тренировок'!$L$6:$L$25,$M1329)),"Верх диапазона: пора добавлять вес",IF($G1329&lt;INDEX('Программа тренировок'!$L$6:$L$25,$M1329),"RIR ниже цели","В диапазоне")))))</f>
        <v/>
      </c>
      <c r="M1329" s="23" t="str">
        <f aca="false">IF($C1329="","",IFERROR(MATCH($C1329,'Программа тренировок'!$C$6:$C$25,0),""))</f>
        <v/>
      </c>
    </row>
    <row r="1330" customFormat="false" ht="15" hidden="false" customHeight="true" outlineLevel="0" collapsed="false">
      <c r="A1330" s="20"/>
      <c r="B1330" s="21"/>
      <c r="C1330" s="19"/>
      <c r="D1330" s="18"/>
      <c r="E1330" s="17"/>
      <c r="F1330" s="18"/>
      <c r="G1330" s="18"/>
      <c r="H1330" s="21"/>
      <c r="I1330" s="19"/>
      <c r="J1330" s="8" t="str">
        <f aca="false">IF(OR(E1330="",F1330=""),"",E1330*F1330)</f>
        <v/>
      </c>
      <c r="K1330" s="22" t="str">
        <f aca="false">IF($M1330="","",INDEX('Программа тренировок'!$G$6:$G$25,$M1330))</f>
        <v/>
      </c>
      <c r="L1330" s="23" t="str">
        <f aca="false">IF(OR($M1330="",$F1330="",$G1330=""),"",IF($H1330="Разминка","Разминка",IF($F1330&lt;INDEX('Программа тренировок'!$E$6:$E$25,$M1330),"Ниже диапазона",IF(AND($F1330&gt;=INDEX('Программа тренировок'!$F$6:$F$25,$M1330),$G1330&gt;=INDEX('Программа тренировок'!$L$6:$L$25,$M1330)),"Верх диапазона: пора добавлять вес",IF($G1330&lt;INDEX('Программа тренировок'!$L$6:$L$25,$M1330),"RIR ниже цели","В диапазоне")))))</f>
        <v/>
      </c>
      <c r="M1330" s="23" t="str">
        <f aca="false">IF($C1330="","",IFERROR(MATCH($C1330,'Программа тренировок'!$C$6:$C$25,0),""))</f>
        <v/>
      </c>
    </row>
    <row r="1331" customFormat="false" ht="15" hidden="false" customHeight="true" outlineLevel="0" collapsed="false">
      <c r="A1331" s="20"/>
      <c r="B1331" s="21"/>
      <c r="C1331" s="19"/>
      <c r="D1331" s="18"/>
      <c r="E1331" s="17"/>
      <c r="F1331" s="18"/>
      <c r="G1331" s="18"/>
      <c r="H1331" s="21"/>
      <c r="I1331" s="19"/>
      <c r="J1331" s="8" t="str">
        <f aca="false">IF(OR(E1331="",F1331=""),"",E1331*F1331)</f>
        <v/>
      </c>
      <c r="K1331" s="22" t="str">
        <f aca="false">IF($M1331="","",INDEX('Программа тренировок'!$G$6:$G$25,$M1331))</f>
        <v/>
      </c>
      <c r="L1331" s="23" t="str">
        <f aca="false">IF(OR($M1331="",$F1331="",$G1331=""),"",IF($H1331="Разминка","Разминка",IF($F1331&lt;INDEX('Программа тренировок'!$E$6:$E$25,$M1331),"Ниже диапазона",IF(AND($F1331&gt;=INDEX('Программа тренировок'!$F$6:$F$25,$M1331),$G1331&gt;=INDEX('Программа тренировок'!$L$6:$L$25,$M1331)),"Верх диапазона: пора добавлять вес",IF($G1331&lt;INDEX('Программа тренировок'!$L$6:$L$25,$M1331),"RIR ниже цели","В диапазоне")))))</f>
        <v/>
      </c>
      <c r="M1331" s="23" t="str">
        <f aca="false">IF($C1331="","",IFERROR(MATCH($C1331,'Программа тренировок'!$C$6:$C$25,0),""))</f>
        <v/>
      </c>
    </row>
    <row r="1332" customFormat="false" ht="15" hidden="false" customHeight="true" outlineLevel="0" collapsed="false">
      <c r="A1332" s="20"/>
      <c r="B1332" s="21"/>
      <c r="C1332" s="19"/>
      <c r="D1332" s="18"/>
      <c r="E1332" s="17"/>
      <c r="F1332" s="18"/>
      <c r="G1332" s="18"/>
      <c r="H1332" s="21"/>
      <c r="I1332" s="19"/>
      <c r="J1332" s="8" t="str">
        <f aca="false">IF(OR(E1332="",F1332=""),"",E1332*F1332)</f>
        <v/>
      </c>
      <c r="K1332" s="22" t="str">
        <f aca="false">IF($M1332="","",INDEX('Программа тренировок'!$G$6:$G$25,$M1332))</f>
        <v/>
      </c>
      <c r="L1332" s="23" t="str">
        <f aca="false">IF(OR($M1332="",$F1332="",$G1332=""),"",IF($H1332="Разминка","Разминка",IF($F1332&lt;INDEX('Программа тренировок'!$E$6:$E$25,$M1332),"Ниже диапазона",IF(AND($F1332&gt;=INDEX('Программа тренировок'!$F$6:$F$25,$M1332),$G1332&gt;=INDEX('Программа тренировок'!$L$6:$L$25,$M1332)),"Верх диапазона: пора добавлять вес",IF($G1332&lt;INDEX('Программа тренировок'!$L$6:$L$25,$M1332),"RIR ниже цели","В диапазоне")))))</f>
        <v/>
      </c>
      <c r="M1332" s="23" t="str">
        <f aca="false">IF($C1332="","",IFERROR(MATCH($C1332,'Программа тренировок'!$C$6:$C$25,0),""))</f>
        <v/>
      </c>
    </row>
    <row r="1333" customFormat="false" ht="15" hidden="false" customHeight="true" outlineLevel="0" collapsed="false">
      <c r="A1333" s="20"/>
      <c r="B1333" s="21"/>
      <c r="C1333" s="19"/>
      <c r="D1333" s="18"/>
      <c r="E1333" s="17"/>
      <c r="F1333" s="18"/>
      <c r="G1333" s="18"/>
      <c r="H1333" s="21"/>
      <c r="I1333" s="19"/>
      <c r="J1333" s="8" t="str">
        <f aca="false">IF(OR(E1333="",F1333=""),"",E1333*F1333)</f>
        <v/>
      </c>
      <c r="K1333" s="22" t="str">
        <f aca="false">IF($M1333="","",INDEX('Программа тренировок'!$G$6:$G$25,$M1333))</f>
        <v/>
      </c>
      <c r="L1333" s="23" t="str">
        <f aca="false">IF(OR($M1333="",$F1333="",$G1333=""),"",IF($H1333="Разминка","Разминка",IF($F1333&lt;INDEX('Программа тренировок'!$E$6:$E$25,$M1333),"Ниже диапазона",IF(AND($F1333&gt;=INDEX('Программа тренировок'!$F$6:$F$25,$M1333),$G1333&gt;=INDEX('Программа тренировок'!$L$6:$L$25,$M1333)),"Верх диапазона: пора добавлять вес",IF($G1333&lt;INDEX('Программа тренировок'!$L$6:$L$25,$M1333),"RIR ниже цели","В диапазоне")))))</f>
        <v/>
      </c>
      <c r="M1333" s="23" t="str">
        <f aca="false">IF($C1333="","",IFERROR(MATCH($C1333,'Программа тренировок'!$C$6:$C$25,0),""))</f>
        <v/>
      </c>
    </row>
    <row r="1334" customFormat="false" ht="15" hidden="false" customHeight="true" outlineLevel="0" collapsed="false">
      <c r="A1334" s="20"/>
      <c r="B1334" s="21"/>
      <c r="C1334" s="19"/>
      <c r="D1334" s="18"/>
      <c r="E1334" s="17"/>
      <c r="F1334" s="18"/>
      <c r="G1334" s="18"/>
      <c r="H1334" s="21"/>
      <c r="I1334" s="19"/>
      <c r="J1334" s="8" t="str">
        <f aca="false">IF(OR(E1334="",F1334=""),"",E1334*F1334)</f>
        <v/>
      </c>
      <c r="K1334" s="22" t="str">
        <f aca="false">IF($M1334="","",INDEX('Программа тренировок'!$G$6:$G$25,$M1334))</f>
        <v/>
      </c>
      <c r="L1334" s="23" t="str">
        <f aca="false">IF(OR($M1334="",$F1334="",$G1334=""),"",IF($H1334="Разминка","Разминка",IF($F1334&lt;INDEX('Программа тренировок'!$E$6:$E$25,$M1334),"Ниже диапазона",IF(AND($F1334&gt;=INDEX('Программа тренировок'!$F$6:$F$25,$M1334),$G1334&gt;=INDEX('Программа тренировок'!$L$6:$L$25,$M1334)),"Верх диапазона: пора добавлять вес",IF($G1334&lt;INDEX('Программа тренировок'!$L$6:$L$25,$M1334),"RIR ниже цели","В диапазоне")))))</f>
        <v/>
      </c>
      <c r="M1334" s="23" t="str">
        <f aca="false">IF($C1334="","",IFERROR(MATCH($C1334,'Программа тренировок'!$C$6:$C$25,0),""))</f>
        <v/>
      </c>
    </row>
    <row r="1335" customFormat="false" ht="15" hidden="false" customHeight="true" outlineLevel="0" collapsed="false">
      <c r="A1335" s="20"/>
      <c r="B1335" s="21"/>
      <c r="C1335" s="19"/>
      <c r="D1335" s="18"/>
      <c r="E1335" s="17"/>
      <c r="F1335" s="18"/>
      <c r="G1335" s="18"/>
      <c r="H1335" s="21"/>
      <c r="I1335" s="19"/>
      <c r="J1335" s="8" t="str">
        <f aca="false">IF(OR(E1335="",F1335=""),"",E1335*F1335)</f>
        <v/>
      </c>
      <c r="K1335" s="22" t="str">
        <f aca="false">IF($M1335="","",INDEX('Программа тренировок'!$G$6:$G$25,$M1335))</f>
        <v/>
      </c>
      <c r="L1335" s="23" t="str">
        <f aca="false">IF(OR($M1335="",$F1335="",$G1335=""),"",IF($H1335="Разминка","Разминка",IF($F1335&lt;INDEX('Программа тренировок'!$E$6:$E$25,$M1335),"Ниже диапазона",IF(AND($F1335&gt;=INDEX('Программа тренировок'!$F$6:$F$25,$M1335),$G1335&gt;=INDEX('Программа тренировок'!$L$6:$L$25,$M1335)),"Верх диапазона: пора добавлять вес",IF($G1335&lt;INDEX('Программа тренировок'!$L$6:$L$25,$M1335),"RIR ниже цели","В диапазоне")))))</f>
        <v/>
      </c>
      <c r="M1335" s="23" t="str">
        <f aca="false">IF($C1335="","",IFERROR(MATCH($C1335,'Программа тренировок'!$C$6:$C$25,0),""))</f>
        <v/>
      </c>
    </row>
    <row r="1336" customFormat="false" ht="15" hidden="false" customHeight="true" outlineLevel="0" collapsed="false">
      <c r="A1336" s="20"/>
      <c r="B1336" s="21"/>
      <c r="C1336" s="19"/>
      <c r="D1336" s="18"/>
      <c r="E1336" s="17"/>
      <c r="F1336" s="18"/>
      <c r="G1336" s="18"/>
      <c r="H1336" s="21"/>
      <c r="I1336" s="19"/>
      <c r="J1336" s="8" t="str">
        <f aca="false">IF(OR(E1336="",F1336=""),"",E1336*F1336)</f>
        <v/>
      </c>
      <c r="K1336" s="22" t="str">
        <f aca="false">IF($M1336="","",INDEX('Программа тренировок'!$G$6:$G$25,$M1336))</f>
        <v/>
      </c>
      <c r="L1336" s="23" t="str">
        <f aca="false">IF(OR($M1336="",$F1336="",$G1336=""),"",IF($H1336="Разминка","Разминка",IF($F1336&lt;INDEX('Программа тренировок'!$E$6:$E$25,$M1336),"Ниже диапазона",IF(AND($F1336&gt;=INDEX('Программа тренировок'!$F$6:$F$25,$M1336),$G1336&gt;=INDEX('Программа тренировок'!$L$6:$L$25,$M1336)),"Верх диапазона: пора добавлять вес",IF($G1336&lt;INDEX('Программа тренировок'!$L$6:$L$25,$M1336),"RIR ниже цели","В диапазоне")))))</f>
        <v/>
      </c>
      <c r="M1336" s="23" t="str">
        <f aca="false">IF($C1336="","",IFERROR(MATCH($C1336,'Программа тренировок'!$C$6:$C$25,0),""))</f>
        <v/>
      </c>
    </row>
    <row r="1337" customFormat="false" ht="15" hidden="false" customHeight="true" outlineLevel="0" collapsed="false">
      <c r="A1337" s="20"/>
      <c r="B1337" s="21"/>
      <c r="C1337" s="19"/>
      <c r="D1337" s="18"/>
      <c r="E1337" s="17"/>
      <c r="F1337" s="18"/>
      <c r="G1337" s="18"/>
      <c r="H1337" s="21"/>
      <c r="I1337" s="19"/>
      <c r="J1337" s="8" t="str">
        <f aca="false">IF(OR(E1337="",F1337=""),"",E1337*F1337)</f>
        <v/>
      </c>
      <c r="K1337" s="22" t="str">
        <f aca="false">IF($M1337="","",INDEX('Программа тренировок'!$G$6:$G$25,$M1337))</f>
        <v/>
      </c>
      <c r="L1337" s="23" t="str">
        <f aca="false">IF(OR($M1337="",$F1337="",$G1337=""),"",IF($H1337="Разминка","Разминка",IF($F1337&lt;INDEX('Программа тренировок'!$E$6:$E$25,$M1337),"Ниже диапазона",IF(AND($F1337&gt;=INDEX('Программа тренировок'!$F$6:$F$25,$M1337),$G1337&gt;=INDEX('Программа тренировок'!$L$6:$L$25,$M1337)),"Верх диапазона: пора добавлять вес",IF($G1337&lt;INDEX('Программа тренировок'!$L$6:$L$25,$M1337),"RIR ниже цели","В диапазоне")))))</f>
        <v/>
      </c>
      <c r="M1337" s="23" t="str">
        <f aca="false">IF($C1337="","",IFERROR(MATCH($C1337,'Программа тренировок'!$C$6:$C$25,0),""))</f>
        <v/>
      </c>
    </row>
    <row r="1338" customFormat="false" ht="15" hidden="false" customHeight="true" outlineLevel="0" collapsed="false">
      <c r="A1338" s="20"/>
      <c r="B1338" s="21"/>
      <c r="C1338" s="19"/>
      <c r="D1338" s="18"/>
      <c r="E1338" s="17"/>
      <c r="F1338" s="18"/>
      <c r="G1338" s="18"/>
      <c r="H1338" s="21"/>
      <c r="I1338" s="19"/>
      <c r="J1338" s="8" t="str">
        <f aca="false">IF(OR(E1338="",F1338=""),"",E1338*F1338)</f>
        <v/>
      </c>
      <c r="K1338" s="22" t="str">
        <f aca="false">IF($M1338="","",INDEX('Программа тренировок'!$G$6:$G$25,$M1338))</f>
        <v/>
      </c>
      <c r="L1338" s="23" t="str">
        <f aca="false">IF(OR($M1338="",$F1338="",$G1338=""),"",IF($H1338="Разминка","Разминка",IF($F1338&lt;INDEX('Программа тренировок'!$E$6:$E$25,$M1338),"Ниже диапазона",IF(AND($F1338&gt;=INDEX('Программа тренировок'!$F$6:$F$25,$M1338),$G1338&gt;=INDEX('Программа тренировок'!$L$6:$L$25,$M1338)),"Верх диапазона: пора добавлять вес",IF($G1338&lt;INDEX('Программа тренировок'!$L$6:$L$25,$M1338),"RIR ниже цели","В диапазоне")))))</f>
        <v/>
      </c>
      <c r="M1338" s="23" t="str">
        <f aca="false">IF($C1338="","",IFERROR(MATCH($C1338,'Программа тренировок'!$C$6:$C$25,0),""))</f>
        <v/>
      </c>
    </row>
    <row r="1339" customFormat="false" ht="15" hidden="false" customHeight="true" outlineLevel="0" collapsed="false">
      <c r="A1339" s="20"/>
      <c r="B1339" s="21"/>
      <c r="C1339" s="19"/>
      <c r="D1339" s="18"/>
      <c r="E1339" s="17"/>
      <c r="F1339" s="18"/>
      <c r="G1339" s="18"/>
      <c r="H1339" s="21"/>
      <c r="I1339" s="19"/>
      <c r="J1339" s="8" t="str">
        <f aca="false">IF(OR(E1339="",F1339=""),"",E1339*F1339)</f>
        <v/>
      </c>
      <c r="K1339" s="22" t="str">
        <f aca="false">IF($M1339="","",INDEX('Программа тренировок'!$G$6:$G$25,$M1339))</f>
        <v/>
      </c>
      <c r="L1339" s="23" t="str">
        <f aca="false">IF(OR($M1339="",$F1339="",$G1339=""),"",IF($H1339="Разминка","Разминка",IF($F1339&lt;INDEX('Программа тренировок'!$E$6:$E$25,$M1339),"Ниже диапазона",IF(AND($F1339&gt;=INDEX('Программа тренировок'!$F$6:$F$25,$M1339),$G1339&gt;=INDEX('Программа тренировок'!$L$6:$L$25,$M1339)),"Верх диапазона: пора добавлять вес",IF($G1339&lt;INDEX('Программа тренировок'!$L$6:$L$25,$M1339),"RIR ниже цели","В диапазоне")))))</f>
        <v/>
      </c>
      <c r="M1339" s="23" t="str">
        <f aca="false">IF($C1339="","",IFERROR(MATCH($C1339,'Программа тренировок'!$C$6:$C$25,0),""))</f>
        <v/>
      </c>
    </row>
    <row r="1340" customFormat="false" ht="15" hidden="false" customHeight="true" outlineLevel="0" collapsed="false">
      <c r="A1340" s="20"/>
      <c r="B1340" s="21"/>
      <c r="C1340" s="19"/>
      <c r="D1340" s="18"/>
      <c r="E1340" s="17"/>
      <c r="F1340" s="18"/>
      <c r="G1340" s="18"/>
      <c r="H1340" s="21"/>
      <c r="I1340" s="19"/>
      <c r="J1340" s="8" t="str">
        <f aca="false">IF(OR(E1340="",F1340=""),"",E1340*F1340)</f>
        <v/>
      </c>
      <c r="K1340" s="22" t="str">
        <f aca="false">IF($M1340="","",INDEX('Программа тренировок'!$G$6:$G$25,$M1340))</f>
        <v/>
      </c>
      <c r="L1340" s="23" t="str">
        <f aca="false">IF(OR($M1340="",$F1340="",$G1340=""),"",IF($H1340="Разминка","Разминка",IF($F1340&lt;INDEX('Программа тренировок'!$E$6:$E$25,$M1340),"Ниже диапазона",IF(AND($F1340&gt;=INDEX('Программа тренировок'!$F$6:$F$25,$M1340),$G1340&gt;=INDEX('Программа тренировок'!$L$6:$L$25,$M1340)),"Верх диапазона: пора добавлять вес",IF($G1340&lt;INDEX('Программа тренировок'!$L$6:$L$25,$M1340),"RIR ниже цели","В диапазоне")))))</f>
        <v/>
      </c>
      <c r="M1340" s="23" t="str">
        <f aca="false">IF($C1340="","",IFERROR(MATCH($C1340,'Программа тренировок'!$C$6:$C$25,0),""))</f>
        <v/>
      </c>
    </row>
    <row r="1341" customFormat="false" ht="15" hidden="false" customHeight="true" outlineLevel="0" collapsed="false">
      <c r="A1341" s="20"/>
      <c r="B1341" s="21"/>
      <c r="C1341" s="19"/>
      <c r="D1341" s="18"/>
      <c r="E1341" s="17"/>
      <c r="F1341" s="18"/>
      <c r="G1341" s="18"/>
      <c r="H1341" s="21"/>
      <c r="I1341" s="19"/>
      <c r="J1341" s="8" t="str">
        <f aca="false">IF(OR(E1341="",F1341=""),"",E1341*F1341)</f>
        <v/>
      </c>
      <c r="K1341" s="22" t="str">
        <f aca="false">IF($M1341="","",INDEX('Программа тренировок'!$G$6:$G$25,$M1341))</f>
        <v/>
      </c>
      <c r="L1341" s="23" t="str">
        <f aca="false">IF(OR($M1341="",$F1341="",$G1341=""),"",IF($H1341="Разминка","Разминка",IF($F1341&lt;INDEX('Программа тренировок'!$E$6:$E$25,$M1341),"Ниже диапазона",IF(AND($F1341&gt;=INDEX('Программа тренировок'!$F$6:$F$25,$M1341),$G1341&gt;=INDEX('Программа тренировок'!$L$6:$L$25,$M1341)),"Верх диапазона: пора добавлять вес",IF($G1341&lt;INDEX('Программа тренировок'!$L$6:$L$25,$M1341),"RIR ниже цели","В диапазоне")))))</f>
        <v/>
      </c>
      <c r="M1341" s="23" t="str">
        <f aca="false">IF($C1341="","",IFERROR(MATCH($C1341,'Программа тренировок'!$C$6:$C$25,0),""))</f>
        <v/>
      </c>
    </row>
    <row r="1342" customFormat="false" ht="15" hidden="false" customHeight="true" outlineLevel="0" collapsed="false">
      <c r="A1342" s="20"/>
      <c r="B1342" s="21"/>
      <c r="C1342" s="19"/>
      <c r="D1342" s="18"/>
      <c r="E1342" s="17"/>
      <c r="F1342" s="18"/>
      <c r="G1342" s="18"/>
      <c r="H1342" s="21"/>
      <c r="I1342" s="19"/>
      <c r="J1342" s="8" t="str">
        <f aca="false">IF(OR(E1342="",F1342=""),"",E1342*F1342)</f>
        <v/>
      </c>
      <c r="K1342" s="22" t="str">
        <f aca="false">IF($M1342="","",INDEX('Программа тренировок'!$G$6:$G$25,$M1342))</f>
        <v/>
      </c>
      <c r="L1342" s="23" t="str">
        <f aca="false">IF(OR($M1342="",$F1342="",$G1342=""),"",IF($H1342="Разминка","Разминка",IF($F1342&lt;INDEX('Программа тренировок'!$E$6:$E$25,$M1342),"Ниже диапазона",IF(AND($F1342&gt;=INDEX('Программа тренировок'!$F$6:$F$25,$M1342),$G1342&gt;=INDEX('Программа тренировок'!$L$6:$L$25,$M1342)),"Верх диапазона: пора добавлять вес",IF($G1342&lt;INDEX('Программа тренировок'!$L$6:$L$25,$M1342),"RIR ниже цели","В диапазоне")))))</f>
        <v/>
      </c>
      <c r="M1342" s="23" t="str">
        <f aca="false">IF($C1342="","",IFERROR(MATCH($C1342,'Программа тренировок'!$C$6:$C$25,0),""))</f>
        <v/>
      </c>
    </row>
    <row r="1343" customFormat="false" ht="15" hidden="false" customHeight="true" outlineLevel="0" collapsed="false">
      <c r="A1343" s="20"/>
      <c r="B1343" s="21"/>
      <c r="C1343" s="19"/>
      <c r="D1343" s="18"/>
      <c r="E1343" s="17"/>
      <c r="F1343" s="18"/>
      <c r="G1343" s="18"/>
      <c r="H1343" s="21"/>
      <c r="I1343" s="19"/>
      <c r="J1343" s="8" t="str">
        <f aca="false">IF(OR(E1343="",F1343=""),"",E1343*F1343)</f>
        <v/>
      </c>
      <c r="K1343" s="22" t="str">
        <f aca="false">IF($M1343="","",INDEX('Программа тренировок'!$G$6:$G$25,$M1343))</f>
        <v/>
      </c>
      <c r="L1343" s="23" t="str">
        <f aca="false">IF(OR($M1343="",$F1343="",$G1343=""),"",IF($H1343="Разминка","Разминка",IF($F1343&lt;INDEX('Программа тренировок'!$E$6:$E$25,$M1343),"Ниже диапазона",IF(AND($F1343&gt;=INDEX('Программа тренировок'!$F$6:$F$25,$M1343),$G1343&gt;=INDEX('Программа тренировок'!$L$6:$L$25,$M1343)),"Верх диапазона: пора добавлять вес",IF($G1343&lt;INDEX('Программа тренировок'!$L$6:$L$25,$M1343),"RIR ниже цели","В диапазоне")))))</f>
        <v/>
      </c>
      <c r="M1343" s="23" t="str">
        <f aca="false">IF($C1343="","",IFERROR(MATCH($C1343,'Программа тренировок'!$C$6:$C$25,0),""))</f>
        <v/>
      </c>
    </row>
    <row r="1344" customFormat="false" ht="15" hidden="false" customHeight="true" outlineLevel="0" collapsed="false">
      <c r="A1344" s="20"/>
      <c r="B1344" s="21"/>
      <c r="C1344" s="19"/>
      <c r="D1344" s="18"/>
      <c r="E1344" s="17"/>
      <c r="F1344" s="18"/>
      <c r="G1344" s="18"/>
      <c r="H1344" s="21"/>
      <c r="I1344" s="19"/>
      <c r="J1344" s="8" t="str">
        <f aca="false">IF(OR(E1344="",F1344=""),"",E1344*F1344)</f>
        <v/>
      </c>
      <c r="K1344" s="22" t="str">
        <f aca="false">IF($M1344="","",INDEX('Программа тренировок'!$G$6:$G$25,$M1344))</f>
        <v/>
      </c>
      <c r="L1344" s="23" t="str">
        <f aca="false">IF(OR($M1344="",$F1344="",$G1344=""),"",IF($H1344="Разминка","Разминка",IF($F1344&lt;INDEX('Программа тренировок'!$E$6:$E$25,$M1344),"Ниже диапазона",IF(AND($F1344&gt;=INDEX('Программа тренировок'!$F$6:$F$25,$M1344),$G1344&gt;=INDEX('Программа тренировок'!$L$6:$L$25,$M1344)),"Верх диапазона: пора добавлять вес",IF($G1344&lt;INDEX('Программа тренировок'!$L$6:$L$25,$M1344),"RIR ниже цели","В диапазоне")))))</f>
        <v/>
      </c>
      <c r="M1344" s="23" t="str">
        <f aca="false">IF($C1344="","",IFERROR(MATCH($C1344,'Программа тренировок'!$C$6:$C$25,0),""))</f>
        <v/>
      </c>
    </row>
    <row r="1345" customFormat="false" ht="15" hidden="false" customHeight="true" outlineLevel="0" collapsed="false">
      <c r="A1345" s="20"/>
      <c r="B1345" s="21"/>
      <c r="C1345" s="19"/>
      <c r="D1345" s="18"/>
      <c r="E1345" s="17"/>
      <c r="F1345" s="18"/>
      <c r="G1345" s="18"/>
      <c r="H1345" s="21"/>
      <c r="I1345" s="19"/>
      <c r="J1345" s="8" t="str">
        <f aca="false">IF(OR(E1345="",F1345=""),"",E1345*F1345)</f>
        <v/>
      </c>
      <c r="K1345" s="22" t="str">
        <f aca="false">IF($M1345="","",INDEX('Программа тренировок'!$G$6:$G$25,$M1345))</f>
        <v/>
      </c>
      <c r="L1345" s="23" t="str">
        <f aca="false">IF(OR($M1345="",$F1345="",$G1345=""),"",IF($H1345="Разминка","Разминка",IF($F1345&lt;INDEX('Программа тренировок'!$E$6:$E$25,$M1345),"Ниже диапазона",IF(AND($F1345&gt;=INDEX('Программа тренировок'!$F$6:$F$25,$M1345),$G1345&gt;=INDEX('Программа тренировок'!$L$6:$L$25,$M1345)),"Верх диапазона: пора добавлять вес",IF($G1345&lt;INDEX('Программа тренировок'!$L$6:$L$25,$M1345),"RIR ниже цели","В диапазоне")))))</f>
        <v/>
      </c>
      <c r="M1345" s="23" t="str">
        <f aca="false">IF($C1345="","",IFERROR(MATCH($C1345,'Программа тренировок'!$C$6:$C$25,0),""))</f>
        <v/>
      </c>
    </row>
    <row r="1346" customFormat="false" ht="15" hidden="false" customHeight="true" outlineLevel="0" collapsed="false">
      <c r="A1346" s="20"/>
      <c r="B1346" s="21"/>
      <c r="C1346" s="19"/>
      <c r="D1346" s="18"/>
      <c r="E1346" s="17"/>
      <c r="F1346" s="18"/>
      <c r="G1346" s="18"/>
      <c r="H1346" s="21"/>
      <c r="I1346" s="19"/>
      <c r="J1346" s="8" t="str">
        <f aca="false">IF(OR(E1346="",F1346=""),"",E1346*F1346)</f>
        <v/>
      </c>
      <c r="K1346" s="22" t="str">
        <f aca="false">IF($M1346="","",INDEX('Программа тренировок'!$G$6:$G$25,$M1346))</f>
        <v/>
      </c>
      <c r="L1346" s="23" t="str">
        <f aca="false">IF(OR($M1346="",$F1346="",$G1346=""),"",IF($H1346="Разминка","Разминка",IF($F1346&lt;INDEX('Программа тренировок'!$E$6:$E$25,$M1346),"Ниже диапазона",IF(AND($F1346&gt;=INDEX('Программа тренировок'!$F$6:$F$25,$M1346),$G1346&gt;=INDEX('Программа тренировок'!$L$6:$L$25,$M1346)),"Верх диапазона: пора добавлять вес",IF($G1346&lt;INDEX('Программа тренировок'!$L$6:$L$25,$M1346),"RIR ниже цели","В диапазоне")))))</f>
        <v/>
      </c>
      <c r="M1346" s="23" t="str">
        <f aca="false">IF($C1346="","",IFERROR(MATCH($C1346,'Программа тренировок'!$C$6:$C$25,0),""))</f>
        <v/>
      </c>
    </row>
    <row r="1347" customFormat="false" ht="15" hidden="false" customHeight="true" outlineLevel="0" collapsed="false">
      <c r="A1347" s="20"/>
      <c r="B1347" s="21"/>
      <c r="C1347" s="19"/>
      <c r="D1347" s="18"/>
      <c r="E1347" s="17"/>
      <c r="F1347" s="18"/>
      <c r="G1347" s="18"/>
      <c r="H1347" s="21"/>
      <c r="I1347" s="19"/>
      <c r="J1347" s="8" t="str">
        <f aca="false">IF(OR(E1347="",F1347=""),"",E1347*F1347)</f>
        <v/>
      </c>
      <c r="K1347" s="22" t="str">
        <f aca="false">IF($M1347="","",INDEX('Программа тренировок'!$G$6:$G$25,$M1347))</f>
        <v/>
      </c>
      <c r="L1347" s="23" t="str">
        <f aca="false">IF(OR($M1347="",$F1347="",$G1347=""),"",IF($H1347="Разминка","Разминка",IF($F1347&lt;INDEX('Программа тренировок'!$E$6:$E$25,$M1347),"Ниже диапазона",IF(AND($F1347&gt;=INDEX('Программа тренировок'!$F$6:$F$25,$M1347),$G1347&gt;=INDEX('Программа тренировок'!$L$6:$L$25,$M1347)),"Верх диапазона: пора добавлять вес",IF($G1347&lt;INDEX('Программа тренировок'!$L$6:$L$25,$M1347),"RIR ниже цели","В диапазоне")))))</f>
        <v/>
      </c>
      <c r="M1347" s="23" t="str">
        <f aca="false">IF($C1347="","",IFERROR(MATCH($C1347,'Программа тренировок'!$C$6:$C$25,0),""))</f>
        <v/>
      </c>
    </row>
    <row r="1348" customFormat="false" ht="15" hidden="false" customHeight="true" outlineLevel="0" collapsed="false">
      <c r="A1348" s="20"/>
      <c r="B1348" s="21"/>
      <c r="C1348" s="19"/>
      <c r="D1348" s="18"/>
      <c r="E1348" s="17"/>
      <c r="F1348" s="18"/>
      <c r="G1348" s="18"/>
      <c r="H1348" s="21"/>
      <c r="I1348" s="19"/>
      <c r="J1348" s="8" t="str">
        <f aca="false">IF(OR(E1348="",F1348=""),"",E1348*F1348)</f>
        <v/>
      </c>
      <c r="K1348" s="22" t="str">
        <f aca="false">IF($M1348="","",INDEX('Программа тренировок'!$G$6:$G$25,$M1348))</f>
        <v/>
      </c>
      <c r="L1348" s="23" t="str">
        <f aca="false">IF(OR($M1348="",$F1348="",$G1348=""),"",IF($H1348="Разминка","Разминка",IF($F1348&lt;INDEX('Программа тренировок'!$E$6:$E$25,$M1348),"Ниже диапазона",IF(AND($F1348&gt;=INDEX('Программа тренировок'!$F$6:$F$25,$M1348),$G1348&gt;=INDEX('Программа тренировок'!$L$6:$L$25,$M1348)),"Верх диапазона: пора добавлять вес",IF($G1348&lt;INDEX('Программа тренировок'!$L$6:$L$25,$M1348),"RIR ниже цели","В диапазоне")))))</f>
        <v/>
      </c>
      <c r="M1348" s="23" t="str">
        <f aca="false">IF($C1348="","",IFERROR(MATCH($C1348,'Программа тренировок'!$C$6:$C$25,0),""))</f>
        <v/>
      </c>
    </row>
    <row r="1349" customFormat="false" ht="15" hidden="false" customHeight="true" outlineLevel="0" collapsed="false">
      <c r="A1349" s="20"/>
      <c r="B1349" s="21"/>
      <c r="C1349" s="19"/>
      <c r="D1349" s="18"/>
      <c r="E1349" s="17"/>
      <c r="F1349" s="18"/>
      <c r="G1349" s="18"/>
      <c r="H1349" s="21"/>
      <c r="I1349" s="19"/>
      <c r="J1349" s="8" t="str">
        <f aca="false">IF(OR(E1349="",F1349=""),"",E1349*F1349)</f>
        <v/>
      </c>
      <c r="K1349" s="22" t="str">
        <f aca="false">IF($M1349="","",INDEX('Программа тренировок'!$G$6:$G$25,$M1349))</f>
        <v/>
      </c>
      <c r="L1349" s="23" t="str">
        <f aca="false">IF(OR($M1349="",$F1349="",$G1349=""),"",IF($H1349="Разминка","Разминка",IF($F1349&lt;INDEX('Программа тренировок'!$E$6:$E$25,$M1349),"Ниже диапазона",IF(AND($F1349&gt;=INDEX('Программа тренировок'!$F$6:$F$25,$M1349),$G1349&gt;=INDEX('Программа тренировок'!$L$6:$L$25,$M1349)),"Верх диапазона: пора добавлять вес",IF($G1349&lt;INDEX('Программа тренировок'!$L$6:$L$25,$M1349),"RIR ниже цели","В диапазоне")))))</f>
        <v/>
      </c>
      <c r="M1349" s="23" t="str">
        <f aca="false">IF($C1349="","",IFERROR(MATCH($C1349,'Программа тренировок'!$C$6:$C$25,0),""))</f>
        <v/>
      </c>
    </row>
    <row r="1350" customFormat="false" ht="15" hidden="false" customHeight="true" outlineLevel="0" collapsed="false">
      <c r="A1350" s="20"/>
      <c r="B1350" s="21"/>
      <c r="C1350" s="19"/>
      <c r="D1350" s="18"/>
      <c r="E1350" s="17"/>
      <c r="F1350" s="18"/>
      <c r="G1350" s="18"/>
      <c r="H1350" s="21"/>
      <c r="I1350" s="19"/>
      <c r="J1350" s="8" t="str">
        <f aca="false">IF(OR(E1350="",F1350=""),"",E1350*F1350)</f>
        <v/>
      </c>
      <c r="K1350" s="22" t="str">
        <f aca="false">IF($M1350="","",INDEX('Программа тренировок'!$G$6:$G$25,$M1350))</f>
        <v/>
      </c>
      <c r="L1350" s="23" t="str">
        <f aca="false">IF(OR($M1350="",$F1350="",$G1350=""),"",IF($H1350="Разминка","Разминка",IF($F1350&lt;INDEX('Программа тренировок'!$E$6:$E$25,$M1350),"Ниже диапазона",IF(AND($F1350&gt;=INDEX('Программа тренировок'!$F$6:$F$25,$M1350),$G1350&gt;=INDEX('Программа тренировок'!$L$6:$L$25,$M1350)),"Верх диапазона: пора добавлять вес",IF($G1350&lt;INDEX('Программа тренировок'!$L$6:$L$25,$M1350),"RIR ниже цели","В диапазоне")))))</f>
        <v/>
      </c>
      <c r="M1350" s="23" t="str">
        <f aca="false">IF($C1350="","",IFERROR(MATCH($C1350,'Программа тренировок'!$C$6:$C$25,0),""))</f>
        <v/>
      </c>
    </row>
    <row r="1351" customFormat="false" ht="15" hidden="false" customHeight="true" outlineLevel="0" collapsed="false">
      <c r="A1351" s="20"/>
      <c r="B1351" s="21"/>
      <c r="C1351" s="19"/>
      <c r="D1351" s="18"/>
      <c r="E1351" s="17"/>
      <c r="F1351" s="18"/>
      <c r="G1351" s="18"/>
      <c r="H1351" s="21"/>
      <c r="I1351" s="19"/>
      <c r="J1351" s="8" t="str">
        <f aca="false">IF(OR(E1351="",F1351=""),"",E1351*F1351)</f>
        <v/>
      </c>
      <c r="K1351" s="22" t="str">
        <f aca="false">IF($M1351="","",INDEX('Программа тренировок'!$G$6:$G$25,$M1351))</f>
        <v/>
      </c>
      <c r="L1351" s="23" t="str">
        <f aca="false">IF(OR($M1351="",$F1351="",$G1351=""),"",IF($H1351="Разминка","Разминка",IF($F1351&lt;INDEX('Программа тренировок'!$E$6:$E$25,$M1351),"Ниже диапазона",IF(AND($F1351&gt;=INDEX('Программа тренировок'!$F$6:$F$25,$M1351),$G1351&gt;=INDEX('Программа тренировок'!$L$6:$L$25,$M1351)),"Верх диапазона: пора добавлять вес",IF($G1351&lt;INDEX('Программа тренировок'!$L$6:$L$25,$M1351),"RIR ниже цели","В диапазоне")))))</f>
        <v/>
      </c>
      <c r="M1351" s="23" t="str">
        <f aca="false">IF($C1351="","",IFERROR(MATCH($C1351,'Программа тренировок'!$C$6:$C$25,0),""))</f>
        <v/>
      </c>
    </row>
    <row r="1352" customFormat="false" ht="15" hidden="false" customHeight="true" outlineLevel="0" collapsed="false">
      <c r="A1352" s="20"/>
      <c r="B1352" s="21"/>
      <c r="C1352" s="19"/>
      <c r="D1352" s="18"/>
      <c r="E1352" s="17"/>
      <c r="F1352" s="18"/>
      <c r="G1352" s="18"/>
      <c r="H1352" s="21"/>
      <c r="I1352" s="19"/>
      <c r="J1352" s="8" t="str">
        <f aca="false">IF(OR(E1352="",F1352=""),"",E1352*F1352)</f>
        <v/>
      </c>
      <c r="K1352" s="22" t="str">
        <f aca="false">IF($M1352="","",INDEX('Программа тренировок'!$G$6:$G$25,$M1352))</f>
        <v/>
      </c>
      <c r="L1352" s="23" t="str">
        <f aca="false">IF(OR($M1352="",$F1352="",$G1352=""),"",IF($H1352="Разминка","Разминка",IF($F1352&lt;INDEX('Программа тренировок'!$E$6:$E$25,$M1352),"Ниже диапазона",IF(AND($F1352&gt;=INDEX('Программа тренировок'!$F$6:$F$25,$M1352),$G1352&gt;=INDEX('Программа тренировок'!$L$6:$L$25,$M1352)),"Верх диапазона: пора добавлять вес",IF($G1352&lt;INDEX('Программа тренировок'!$L$6:$L$25,$M1352),"RIR ниже цели","В диапазоне")))))</f>
        <v/>
      </c>
      <c r="M1352" s="23" t="str">
        <f aca="false">IF($C1352="","",IFERROR(MATCH($C1352,'Программа тренировок'!$C$6:$C$25,0),""))</f>
        <v/>
      </c>
    </row>
    <row r="1353" customFormat="false" ht="15" hidden="false" customHeight="true" outlineLevel="0" collapsed="false">
      <c r="A1353" s="20"/>
      <c r="B1353" s="21"/>
      <c r="C1353" s="19"/>
      <c r="D1353" s="18"/>
      <c r="E1353" s="17"/>
      <c r="F1353" s="18"/>
      <c r="G1353" s="18"/>
      <c r="H1353" s="21"/>
      <c r="I1353" s="19"/>
      <c r="J1353" s="8" t="str">
        <f aca="false">IF(OR(E1353="",F1353=""),"",E1353*F1353)</f>
        <v/>
      </c>
      <c r="K1353" s="22" t="str">
        <f aca="false">IF($M1353="","",INDEX('Программа тренировок'!$G$6:$G$25,$M1353))</f>
        <v/>
      </c>
      <c r="L1353" s="23" t="str">
        <f aca="false">IF(OR($M1353="",$F1353="",$G1353=""),"",IF($H1353="Разминка","Разминка",IF($F1353&lt;INDEX('Программа тренировок'!$E$6:$E$25,$M1353),"Ниже диапазона",IF(AND($F1353&gt;=INDEX('Программа тренировок'!$F$6:$F$25,$M1353),$G1353&gt;=INDEX('Программа тренировок'!$L$6:$L$25,$M1353)),"Верх диапазона: пора добавлять вес",IF($G1353&lt;INDEX('Программа тренировок'!$L$6:$L$25,$M1353),"RIR ниже цели","В диапазоне")))))</f>
        <v/>
      </c>
      <c r="M1353" s="23" t="str">
        <f aca="false">IF($C1353="","",IFERROR(MATCH($C1353,'Программа тренировок'!$C$6:$C$25,0),""))</f>
        <v/>
      </c>
    </row>
    <row r="1354" customFormat="false" ht="15" hidden="false" customHeight="true" outlineLevel="0" collapsed="false">
      <c r="A1354" s="20"/>
      <c r="B1354" s="21"/>
      <c r="C1354" s="19"/>
      <c r="D1354" s="18"/>
      <c r="E1354" s="17"/>
      <c r="F1354" s="18"/>
      <c r="G1354" s="18"/>
      <c r="H1354" s="21"/>
      <c r="I1354" s="19"/>
      <c r="J1354" s="8" t="str">
        <f aca="false">IF(OR(E1354="",F1354=""),"",E1354*F1354)</f>
        <v/>
      </c>
      <c r="K1354" s="22" t="str">
        <f aca="false">IF($M1354="","",INDEX('Программа тренировок'!$G$6:$G$25,$M1354))</f>
        <v/>
      </c>
      <c r="L1354" s="23" t="str">
        <f aca="false">IF(OR($M1354="",$F1354="",$G1354=""),"",IF($H1354="Разминка","Разминка",IF($F1354&lt;INDEX('Программа тренировок'!$E$6:$E$25,$M1354),"Ниже диапазона",IF(AND($F1354&gt;=INDEX('Программа тренировок'!$F$6:$F$25,$M1354),$G1354&gt;=INDEX('Программа тренировок'!$L$6:$L$25,$M1354)),"Верх диапазона: пора добавлять вес",IF($G1354&lt;INDEX('Программа тренировок'!$L$6:$L$25,$M1354),"RIR ниже цели","В диапазоне")))))</f>
        <v/>
      </c>
      <c r="M1354" s="23" t="str">
        <f aca="false">IF($C1354="","",IFERROR(MATCH($C1354,'Программа тренировок'!$C$6:$C$25,0),""))</f>
        <v/>
      </c>
    </row>
    <row r="1355" customFormat="false" ht="15" hidden="false" customHeight="true" outlineLevel="0" collapsed="false">
      <c r="A1355" s="20"/>
      <c r="B1355" s="21"/>
      <c r="C1355" s="19"/>
      <c r="D1355" s="18"/>
      <c r="E1355" s="17"/>
      <c r="F1355" s="18"/>
      <c r="G1355" s="18"/>
      <c r="H1355" s="21"/>
      <c r="I1355" s="19"/>
      <c r="J1355" s="8" t="str">
        <f aca="false">IF(OR(E1355="",F1355=""),"",E1355*F1355)</f>
        <v/>
      </c>
      <c r="K1355" s="22" t="str">
        <f aca="false">IF($M1355="","",INDEX('Программа тренировок'!$G$6:$G$25,$M1355))</f>
        <v/>
      </c>
      <c r="L1355" s="23" t="str">
        <f aca="false">IF(OR($M1355="",$F1355="",$G1355=""),"",IF($H1355="Разминка","Разминка",IF($F1355&lt;INDEX('Программа тренировок'!$E$6:$E$25,$M1355),"Ниже диапазона",IF(AND($F1355&gt;=INDEX('Программа тренировок'!$F$6:$F$25,$M1355),$G1355&gt;=INDEX('Программа тренировок'!$L$6:$L$25,$M1355)),"Верх диапазона: пора добавлять вес",IF($G1355&lt;INDEX('Программа тренировок'!$L$6:$L$25,$M1355),"RIR ниже цели","В диапазоне")))))</f>
        <v/>
      </c>
      <c r="M1355" s="23" t="str">
        <f aca="false">IF($C1355="","",IFERROR(MATCH($C1355,'Программа тренировок'!$C$6:$C$25,0),""))</f>
        <v/>
      </c>
    </row>
    <row r="1356" customFormat="false" ht="15" hidden="false" customHeight="true" outlineLevel="0" collapsed="false">
      <c r="A1356" s="20"/>
      <c r="B1356" s="21"/>
      <c r="C1356" s="19"/>
      <c r="D1356" s="18"/>
      <c r="E1356" s="17"/>
      <c r="F1356" s="18"/>
      <c r="G1356" s="18"/>
      <c r="H1356" s="21"/>
      <c r="I1356" s="19"/>
      <c r="J1356" s="8" t="str">
        <f aca="false">IF(OR(E1356="",F1356=""),"",E1356*F1356)</f>
        <v/>
      </c>
      <c r="K1356" s="22" t="str">
        <f aca="false">IF($M1356="","",INDEX('Программа тренировок'!$G$6:$G$25,$M1356))</f>
        <v/>
      </c>
      <c r="L1356" s="23" t="str">
        <f aca="false">IF(OR($M1356="",$F1356="",$G1356=""),"",IF($H1356="Разминка","Разминка",IF($F1356&lt;INDEX('Программа тренировок'!$E$6:$E$25,$M1356),"Ниже диапазона",IF(AND($F1356&gt;=INDEX('Программа тренировок'!$F$6:$F$25,$M1356),$G1356&gt;=INDEX('Программа тренировок'!$L$6:$L$25,$M1356)),"Верх диапазона: пора добавлять вес",IF($G1356&lt;INDEX('Программа тренировок'!$L$6:$L$25,$M1356),"RIR ниже цели","В диапазоне")))))</f>
        <v/>
      </c>
      <c r="M1356" s="23" t="str">
        <f aca="false">IF($C1356="","",IFERROR(MATCH($C1356,'Программа тренировок'!$C$6:$C$25,0),""))</f>
        <v/>
      </c>
    </row>
    <row r="1357" customFormat="false" ht="15" hidden="false" customHeight="true" outlineLevel="0" collapsed="false">
      <c r="A1357" s="20"/>
      <c r="B1357" s="21"/>
      <c r="C1357" s="19"/>
      <c r="D1357" s="18"/>
      <c r="E1357" s="17"/>
      <c r="F1357" s="18"/>
      <c r="G1357" s="18"/>
      <c r="H1357" s="21"/>
      <c r="I1357" s="19"/>
      <c r="J1357" s="8" t="str">
        <f aca="false">IF(OR(E1357="",F1357=""),"",E1357*F1357)</f>
        <v/>
      </c>
      <c r="K1357" s="22" t="str">
        <f aca="false">IF($M1357="","",INDEX('Программа тренировок'!$G$6:$G$25,$M1357))</f>
        <v/>
      </c>
      <c r="L1357" s="23" t="str">
        <f aca="false">IF(OR($M1357="",$F1357="",$G1357=""),"",IF($H1357="Разминка","Разминка",IF($F1357&lt;INDEX('Программа тренировок'!$E$6:$E$25,$M1357),"Ниже диапазона",IF(AND($F1357&gt;=INDEX('Программа тренировок'!$F$6:$F$25,$M1357),$G1357&gt;=INDEX('Программа тренировок'!$L$6:$L$25,$M1357)),"Верх диапазона: пора добавлять вес",IF($G1357&lt;INDEX('Программа тренировок'!$L$6:$L$25,$M1357),"RIR ниже цели","В диапазоне")))))</f>
        <v/>
      </c>
      <c r="M1357" s="23" t="str">
        <f aca="false">IF($C1357="","",IFERROR(MATCH($C1357,'Программа тренировок'!$C$6:$C$25,0),""))</f>
        <v/>
      </c>
    </row>
    <row r="1358" customFormat="false" ht="15" hidden="false" customHeight="true" outlineLevel="0" collapsed="false">
      <c r="A1358" s="20"/>
      <c r="B1358" s="21"/>
      <c r="C1358" s="19"/>
      <c r="D1358" s="18"/>
      <c r="E1358" s="17"/>
      <c r="F1358" s="18"/>
      <c r="G1358" s="18"/>
      <c r="H1358" s="21"/>
      <c r="I1358" s="19"/>
      <c r="J1358" s="8" t="str">
        <f aca="false">IF(OR(E1358="",F1358=""),"",E1358*F1358)</f>
        <v/>
      </c>
      <c r="K1358" s="22" t="str">
        <f aca="false">IF($M1358="","",INDEX('Программа тренировок'!$G$6:$G$25,$M1358))</f>
        <v/>
      </c>
      <c r="L1358" s="23" t="str">
        <f aca="false">IF(OR($M1358="",$F1358="",$G1358=""),"",IF($H1358="Разминка","Разминка",IF($F1358&lt;INDEX('Программа тренировок'!$E$6:$E$25,$M1358),"Ниже диапазона",IF(AND($F1358&gt;=INDEX('Программа тренировок'!$F$6:$F$25,$M1358),$G1358&gt;=INDEX('Программа тренировок'!$L$6:$L$25,$M1358)),"Верх диапазона: пора добавлять вес",IF($G1358&lt;INDEX('Программа тренировок'!$L$6:$L$25,$M1358),"RIR ниже цели","В диапазоне")))))</f>
        <v/>
      </c>
      <c r="M1358" s="23" t="str">
        <f aca="false">IF($C1358="","",IFERROR(MATCH($C1358,'Программа тренировок'!$C$6:$C$25,0),""))</f>
        <v/>
      </c>
    </row>
    <row r="1359" customFormat="false" ht="15" hidden="false" customHeight="true" outlineLevel="0" collapsed="false">
      <c r="A1359" s="20"/>
      <c r="B1359" s="21"/>
      <c r="C1359" s="19"/>
      <c r="D1359" s="18"/>
      <c r="E1359" s="17"/>
      <c r="F1359" s="18"/>
      <c r="G1359" s="18"/>
      <c r="H1359" s="21"/>
      <c r="I1359" s="19"/>
      <c r="J1359" s="8" t="str">
        <f aca="false">IF(OR(E1359="",F1359=""),"",E1359*F1359)</f>
        <v/>
      </c>
      <c r="K1359" s="22" t="str">
        <f aca="false">IF($M1359="","",INDEX('Программа тренировок'!$G$6:$G$25,$M1359))</f>
        <v/>
      </c>
      <c r="L1359" s="23" t="str">
        <f aca="false">IF(OR($M1359="",$F1359="",$G1359=""),"",IF($H1359="Разминка","Разминка",IF($F1359&lt;INDEX('Программа тренировок'!$E$6:$E$25,$M1359),"Ниже диапазона",IF(AND($F1359&gt;=INDEX('Программа тренировок'!$F$6:$F$25,$M1359),$G1359&gt;=INDEX('Программа тренировок'!$L$6:$L$25,$M1359)),"Верх диапазона: пора добавлять вес",IF($G1359&lt;INDEX('Программа тренировок'!$L$6:$L$25,$M1359),"RIR ниже цели","В диапазоне")))))</f>
        <v/>
      </c>
      <c r="M1359" s="23" t="str">
        <f aca="false">IF($C1359="","",IFERROR(MATCH($C1359,'Программа тренировок'!$C$6:$C$25,0),""))</f>
        <v/>
      </c>
    </row>
    <row r="1360" customFormat="false" ht="15" hidden="false" customHeight="true" outlineLevel="0" collapsed="false">
      <c r="A1360" s="20"/>
      <c r="B1360" s="21"/>
      <c r="C1360" s="19"/>
      <c r="D1360" s="18"/>
      <c r="E1360" s="17"/>
      <c r="F1360" s="18"/>
      <c r="G1360" s="18"/>
      <c r="H1360" s="21"/>
      <c r="I1360" s="19"/>
      <c r="J1360" s="8" t="str">
        <f aca="false">IF(OR(E1360="",F1360=""),"",E1360*F1360)</f>
        <v/>
      </c>
      <c r="K1360" s="22" t="str">
        <f aca="false">IF($M1360="","",INDEX('Программа тренировок'!$G$6:$G$25,$M1360))</f>
        <v/>
      </c>
      <c r="L1360" s="23" t="str">
        <f aca="false">IF(OR($M1360="",$F1360="",$G1360=""),"",IF($H1360="Разминка","Разминка",IF($F1360&lt;INDEX('Программа тренировок'!$E$6:$E$25,$M1360),"Ниже диапазона",IF(AND($F1360&gt;=INDEX('Программа тренировок'!$F$6:$F$25,$M1360),$G1360&gt;=INDEX('Программа тренировок'!$L$6:$L$25,$M1360)),"Верх диапазона: пора добавлять вес",IF($G1360&lt;INDEX('Программа тренировок'!$L$6:$L$25,$M1360),"RIR ниже цели","В диапазоне")))))</f>
        <v/>
      </c>
      <c r="M1360" s="23" t="str">
        <f aca="false">IF($C1360="","",IFERROR(MATCH($C1360,'Программа тренировок'!$C$6:$C$25,0),""))</f>
        <v/>
      </c>
    </row>
    <row r="1361" customFormat="false" ht="15" hidden="false" customHeight="true" outlineLevel="0" collapsed="false">
      <c r="A1361" s="20"/>
      <c r="B1361" s="21"/>
      <c r="C1361" s="19"/>
      <c r="D1361" s="18"/>
      <c r="E1361" s="17"/>
      <c r="F1361" s="18"/>
      <c r="G1361" s="18"/>
      <c r="H1361" s="21"/>
      <c r="I1361" s="19"/>
      <c r="J1361" s="8" t="str">
        <f aca="false">IF(OR(E1361="",F1361=""),"",E1361*F1361)</f>
        <v/>
      </c>
      <c r="K1361" s="22" t="str">
        <f aca="false">IF($M1361="","",INDEX('Программа тренировок'!$G$6:$G$25,$M1361))</f>
        <v/>
      </c>
      <c r="L1361" s="23" t="str">
        <f aca="false">IF(OR($M1361="",$F1361="",$G1361=""),"",IF($H1361="Разминка","Разминка",IF($F1361&lt;INDEX('Программа тренировок'!$E$6:$E$25,$M1361),"Ниже диапазона",IF(AND($F1361&gt;=INDEX('Программа тренировок'!$F$6:$F$25,$M1361),$G1361&gt;=INDEX('Программа тренировок'!$L$6:$L$25,$M1361)),"Верх диапазона: пора добавлять вес",IF($G1361&lt;INDEX('Программа тренировок'!$L$6:$L$25,$M1361),"RIR ниже цели","В диапазоне")))))</f>
        <v/>
      </c>
      <c r="M1361" s="23" t="str">
        <f aca="false">IF($C1361="","",IFERROR(MATCH($C1361,'Программа тренировок'!$C$6:$C$25,0),""))</f>
        <v/>
      </c>
    </row>
    <row r="1362" customFormat="false" ht="15" hidden="false" customHeight="true" outlineLevel="0" collapsed="false">
      <c r="A1362" s="20"/>
      <c r="B1362" s="21"/>
      <c r="C1362" s="19"/>
      <c r="D1362" s="18"/>
      <c r="E1362" s="17"/>
      <c r="F1362" s="18"/>
      <c r="G1362" s="18"/>
      <c r="H1362" s="21"/>
      <c r="I1362" s="19"/>
      <c r="J1362" s="8" t="str">
        <f aca="false">IF(OR(E1362="",F1362=""),"",E1362*F1362)</f>
        <v/>
      </c>
      <c r="K1362" s="22" t="str">
        <f aca="false">IF($M1362="","",INDEX('Программа тренировок'!$G$6:$G$25,$M1362))</f>
        <v/>
      </c>
      <c r="L1362" s="23" t="str">
        <f aca="false">IF(OR($M1362="",$F1362="",$G1362=""),"",IF($H1362="Разминка","Разминка",IF($F1362&lt;INDEX('Программа тренировок'!$E$6:$E$25,$M1362),"Ниже диапазона",IF(AND($F1362&gt;=INDEX('Программа тренировок'!$F$6:$F$25,$M1362),$G1362&gt;=INDEX('Программа тренировок'!$L$6:$L$25,$M1362)),"Верх диапазона: пора добавлять вес",IF($G1362&lt;INDEX('Программа тренировок'!$L$6:$L$25,$M1362),"RIR ниже цели","В диапазоне")))))</f>
        <v/>
      </c>
      <c r="M1362" s="23" t="str">
        <f aca="false">IF($C1362="","",IFERROR(MATCH($C1362,'Программа тренировок'!$C$6:$C$25,0),""))</f>
        <v/>
      </c>
    </row>
    <row r="1363" customFormat="false" ht="15" hidden="false" customHeight="true" outlineLevel="0" collapsed="false">
      <c r="A1363" s="20"/>
      <c r="B1363" s="21"/>
      <c r="C1363" s="19"/>
      <c r="D1363" s="18"/>
      <c r="E1363" s="17"/>
      <c r="F1363" s="18"/>
      <c r="G1363" s="18"/>
      <c r="H1363" s="21"/>
      <c r="I1363" s="19"/>
      <c r="J1363" s="8" t="str">
        <f aca="false">IF(OR(E1363="",F1363=""),"",E1363*F1363)</f>
        <v/>
      </c>
      <c r="K1363" s="22" t="str">
        <f aca="false">IF($M1363="","",INDEX('Программа тренировок'!$G$6:$G$25,$M1363))</f>
        <v/>
      </c>
      <c r="L1363" s="23" t="str">
        <f aca="false">IF(OR($M1363="",$F1363="",$G1363=""),"",IF($H1363="Разминка","Разминка",IF($F1363&lt;INDEX('Программа тренировок'!$E$6:$E$25,$M1363),"Ниже диапазона",IF(AND($F1363&gt;=INDEX('Программа тренировок'!$F$6:$F$25,$M1363),$G1363&gt;=INDEX('Программа тренировок'!$L$6:$L$25,$M1363)),"Верх диапазона: пора добавлять вес",IF($G1363&lt;INDEX('Программа тренировок'!$L$6:$L$25,$M1363),"RIR ниже цели","В диапазоне")))))</f>
        <v/>
      </c>
      <c r="M1363" s="23" t="str">
        <f aca="false">IF($C1363="","",IFERROR(MATCH($C1363,'Программа тренировок'!$C$6:$C$25,0),""))</f>
        <v/>
      </c>
    </row>
    <row r="1364" customFormat="false" ht="15" hidden="false" customHeight="true" outlineLevel="0" collapsed="false">
      <c r="A1364" s="20"/>
      <c r="B1364" s="21"/>
      <c r="C1364" s="19"/>
      <c r="D1364" s="18"/>
      <c r="E1364" s="17"/>
      <c r="F1364" s="18"/>
      <c r="G1364" s="18"/>
      <c r="H1364" s="21"/>
      <c r="I1364" s="19"/>
      <c r="J1364" s="8" t="str">
        <f aca="false">IF(OR(E1364="",F1364=""),"",E1364*F1364)</f>
        <v/>
      </c>
      <c r="K1364" s="22" t="str">
        <f aca="false">IF($M1364="","",INDEX('Программа тренировок'!$G$6:$G$25,$M1364))</f>
        <v/>
      </c>
      <c r="L1364" s="23" t="str">
        <f aca="false">IF(OR($M1364="",$F1364="",$G1364=""),"",IF($H1364="Разминка","Разминка",IF($F1364&lt;INDEX('Программа тренировок'!$E$6:$E$25,$M1364),"Ниже диапазона",IF(AND($F1364&gt;=INDEX('Программа тренировок'!$F$6:$F$25,$M1364),$G1364&gt;=INDEX('Программа тренировок'!$L$6:$L$25,$M1364)),"Верх диапазона: пора добавлять вес",IF($G1364&lt;INDEX('Программа тренировок'!$L$6:$L$25,$M1364),"RIR ниже цели","В диапазоне")))))</f>
        <v/>
      </c>
      <c r="M1364" s="23" t="str">
        <f aca="false">IF($C1364="","",IFERROR(MATCH($C1364,'Программа тренировок'!$C$6:$C$25,0),""))</f>
        <v/>
      </c>
    </row>
    <row r="1365" customFormat="false" ht="15" hidden="false" customHeight="true" outlineLevel="0" collapsed="false">
      <c r="A1365" s="20"/>
      <c r="B1365" s="21"/>
      <c r="C1365" s="19"/>
      <c r="D1365" s="18"/>
      <c r="E1365" s="17"/>
      <c r="F1365" s="18"/>
      <c r="G1365" s="18"/>
      <c r="H1365" s="21"/>
      <c r="I1365" s="19"/>
      <c r="J1365" s="8" t="str">
        <f aca="false">IF(OR(E1365="",F1365=""),"",E1365*F1365)</f>
        <v/>
      </c>
      <c r="K1365" s="22" t="str">
        <f aca="false">IF($M1365="","",INDEX('Программа тренировок'!$G$6:$G$25,$M1365))</f>
        <v/>
      </c>
      <c r="L1365" s="23" t="str">
        <f aca="false">IF(OR($M1365="",$F1365="",$G1365=""),"",IF($H1365="Разминка","Разминка",IF($F1365&lt;INDEX('Программа тренировок'!$E$6:$E$25,$M1365),"Ниже диапазона",IF(AND($F1365&gt;=INDEX('Программа тренировок'!$F$6:$F$25,$M1365),$G1365&gt;=INDEX('Программа тренировок'!$L$6:$L$25,$M1365)),"Верх диапазона: пора добавлять вес",IF($G1365&lt;INDEX('Программа тренировок'!$L$6:$L$25,$M1365),"RIR ниже цели","В диапазоне")))))</f>
        <v/>
      </c>
      <c r="M1365" s="23" t="str">
        <f aca="false">IF($C1365="","",IFERROR(MATCH($C1365,'Программа тренировок'!$C$6:$C$25,0),""))</f>
        <v/>
      </c>
    </row>
    <row r="1366" customFormat="false" ht="15" hidden="false" customHeight="true" outlineLevel="0" collapsed="false">
      <c r="A1366" s="20"/>
      <c r="B1366" s="21"/>
      <c r="C1366" s="19"/>
      <c r="D1366" s="18"/>
      <c r="E1366" s="17"/>
      <c r="F1366" s="18"/>
      <c r="G1366" s="18"/>
      <c r="H1366" s="21"/>
      <c r="I1366" s="19"/>
      <c r="J1366" s="8" t="str">
        <f aca="false">IF(OR(E1366="",F1366=""),"",E1366*F1366)</f>
        <v/>
      </c>
      <c r="K1366" s="22" t="str">
        <f aca="false">IF($M1366="","",INDEX('Программа тренировок'!$G$6:$G$25,$M1366))</f>
        <v/>
      </c>
      <c r="L1366" s="23" t="str">
        <f aca="false">IF(OR($M1366="",$F1366="",$G1366=""),"",IF($H1366="Разминка","Разминка",IF($F1366&lt;INDEX('Программа тренировок'!$E$6:$E$25,$M1366),"Ниже диапазона",IF(AND($F1366&gt;=INDEX('Программа тренировок'!$F$6:$F$25,$M1366),$G1366&gt;=INDEX('Программа тренировок'!$L$6:$L$25,$M1366)),"Верх диапазона: пора добавлять вес",IF($G1366&lt;INDEX('Программа тренировок'!$L$6:$L$25,$M1366),"RIR ниже цели","В диапазоне")))))</f>
        <v/>
      </c>
      <c r="M1366" s="23" t="str">
        <f aca="false">IF($C1366="","",IFERROR(MATCH($C1366,'Программа тренировок'!$C$6:$C$25,0),""))</f>
        <v/>
      </c>
    </row>
    <row r="1367" customFormat="false" ht="15" hidden="false" customHeight="true" outlineLevel="0" collapsed="false">
      <c r="A1367" s="20"/>
      <c r="B1367" s="21"/>
      <c r="C1367" s="19"/>
      <c r="D1367" s="18"/>
      <c r="E1367" s="17"/>
      <c r="F1367" s="18"/>
      <c r="G1367" s="18"/>
      <c r="H1367" s="21"/>
      <c r="I1367" s="19"/>
      <c r="J1367" s="8" t="str">
        <f aca="false">IF(OR(E1367="",F1367=""),"",E1367*F1367)</f>
        <v/>
      </c>
      <c r="K1367" s="22" t="str">
        <f aca="false">IF($M1367="","",INDEX('Программа тренировок'!$G$6:$G$25,$M1367))</f>
        <v/>
      </c>
      <c r="L1367" s="23" t="str">
        <f aca="false">IF(OR($M1367="",$F1367="",$G1367=""),"",IF($H1367="Разминка","Разминка",IF($F1367&lt;INDEX('Программа тренировок'!$E$6:$E$25,$M1367),"Ниже диапазона",IF(AND($F1367&gt;=INDEX('Программа тренировок'!$F$6:$F$25,$M1367),$G1367&gt;=INDEX('Программа тренировок'!$L$6:$L$25,$M1367)),"Верх диапазона: пора добавлять вес",IF($G1367&lt;INDEX('Программа тренировок'!$L$6:$L$25,$M1367),"RIR ниже цели","В диапазоне")))))</f>
        <v/>
      </c>
      <c r="M1367" s="23" t="str">
        <f aca="false">IF($C1367="","",IFERROR(MATCH($C1367,'Программа тренировок'!$C$6:$C$25,0),""))</f>
        <v/>
      </c>
    </row>
    <row r="1368" customFormat="false" ht="15" hidden="false" customHeight="true" outlineLevel="0" collapsed="false">
      <c r="A1368" s="20"/>
      <c r="B1368" s="21"/>
      <c r="C1368" s="19"/>
      <c r="D1368" s="18"/>
      <c r="E1368" s="17"/>
      <c r="F1368" s="18"/>
      <c r="G1368" s="18"/>
      <c r="H1368" s="21"/>
      <c r="I1368" s="19"/>
      <c r="J1368" s="8" t="str">
        <f aca="false">IF(OR(E1368="",F1368=""),"",E1368*F1368)</f>
        <v/>
      </c>
      <c r="K1368" s="22" t="str">
        <f aca="false">IF($M1368="","",INDEX('Программа тренировок'!$G$6:$G$25,$M1368))</f>
        <v/>
      </c>
      <c r="L1368" s="23" t="str">
        <f aca="false">IF(OR($M1368="",$F1368="",$G1368=""),"",IF($H1368="Разминка","Разминка",IF($F1368&lt;INDEX('Программа тренировок'!$E$6:$E$25,$M1368),"Ниже диапазона",IF(AND($F1368&gt;=INDEX('Программа тренировок'!$F$6:$F$25,$M1368),$G1368&gt;=INDEX('Программа тренировок'!$L$6:$L$25,$M1368)),"Верх диапазона: пора добавлять вес",IF($G1368&lt;INDEX('Программа тренировок'!$L$6:$L$25,$M1368),"RIR ниже цели","В диапазоне")))))</f>
        <v/>
      </c>
      <c r="M1368" s="23" t="str">
        <f aca="false">IF($C1368="","",IFERROR(MATCH($C1368,'Программа тренировок'!$C$6:$C$25,0),""))</f>
        <v/>
      </c>
    </row>
    <row r="1369" customFormat="false" ht="15" hidden="false" customHeight="true" outlineLevel="0" collapsed="false">
      <c r="A1369" s="20"/>
      <c r="B1369" s="21"/>
      <c r="C1369" s="19"/>
      <c r="D1369" s="18"/>
      <c r="E1369" s="17"/>
      <c r="F1369" s="18"/>
      <c r="G1369" s="18"/>
      <c r="H1369" s="21"/>
      <c r="I1369" s="19"/>
      <c r="J1369" s="8" t="str">
        <f aca="false">IF(OR(E1369="",F1369=""),"",E1369*F1369)</f>
        <v/>
      </c>
      <c r="K1369" s="22" t="str">
        <f aca="false">IF($M1369="","",INDEX('Программа тренировок'!$G$6:$G$25,$M1369))</f>
        <v/>
      </c>
      <c r="L1369" s="23" t="str">
        <f aca="false">IF(OR($M1369="",$F1369="",$G1369=""),"",IF($H1369="Разминка","Разминка",IF($F1369&lt;INDEX('Программа тренировок'!$E$6:$E$25,$M1369),"Ниже диапазона",IF(AND($F1369&gt;=INDEX('Программа тренировок'!$F$6:$F$25,$M1369),$G1369&gt;=INDEX('Программа тренировок'!$L$6:$L$25,$M1369)),"Верх диапазона: пора добавлять вес",IF($G1369&lt;INDEX('Программа тренировок'!$L$6:$L$25,$M1369),"RIR ниже цели","В диапазоне")))))</f>
        <v/>
      </c>
      <c r="M1369" s="23" t="str">
        <f aca="false">IF($C1369="","",IFERROR(MATCH($C1369,'Программа тренировок'!$C$6:$C$25,0),""))</f>
        <v/>
      </c>
    </row>
    <row r="1370" customFormat="false" ht="15" hidden="false" customHeight="true" outlineLevel="0" collapsed="false">
      <c r="A1370" s="20"/>
      <c r="B1370" s="21"/>
      <c r="C1370" s="19"/>
      <c r="D1370" s="18"/>
      <c r="E1370" s="17"/>
      <c r="F1370" s="18"/>
      <c r="G1370" s="18"/>
      <c r="H1370" s="21"/>
      <c r="I1370" s="19"/>
      <c r="J1370" s="8" t="str">
        <f aca="false">IF(OR(E1370="",F1370=""),"",E1370*F1370)</f>
        <v/>
      </c>
      <c r="K1370" s="22" t="str">
        <f aca="false">IF($M1370="","",INDEX('Программа тренировок'!$G$6:$G$25,$M1370))</f>
        <v/>
      </c>
      <c r="L1370" s="23" t="str">
        <f aca="false">IF(OR($M1370="",$F1370="",$G1370=""),"",IF($H1370="Разминка","Разминка",IF($F1370&lt;INDEX('Программа тренировок'!$E$6:$E$25,$M1370),"Ниже диапазона",IF(AND($F1370&gt;=INDEX('Программа тренировок'!$F$6:$F$25,$M1370),$G1370&gt;=INDEX('Программа тренировок'!$L$6:$L$25,$M1370)),"Верх диапазона: пора добавлять вес",IF($G1370&lt;INDEX('Программа тренировок'!$L$6:$L$25,$M1370),"RIR ниже цели","В диапазоне")))))</f>
        <v/>
      </c>
      <c r="M1370" s="23" t="str">
        <f aca="false">IF($C1370="","",IFERROR(MATCH($C1370,'Программа тренировок'!$C$6:$C$25,0),""))</f>
        <v/>
      </c>
    </row>
    <row r="1371" customFormat="false" ht="15" hidden="false" customHeight="true" outlineLevel="0" collapsed="false">
      <c r="A1371" s="20"/>
      <c r="B1371" s="21"/>
      <c r="C1371" s="19"/>
      <c r="D1371" s="18"/>
      <c r="E1371" s="17"/>
      <c r="F1371" s="18"/>
      <c r="G1371" s="18"/>
      <c r="H1371" s="21"/>
      <c r="I1371" s="19"/>
      <c r="J1371" s="8" t="str">
        <f aca="false">IF(OR(E1371="",F1371=""),"",E1371*F1371)</f>
        <v/>
      </c>
      <c r="K1371" s="22" t="str">
        <f aca="false">IF($M1371="","",INDEX('Программа тренировок'!$G$6:$G$25,$M1371))</f>
        <v/>
      </c>
      <c r="L1371" s="23" t="str">
        <f aca="false">IF(OR($M1371="",$F1371="",$G1371=""),"",IF($H1371="Разминка","Разминка",IF($F1371&lt;INDEX('Программа тренировок'!$E$6:$E$25,$M1371),"Ниже диапазона",IF(AND($F1371&gt;=INDEX('Программа тренировок'!$F$6:$F$25,$M1371),$G1371&gt;=INDEX('Программа тренировок'!$L$6:$L$25,$M1371)),"Верх диапазона: пора добавлять вес",IF($G1371&lt;INDEX('Программа тренировок'!$L$6:$L$25,$M1371),"RIR ниже цели","В диапазоне")))))</f>
        <v/>
      </c>
      <c r="M1371" s="23" t="str">
        <f aca="false">IF($C1371="","",IFERROR(MATCH($C1371,'Программа тренировок'!$C$6:$C$25,0),""))</f>
        <v/>
      </c>
    </row>
    <row r="1372" customFormat="false" ht="15" hidden="false" customHeight="true" outlineLevel="0" collapsed="false">
      <c r="A1372" s="20"/>
      <c r="B1372" s="21"/>
      <c r="C1372" s="19"/>
      <c r="D1372" s="18"/>
      <c r="E1372" s="17"/>
      <c r="F1372" s="18"/>
      <c r="G1372" s="18"/>
      <c r="H1372" s="21"/>
      <c r="I1372" s="19"/>
      <c r="J1372" s="8" t="str">
        <f aca="false">IF(OR(E1372="",F1372=""),"",E1372*F1372)</f>
        <v/>
      </c>
      <c r="K1372" s="22" t="str">
        <f aca="false">IF($M1372="","",INDEX('Программа тренировок'!$G$6:$G$25,$M1372))</f>
        <v/>
      </c>
      <c r="L1372" s="23" t="str">
        <f aca="false">IF(OR($M1372="",$F1372="",$G1372=""),"",IF($H1372="Разминка","Разминка",IF($F1372&lt;INDEX('Программа тренировок'!$E$6:$E$25,$M1372),"Ниже диапазона",IF(AND($F1372&gt;=INDEX('Программа тренировок'!$F$6:$F$25,$M1372),$G1372&gt;=INDEX('Программа тренировок'!$L$6:$L$25,$M1372)),"Верх диапазона: пора добавлять вес",IF($G1372&lt;INDEX('Программа тренировок'!$L$6:$L$25,$M1372),"RIR ниже цели","В диапазоне")))))</f>
        <v/>
      </c>
      <c r="M1372" s="23" t="str">
        <f aca="false">IF($C1372="","",IFERROR(MATCH($C1372,'Программа тренировок'!$C$6:$C$25,0),""))</f>
        <v/>
      </c>
    </row>
    <row r="1373" customFormat="false" ht="15" hidden="false" customHeight="true" outlineLevel="0" collapsed="false">
      <c r="A1373" s="20"/>
      <c r="B1373" s="21"/>
      <c r="C1373" s="19"/>
      <c r="D1373" s="18"/>
      <c r="E1373" s="17"/>
      <c r="F1373" s="18"/>
      <c r="G1373" s="18"/>
      <c r="H1373" s="21"/>
      <c r="I1373" s="19"/>
      <c r="J1373" s="8" t="str">
        <f aca="false">IF(OR(E1373="",F1373=""),"",E1373*F1373)</f>
        <v/>
      </c>
      <c r="K1373" s="22" t="str">
        <f aca="false">IF($M1373="","",INDEX('Программа тренировок'!$G$6:$G$25,$M1373))</f>
        <v/>
      </c>
      <c r="L1373" s="23" t="str">
        <f aca="false">IF(OR($M1373="",$F1373="",$G1373=""),"",IF($H1373="Разминка","Разминка",IF($F1373&lt;INDEX('Программа тренировок'!$E$6:$E$25,$M1373),"Ниже диапазона",IF(AND($F1373&gt;=INDEX('Программа тренировок'!$F$6:$F$25,$M1373),$G1373&gt;=INDEX('Программа тренировок'!$L$6:$L$25,$M1373)),"Верх диапазона: пора добавлять вес",IF($G1373&lt;INDEX('Программа тренировок'!$L$6:$L$25,$M1373),"RIR ниже цели","В диапазоне")))))</f>
        <v/>
      </c>
      <c r="M1373" s="23" t="str">
        <f aca="false">IF($C1373="","",IFERROR(MATCH($C1373,'Программа тренировок'!$C$6:$C$25,0),""))</f>
        <v/>
      </c>
    </row>
    <row r="1374" customFormat="false" ht="15" hidden="false" customHeight="true" outlineLevel="0" collapsed="false">
      <c r="A1374" s="20"/>
      <c r="B1374" s="21"/>
      <c r="C1374" s="19"/>
      <c r="D1374" s="18"/>
      <c r="E1374" s="17"/>
      <c r="F1374" s="18"/>
      <c r="G1374" s="18"/>
      <c r="H1374" s="21"/>
      <c r="I1374" s="19"/>
      <c r="J1374" s="8" t="str">
        <f aca="false">IF(OR(E1374="",F1374=""),"",E1374*F1374)</f>
        <v/>
      </c>
      <c r="K1374" s="22" t="str">
        <f aca="false">IF($M1374="","",INDEX('Программа тренировок'!$G$6:$G$25,$M1374))</f>
        <v/>
      </c>
      <c r="L1374" s="23" t="str">
        <f aca="false">IF(OR($M1374="",$F1374="",$G1374=""),"",IF($H1374="Разминка","Разминка",IF($F1374&lt;INDEX('Программа тренировок'!$E$6:$E$25,$M1374),"Ниже диапазона",IF(AND($F1374&gt;=INDEX('Программа тренировок'!$F$6:$F$25,$M1374),$G1374&gt;=INDEX('Программа тренировок'!$L$6:$L$25,$M1374)),"Верх диапазона: пора добавлять вес",IF($G1374&lt;INDEX('Программа тренировок'!$L$6:$L$25,$M1374),"RIR ниже цели","В диапазоне")))))</f>
        <v/>
      </c>
      <c r="M1374" s="23" t="str">
        <f aca="false">IF($C1374="","",IFERROR(MATCH($C1374,'Программа тренировок'!$C$6:$C$25,0),""))</f>
        <v/>
      </c>
    </row>
    <row r="1375" customFormat="false" ht="15" hidden="false" customHeight="true" outlineLevel="0" collapsed="false">
      <c r="A1375" s="20"/>
      <c r="B1375" s="21"/>
      <c r="C1375" s="19"/>
      <c r="D1375" s="18"/>
      <c r="E1375" s="17"/>
      <c r="F1375" s="18"/>
      <c r="G1375" s="18"/>
      <c r="H1375" s="21"/>
      <c r="I1375" s="19"/>
      <c r="J1375" s="8" t="str">
        <f aca="false">IF(OR(E1375="",F1375=""),"",E1375*F1375)</f>
        <v/>
      </c>
      <c r="K1375" s="22" t="str">
        <f aca="false">IF($M1375="","",INDEX('Программа тренировок'!$G$6:$G$25,$M1375))</f>
        <v/>
      </c>
      <c r="L1375" s="23" t="str">
        <f aca="false">IF(OR($M1375="",$F1375="",$G1375=""),"",IF($H1375="Разминка","Разминка",IF($F1375&lt;INDEX('Программа тренировок'!$E$6:$E$25,$M1375),"Ниже диапазона",IF(AND($F1375&gt;=INDEX('Программа тренировок'!$F$6:$F$25,$M1375),$G1375&gt;=INDEX('Программа тренировок'!$L$6:$L$25,$M1375)),"Верх диапазона: пора добавлять вес",IF($G1375&lt;INDEX('Программа тренировок'!$L$6:$L$25,$M1375),"RIR ниже цели","В диапазоне")))))</f>
        <v/>
      </c>
      <c r="M1375" s="23" t="str">
        <f aca="false">IF($C1375="","",IFERROR(MATCH($C1375,'Программа тренировок'!$C$6:$C$25,0),""))</f>
        <v/>
      </c>
    </row>
    <row r="1376" customFormat="false" ht="15" hidden="false" customHeight="true" outlineLevel="0" collapsed="false">
      <c r="A1376" s="20"/>
      <c r="B1376" s="21"/>
      <c r="C1376" s="19"/>
      <c r="D1376" s="18"/>
      <c r="E1376" s="17"/>
      <c r="F1376" s="18"/>
      <c r="G1376" s="18"/>
      <c r="H1376" s="21"/>
      <c r="I1376" s="19"/>
      <c r="J1376" s="8" t="str">
        <f aca="false">IF(OR(E1376="",F1376=""),"",E1376*F1376)</f>
        <v/>
      </c>
      <c r="K1376" s="22" t="str">
        <f aca="false">IF($M1376="","",INDEX('Программа тренировок'!$G$6:$G$25,$M1376))</f>
        <v/>
      </c>
      <c r="L1376" s="23" t="str">
        <f aca="false">IF(OR($M1376="",$F1376="",$G1376=""),"",IF($H1376="Разминка","Разминка",IF($F1376&lt;INDEX('Программа тренировок'!$E$6:$E$25,$M1376),"Ниже диапазона",IF(AND($F1376&gt;=INDEX('Программа тренировок'!$F$6:$F$25,$M1376),$G1376&gt;=INDEX('Программа тренировок'!$L$6:$L$25,$M1376)),"Верх диапазона: пора добавлять вес",IF($G1376&lt;INDEX('Программа тренировок'!$L$6:$L$25,$M1376),"RIR ниже цели","В диапазоне")))))</f>
        <v/>
      </c>
      <c r="M1376" s="23" t="str">
        <f aca="false">IF($C1376="","",IFERROR(MATCH($C1376,'Программа тренировок'!$C$6:$C$25,0),""))</f>
        <v/>
      </c>
    </row>
    <row r="1377" customFormat="false" ht="15" hidden="false" customHeight="true" outlineLevel="0" collapsed="false">
      <c r="A1377" s="20"/>
      <c r="B1377" s="21"/>
      <c r="C1377" s="19"/>
      <c r="D1377" s="18"/>
      <c r="E1377" s="17"/>
      <c r="F1377" s="18"/>
      <c r="G1377" s="18"/>
      <c r="H1377" s="21"/>
      <c r="I1377" s="19"/>
      <c r="J1377" s="8" t="str">
        <f aca="false">IF(OR(E1377="",F1377=""),"",E1377*F1377)</f>
        <v/>
      </c>
      <c r="K1377" s="22" t="str">
        <f aca="false">IF($M1377="","",INDEX('Программа тренировок'!$G$6:$G$25,$M1377))</f>
        <v/>
      </c>
      <c r="L1377" s="23" t="str">
        <f aca="false">IF(OR($M1377="",$F1377="",$G1377=""),"",IF($H1377="Разминка","Разминка",IF($F1377&lt;INDEX('Программа тренировок'!$E$6:$E$25,$M1377),"Ниже диапазона",IF(AND($F1377&gt;=INDEX('Программа тренировок'!$F$6:$F$25,$M1377),$G1377&gt;=INDEX('Программа тренировок'!$L$6:$L$25,$M1377)),"Верх диапазона: пора добавлять вес",IF($G1377&lt;INDEX('Программа тренировок'!$L$6:$L$25,$M1377),"RIR ниже цели","В диапазоне")))))</f>
        <v/>
      </c>
      <c r="M1377" s="23" t="str">
        <f aca="false">IF($C1377="","",IFERROR(MATCH($C1377,'Программа тренировок'!$C$6:$C$25,0),""))</f>
        <v/>
      </c>
    </row>
    <row r="1378" customFormat="false" ht="15" hidden="false" customHeight="true" outlineLevel="0" collapsed="false">
      <c r="A1378" s="20"/>
      <c r="B1378" s="21"/>
      <c r="C1378" s="19"/>
      <c r="D1378" s="18"/>
      <c r="E1378" s="17"/>
      <c r="F1378" s="18"/>
      <c r="G1378" s="18"/>
      <c r="H1378" s="21"/>
      <c r="I1378" s="19"/>
      <c r="J1378" s="8" t="str">
        <f aca="false">IF(OR(E1378="",F1378=""),"",E1378*F1378)</f>
        <v/>
      </c>
      <c r="K1378" s="22" t="str">
        <f aca="false">IF($M1378="","",INDEX('Программа тренировок'!$G$6:$G$25,$M1378))</f>
        <v/>
      </c>
      <c r="L1378" s="23" t="str">
        <f aca="false">IF(OR($M1378="",$F1378="",$G1378=""),"",IF($H1378="Разминка","Разминка",IF($F1378&lt;INDEX('Программа тренировок'!$E$6:$E$25,$M1378),"Ниже диапазона",IF(AND($F1378&gt;=INDEX('Программа тренировок'!$F$6:$F$25,$M1378),$G1378&gt;=INDEX('Программа тренировок'!$L$6:$L$25,$M1378)),"Верх диапазона: пора добавлять вес",IF($G1378&lt;INDEX('Программа тренировок'!$L$6:$L$25,$M1378),"RIR ниже цели","В диапазоне")))))</f>
        <v/>
      </c>
      <c r="M1378" s="23" t="str">
        <f aca="false">IF($C1378="","",IFERROR(MATCH($C1378,'Программа тренировок'!$C$6:$C$25,0),""))</f>
        <v/>
      </c>
    </row>
    <row r="1379" customFormat="false" ht="15" hidden="false" customHeight="true" outlineLevel="0" collapsed="false">
      <c r="A1379" s="20"/>
      <c r="B1379" s="21"/>
      <c r="C1379" s="19"/>
      <c r="D1379" s="18"/>
      <c r="E1379" s="17"/>
      <c r="F1379" s="18"/>
      <c r="G1379" s="18"/>
      <c r="H1379" s="21"/>
      <c r="I1379" s="19"/>
      <c r="J1379" s="8" t="str">
        <f aca="false">IF(OR(E1379="",F1379=""),"",E1379*F1379)</f>
        <v/>
      </c>
      <c r="K1379" s="22" t="str">
        <f aca="false">IF($M1379="","",INDEX('Программа тренировок'!$G$6:$G$25,$M1379))</f>
        <v/>
      </c>
      <c r="L1379" s="23" t="str">
        <f aca="false">IF(OR($M1379="",$F1379="",$G1379=""),"",IF($H1379="Разминка","Разминка",IF($F1379&lt;INDEX('Программа тренировок'!$E$6:$E$25,$M1379),"Ниже диапазона",IF(AND($F1379&gt;=INDEX('Программа тренировок'!$F$6:$F$25,$M1379),$G1379&gt;=INDEX('Программа тренировок'!$L$6:$L$25,$M1379)),"Верх диапазона: пора добавлять вес",IF($G1379&lt;INDEX('Программа тренировок'!$L$6:$L$25,$M1379),"RIR ниже цели","В диапазоне")))))</f>
        <v/>
      </c>
      <c r="M1379" s="23" t="str">
        <f aca="false">IF($C1379="","",IFERROR(MATCH($C1379,'Программа тренировок'!$C$6:$C$25,0),""))</f>
        <v/>
      </c>
    </row>
    <row r="1380" customFormat="false" ht="15" hidden="false" customHeight="true" outlineLevel="0" collapsed="false">
      <c r="A1380" s="20"/>
      <c r="B1380" s="21"/>
      <c r="C1380" s="19"/>
      <c r="D1380" s="18"/>
      <c r="E1380" s="17"/>
      <c r="F1380" s="18"/>
      <c r="G1380" s="18"/>
      <c r="H1380" s="21"/>
      <c r="I1380" s="19"/>
      <c r="J1380" s="8" t="str">
        <f aca="false">IF(OR(E1380="",F1380=""),"",E1380*F1380)</f>
        <v/>
      </c>
      <c r="K1380" s="22" t="str">
        <f aca="false">IF($M1380="","",INDEX('Программа тренировок'!$G$6:$G$25,$M1380))</f>
        <v/>
      </c>
      <c r="L1380" s="23" t="str">
        <f aca="false">IF(OR($M1380="",$F1380="",$G1380=""),"",IF($H1380="Разминка","Разминка",IF($F1380&lt;INDEX('Программа тренировок'!$E$6:$E$25,$M1380),"Ниже диапазона",IF(AND($F1380&gt;=INDEX('Программа тренировок'!$F$6:$F$25,$M1380),$G1380&gt;=INDEX('Программа тренировок'!$L$6:$L$25,$M1380)),"Верх диапазона: пора добавлять вес",IF($G1380&lt;INDEX('Программа тренировок'!$L$6:$L$25,$M1380),"RIR ниже цели","В диапазоне")))))</f>
        <v/>
      </c>
      <c r="M1380" s="23" t="str">
        <f aca="false">IF($C1380="","",IFERROR(MATCH($C1380,'Программа тренировок'!$C$6:$C$25,0),""))</f>
        <v/>
      </c>
    </row>
    <row r="1381" customFormat="false" ht="15" hidden="false" customHeight="true" outlineLevel="0" collapsed="false">
      <c r="A1381" s="20"/>
      <c r="B1381" s="21"/>
      <c r="C1381" s="19"/>
      <c r="D1381" s="18"/>
      <c r="E1381" s="17"/>
      <c r="F1381" s="18"/>
      <c r="G1381" s="18"/>
      <c r="H1381" s="21"/>
      <c r="I1381" s="19"/>
      <c r="J1381" s="8" t="str">
        <f aca="false">IF(OR(E1381="",F1381=""),"",E1381*F1381)</f>
        <v/>
      </c>
      <c r="K1381" s="22" t="str">
        <f aca="false">IF($M1381="","",INDEX('Программа тренировок'!$G$6:$G$25,$M1381))</f>
        <v/>
      </c>
      <c r="L1381" s="23" t="str">
        <f aca="false">IF(OR($M1381="",$F1381="",$G1381=""),"",IF($H1381="Разминка","Разминка",IF($F1381&lt;INDEX('Программа тренировок'!$E$6:$E$25,$M1381),"Ниже диапазона",IF(AND($F1381&gt;=INDEX('Программа тренировок'!$F$6:$F$25,$M1381),$G1381&gt;=INDEX('Программа тренировок'!$L$6:$L$25,$M1381)),"Верх диапазона: пора добавлять вес",IF($G1381&lt;INDEX('Программа тренировок'!$L$6:$L$25,$M1381),"RIR ниже цели","В диапазоне")))))</f>
        <v/>
      </c>
      <c r="M1381" s="23" t="str">
        <f aca="false">IF($C1381="","",IFERROR(MATCH($C1381,'Программа тренировок'!$C$6:$C$25,0),""))</f>
        <v/>
      </c>
    </row>
    <row r="1382" customFormat="false" ht="15" hidden="false" customHeight="true" outlineLevel="0" collapsed="false">
      <c r="A1382" s="20"/>
      <c r="B1382" s="21"/>
      <c r="C1382" s="19"/>
      <c r="D1382" s="18"/>
      <c r="E1382" s="17"/>
      <c r="F1382" s="18"/>
      <c r="G1382" s="18"/>
      <c r="H1382" s="21"/>
      <c r="I1382" s="19"/>
      <c r="J1382" s="8" t="str">
        <f aca="false">IF(OR(E1382="",F1382=""),"",E1382*F1382)</f>
        <v/>
      </c>
      <c r="K1382" s="22" t="str">
        <f aca="false">IF($M1382="","",INDEX('Программа тренировок'!$G$6:$G$25,$M1382))</f>
        <v/>
      </c>
      <c r="L1382" s="23" t="str">
        <f aca="false">IF(OR($M1382="",$F1382="",$G1382=""),"",IF($H1382="Разминка","Разминка",IF($F1382&lt;INDEX('Программа тренировок'!$E$6:$E$25,$M1382),"Ниже диапазона",IF(AND($F1382&gt;=INDEX('Программа тренировок'!$F$6:$F$25,$M1382),$G1382&gt;=INDEX('Программа тренировок'!$L$6:$L$25,$M1382)),"Верх диапазона: пора добавлять вес",IF($G1382&lt;INDEX('Программа тренировок'!$L$6:$L$25,$M1382),"RIR ниже цели","В диапазоне")))))</f>
        <v/>
      </c>
      <c r="M1382" s="23" t="str">
        <f aca="false">IF($C1382="","",IFERROR(MATCH($C1382,'Программа тренировок'!$C$6:$C$25,0),""))</f>
        <v/>
      </c>
    </row>
    <row r="1383" customFormat="false" ht="15" hidden="false" customHeight="true" outlineLevel="0" collapsed="false">
      <c r="A1383" s="20"/>
      <c r="B1383" s="21"/>
      <c r="C1383" s="19"/>
      <c r="D1383" s="18"/>
      <c r="E1383" s="17"/>
      <c r="F1383" s="18"/>
      <c r="G1383" s="18"/>
      <c r="H1383" s="21"/>
      <c r="I1383" s="19"/>
      <c r="J1383" s="8" t="str">
        <f aca="false">IF(OR(E1383="",F1383=""),"",E1383*F1383)</f>
        <v/>
      </c>
      <c r="K1383" s="22" t="str">
        <f aca="false">IF($M1383="","",INDEX('Программа тренировок'!$G$6:$G$25,$M1383))</f>
        <v/>
      </c>
      <c r="L1383" s="23" t="str">
        <f aca="false">IF(OR($M1383="",$F1383="",$G1383=""),"",IF($H1383="Разминка","Разминка",IF($F1383&lt;INDEX('Программа тренировок'!$E$6:$E$25,$M1383),"Ниже диапазона",IF(AND($F1383&gt;=INDEX('Программа тренировок'!$F$6:$F$25,$M1383),$G1383&gt;=INDEX('Программа тренировок'!$L$6:$L$25,$M1383)),"Верх диапазона: пора добавлять вес",IF($G1383&lt;INDEX('Программа тренировок'!$L$6:$L$25,$M1383),"RIR ниже цели","В диапазоне")))))</f>
        <v/>
      </c>
      <c r="M1383" s="23" t="str">
        <f aca="false">IF($C1383="","",IFERROR(MATCH($C1383,'Программа тренировок'!$C$6:$C$25,0),""))</f>
        <v/>
      </c>
    </row>
    <row r="1384" customFormat="false" ht="15" hidden="false" customHeight="true" outlineLevel="0" collapsed="false">
      <c r="A1384" s="20"/>
      <c r="B1384" s="21"/>
      <c r="C1384" s="19"/>
      <c r="D1384" s="18"/>
      <c r="E1384" s="17"/>
      <c r="F1384" s="18"/>
      <c r="G1384" s="18"/>
      <c r="H1384" s="21"/>
      <c r="I1384" s="19"/>
      <c r="J1384" s="8" t="str">
        <f aca="false">IF(OR(E1384="",F1384=""),"",E1384*F1384)</f>
        <v/>
      </c>
      <c r="K1384" s="22" t="str">
        <f aca="false">IF($M1384="","",INDEX('Программа тренировок'!$G$6:$G$25,$M1384))</f>
        <v/>
      </c>
      <c r="L1384" s="23" t="str">
        <f aca="false">IF(OR($M1384="",$F1384="",$G1384=""),"",IF($H1384="Разминка","Разминка",IF($F1384&lt;INDEX('Программа тренировок'!$E$6:$E$25,$M1384),"Ниже диапазона",IF(AND($F1384&gt;=INDEX('Программа тренировок'!$F$6:$F$25,$M1384),$G1384&gt;=INDEX('Программа тренировок'!$L$6:$L$25,$M1384)),"Верх диапазона: пора добавлять вес",IF($G1384&lt;INDEX('Программа тренировок'!$L$6:$L$25,$M1384),"RIR ниже цели","В диапазоне")))))</f>
        <v/>
      </c>
      <c r="M1384" s="23" t="str">
        <f aca="false">IF($C1384="","",IFERROR(MATCH($C1384,'Программа тренировок'!$C$6:$C$25,0),""))</f>
        <v/>
      </c>
    </row>
    <row r="1385" customFormat="false" ht="15" hidden="false" customHeight="true" outlineLevel="0" collapsed="false">
      <c r="A1385" s="20"/>
      <c r="B1385" s="21"/>
      <c r="C1385" s="19"/>
      <c r="D1385" s="18"/>
      <c r="E1385" s="17"/>
      <c r="F1385" s="18"/>
      <c r="G1385" s="18"/>
      <c r="H1385" s="21"/>
      <c r="I1385" s="19"/>
      <c r="J1385" s="8" t="str">
        <f aca="false">IF(OR(E1385="",F1385=""),"",E1385*F1385)</f>
        <v/>
      </c>
      <c r="K1385" s="22" t="str">
        <f aca="false">IF($M1385="","",INDEX('Программа тренировок'!$G$6:$G$25,$M1385))</f>
        <v/>
      </c>
      <c r="L1385" s="23" t="str">
        <f aca="false">IF(OR($M1385="",$F1385="",$G1385=""),"",IF($H1385="Разминка","Разминка",IF($F1385&lt;INDEX('Программа тренировок'!$E$6:$E$25,$M1385),"Ниже диапазона",IF(AND($F1385&gt;=INDEX('Программа тренировок'!$F$6:$F$25,$M1385),$G1385&gt;=INDEX('Программа тренировок'!$L$6:$L$25,$M1385)),"Верх диапазона: пора добавлять вес",IF($G1385&lt;INDEX('Программа тренировок'!$L$6:$L$25,$M1385),"RIR ниже цели","В диапазоне")))))</f>
        <v/>
      </c>
      <c r="M1385" s="23" t="str">
        <f aca="false">IF($C1385="","",IFERROR(MATCH($C1385,'Программа тренировок'!$C$6:$C$25,0),""))</f>
        <v/>
      </c>
    </row>
    <row r="1386" customFormat="false" ht="15" hidden="false" customHeight="true" outlineLevel="0" collapsed="false">
      <c r="A1386" s="20"/>
      <c r="B1386" s="21"/>
      <c r="C1386" s="19"/>
      <c r="D1386" s="18"/>
      <c r="E1386" s="17"/>
      <c r="F1386" s="18"/>
      <c r="G1386" s="18"/>
      <c r="H1386" s="21"/>
      <c r="I1386" s="19"/>
      <c r="J1386" s="8" t="str">
        <f aca="false">IF(OR(E1386="",F1386=""),"",E1386*F1386)</f>
        <v/>
      </c>
      <c r="K1386" s="22" t="str">
        <f aca="false">IF($M1386="","",INDEX('Программа тренировок'!$G$6:$G$25,$M1386))</f>
        <v/>
      </c>
      <c r="L1386" s="23" t="str">
        <f aca="false">IF(OR($M1386="",$F1386="",$G1386=""),"",IF($H1386="Разминка","Разминка",IF($F1386&lt;INDEX('Программа тренировок'!$E$6:$E$25,$M1386),"Ниже диапазона",IF(AND($F1386&gt;=INDEX('Программа тренировок'!$F$6:$F$25,$M1386),$G1386&gt;=INDEX('Программа тренировок'!$L$6:$L$25,$M1386)),"Верх диапазона: пора добавлять вес",IF($G1386&lt;INDEX('Программа тренировок'!$L$6:$L$25,$M1386),"RIR ниже цели","В диапазоне")))))</f>
        <v/>
      </c>
      <c r="M1386" s="23" t="str">
        <f aca="false">IF($C1386="","",IFERROR(MATCH($C1386,'Программа тренировок'!$C$6:$C$25,0),""))</f>
        <v/>
      </c>
    </row>
    <row r="1387" customFormat="false" ht="15" hidden="false" customHeight="true" outlineLevel="0" collapsed="false">
      <c r="A1387" s="20"/>
      <c r="B1387" s="21"/>
      <c r="C1387" s="19"/>
      <c r="D1387" s="18"/>
      <c r="E1387" s="17"/>
      <c r="F1387" s="18"/>
      <c r="G1387" s="18"/>
      <c r="H1387" s="21"/>
      <c r="I1387" s="19"/>
      <c r="J1387" s="8" t="str">
        <f aca="false">IF(OR(E1387="",F1387=""),"",E1387*F1387)</f>
        <v/>
      </c>
      <c r="K1387" s="22" t="str">
        <f aca="false">IF($M1387="","",INDEX('Программа тренировок'!$G$6:$G$25,$M1387))</f>
        <v/>
      </c>
      <c r="L1387" s="23" t="str">
        <f aca="false">IF(OR($M1387="",$F1387="",$G1387=""),"",IF($H1387="Разминка","Разминка",IF($F1387&lt;INDEX('Программа тренировок'!$E$6:$E$25,$M1387),"Ниже диапазона",IF(AND($F1387&gt;=INDEX('Программа тренировок'!$F$6:$F$25,$M1387),$G1387&gt;=INDEX('Программа тренировок'!$L$6:$L$25,$M1387)),"Верх диапазона: пора добавлять вес",IF($G1387&lt;INDEX('Программа тренировок'!$L$6:$L$25,$M1387),"RIR ниже цели","В диапазоне")))))</f>
        <v/>
      </c>
      <c r="M1387" s="23" t="str">
        <f aca="false">IF($C1387="","",IFERROR(MATCH($C1387,'Программа тренировок'!$C$6:$C$25,0),""))</f>
        <v/>
      </c>
    </row>
    <row r="1388" customFormat="false" ht="15" hidden="false" customHeight="true" outlineLevel="0" collapsed="false">
      <c r="A1388" s="20"/>
      <c r="B1388" s="21"/>
      <c r="C1388" s="19"/>
      <c r="D1388" s="18"/>
      <c r="E1388" s="17"/>
      <c r="F1388" s="18"/>
      <c r="G1388" s="18"/>
      <c r="H1388" s="21"/>
      <c r="I1388" s="19"/>
      <c r="J1388" s="8" t="str">
        <f aca="false">IF(OR(E1388="",F1388=""),"",E1388*F1388)</f>
        <v/>
      </c>
      <c r="K1388" s="22" t="str">
        <f aca="false">IF($M1388="","",INDEX('Программа тренировок'!$G$6:$G$25,$M1388))</f>
        <v/>
      </c>
      <c r="L1388" s="23" t="str">
        <f aca="false">IF(OR($M1388="",$F1388="",$G1388=""),"",IF($H1388="Разминка","Разминка",IF($F1388&lt;INDEX('Программа тренировок'!$E$6:$E$25,$M1388),"Ниже диапазона",IF(AND($F1388&gt;=INDEX('Программа тренировок'!$F$6:$F$25,$M1388),$G1388&gt;=INDEX('Программа тренировок'!$L$6:$L$25,$M1388)),"Верх диапазона: пора добавлять вес",IF($G1388&lt;INDEX('Программа тренировок'!$L$6:$L$25,$M1388),"RIR ниже цели","В диапазоне")))))</f>
        <v/>
      </c>
      <c r="M1388" s="23" t="str">
        <f aca="false">IF($C1388="","",IFERROR(MATCH($C1388,'Программа тренировок'!$C$6:$C$25,0),""))</f>
        <v/>
      </c>
    </row>
    <row r="1389" customFormat="false" ht="15" hidden="false" customHeight="true" outlineLevel="0" collapsed="false">
      <c r="A1389" s="20"/>
      <c r="B1389" s="21"/>
      <c r="C1389" s="19"/>
      <c r="D1389" s="18"/>
      <c r="E1389" s="17"/>
      <c r="F1389" s="18"/>
      <c r="G1389" s="18"/>
      <c r="H1389" s="21"/>
      <c r="I1389" s="19"/>
      <c r="J1389" s="8" t="str">
        <f aca="false">IF(OR(E1389="",F1389=""),"",E1389*F1389)</f>
        <v/>
      </c>
      <c r="K1389" s="22" t="str">
        <f aca="false">IF($M1389="","",INDEX('Программа тренировок'!$G$6:$G$25,$M1389))</f>
        <v/>
      </c>
      <c r="L1389" s="23" t="str">
        <f aca="false">IF(OR($M1389="",$F1389="",$G1389=""),"",IF($H1389="Разминка","Разминка",IF($F1389&lt;INDEX('Программа тренировок'!$E$6:$E$25,$M1389),"Ниже диапазона",IF(AND($F1389&gt;=INDEX('Программа тренировок'!$F$6:$F$25,$M1389),$G1389&gt;=INDEX('Программа тренировок'!$L$6:$L$25,$M1389)),"Верх диапазона: пора добавлять вес",IF($G1389&lt;INDEX('Программа тренировок'!$L$6:$L$25,$M1389),"RIR ниже цели","В диапазоне")))))</f>
        <v/>
      </c>
      <c r="M1389" s="23" t="str">
        <f aca="false">IF($C1389="","",IFERROR(MATCH($C1389,'Программа тренировок'!$C$6:$C$25,0),""))</f>
        <v/>
      </c>
    </row>
    <row r="1390" customFormat="false" ht="15" hidden="false" customHeight="true" outlineLevel="0" collapsed="false">
      <c r="A1390" s="20"/>
      <c r="B1390" s="21"/>
      <c r="C1390" s="19"/>
      <c r="D1390" s="18"/>
      <c r="E1390" s="17"/>
      <c r="F1390" s="18"/>
      <c r="G1390" s="18"/>
      <c r="H1390" s="21"/>
      <c r="I1390" s="19"/>
      <c r="J1390" s="8" t="str">
        <f aca="false">IF(OR(E1390="",F1390=""),"",E1390*F1390)</f>
        <v/>
      </c>
      <c r="K1390" s="22" t="str">
        <f aca="false">IF($M1390="","",INDEX('Программа тренировок'!$G$6:$G$25,$M1390))</f>
        <v/>
      </c>
      <c r="L1390" s="23" t="str">
        <f aca="false">IF(OR($M1390="",$F1390="",$G1390=""),"",IF($H1390="Разминка","Разминка",IF($F1390&lt;INDEX('Программа тренировок'!$E$6:$E$25,$M1390),"Ниже диапазона",IF(AND($F1390&gt;=INDEX('Программа тренировок'!$F$6:$F$25,$M1390),$G1390&gt;=INDEX('Программа тренировок'!$L$6:$L$25,$M1390)),"Верх диапазона: пора добавлять вес",IF($G1390&lt;INDEX('Программа тренировок'!$L$6:$L$25,$M1390),"RIR ниже цели","В диапазоне")))))</f>
        <v/>
      </c>
      <c r="M1390" s="23" t="str">
        <f aca="false">IF($C1390="","",IFERROR(MATCH($C1390,'Программа тренировок'!$C$6:$C$25,0),""))</f>
        <v/>
      </c>
    </row>
    <row r="1391" customFormat="false" ht="15" hidden="false" customHeight="true" outlineLevel="0" collapsed="false">
      <c r="A1391" s="20"/>
      <c r="B1391" s="21"/>
      <c r="C1391" s="19"/>
      <c r="D1391" s="18"/>
      <c r="E1391" s="17"/>
      <c r="F1391" s="18"/>
      <c r="G1391" s="18"/>
      <c r="H1391" s="21"/>
      <c r="I1391" s="19"/>
      <c r="J1391" s="8" t="str">
        <f aca="false">IF(OR(E1391="",F1391=""),"",E1391*F1391)</f>
        <v/>
      </c>
      <c r="K1391" s="22" t="str">
        <f aca="false">IF($M1391="","",INDEX('Программа тренировок'!$G$6:$G$25,$M1391))</f>
        <v/>
      </c>
      <c r="L1391" s="23" t="str">
        <f aca="false">IF(OR($M1391="",$F1391="",$G1391=""),"",IF($H1391="Разминка","Разминка",IF($F1391&lt;INDEX('Программа тренировок'!$E$6:$E$25,$M1391),"Ниже диапазона",IF(AND($F1391&gt;=INDEX('Программа тренировок'!$F$6:$F$25,$M1391),$G1391&gt;=INDEX('Программа тренировок'!$L$6:$L$25,$M1391)),"Верх диапазона: пора добавлять вес",IF($G1391&lt;INDEX('Программа тренировок'!$L$6:$L$25,$M1391),"RIR ниже цели","В диапазоне")))))</f>
        <v/>
      </c>
      <c r="M1391" s="23" t="str">
        <f aca="false">IF($C1391="","",IFERROR(MATCH($C1391,'Программа тренировок'!$C$6:$C$25,0),""))</f>
        <v/>
      </c>
    </row>
    <row r="1392" customFormat="false" ht="15" hidden="false" customHeight="true" outlineLevel="0" collapsed="false">
      <c r="A1392" s="20"/>
      <c r="B1392" s="21"/>
      <c r="C1392" s="19"/>
      <c r="D1392" s="18"/>
      <c r="E1392" s="17"/>
      <c r="F1392" s="18"/>
      <c r="G1392" s="18"/>
      <c r="H1392" s="21"/>
      <c r="I1392" s="19"/>
      <c r="J1392" s="8" t="str">
        <f aca="false">IF(OR(E1392="",F1392=""),"",E1392*F1392)</f>
        <v/>
      </c>
      <c r="K1392" s="22" t="str">
        <f aca="false">IF($M1392="","",INDEX('Программа тренировок'!$G$6:$G$25,$M1392))</f>
        <v/>
      </c>
      <c r="L1392" s="23" t="str">
        <f aca="false">IF(OR($M1392="",$F1392="",$G1392=""),"",IF($H1392="Разминка","Разминка",IF($F1392&lt;INDEX('Программа тренировок'!$E$6:$E$25,$M1392),"Ниже диапазона",IF(AND($F1392&gt;=INDEX('Программа тренировок'!$F$6:$F$25,$M1392),$G1392&gt;=INDEX('Программа тренировок'!$L$6:$L$25,$M1392)),"Верх диапазона: пора добавлять вес",IF($G1392&lt;INDEX('Программа тренировок'!$L$6:$L$25,$M1392),"RIR ниже цели","В диапазоне")))))</f>
        <v/>
      </c>
      <c r="M1392" s="23" t="str">
        <f aca="false">IF($C1392="","",IFERROR(MATCH($C1392,'Программа тренировок'!$C$6:$C$25,0),""))</f>
        <v/>
      </c>
    </row>
    <row r="1393" customFormat="false" ht="15" hidden="false" customHeight="true" outlineLevel="0" collapsed="false">
      <c r="A1393" s="20"/>
      <c r="B1393" s="21"/>
      <c r="C1393" s="19"/>
      <c r="D1393" s="18"/>
      <c r="E1393" s="17"/>
      <c r="F1393" s="18"/>
      <c r="G1393" s="18"/>
      <c r="H1393" s="21"/>
      <c r="I1393" s="19"/>
      <c r="J1393" s="8" t="str">
        <f aca="false">IF(OR(E1393="",F1393=""),"",E1393*F1393)</f>
        <v/>
      </c>
      <c r="K1393" s="22" t="str">
        <f aca="false">IF($M1393="","",INDEX('Программа тренировок'!$G$6:$G$25,$M1393))</f>
        <v/>
      </c>
      <c r="L1393" s="23" t="str">
        <f aca="false">IF(OR($M1393="",$F1393="",$G1393=""),"",IF($H1393="Разминка","Разминка",IF($F1393&lt;INDEX('Программа тренировок'!$E$6:$E$25,$M1393),"Ниже диапазона",IF(AND($F1393&gt;=INDEX('Программа тренировок'!$F$6:$F$25,$M1393),$G1393&gt;=INDEX('Программа тренировок'!$L$6:$L$25,$M1393)),"Верх диапазона: пора добавлять вес",IF($G1393&lt;INDEX('Программа тренировок'!$L$6:$L$25,$M1393),"RIR ниже цели","В диапазоне")))))</f>
        <v/>
      </c>
      <c r="M1393" s="23" t="str">
        <f aca="false">IF($C1393="","",IFERROR(MATCH($C1393,'Программа тренировок'!$C$6:$C$25,0),""))</f>
        <v/>
      </c>
    </row>
    <row r="1394" customFormat="false" ht="15" hidden="false" customHeight="true" outlineLevel="0" collapsed="false">
      <c r="A1394" s="20"/>
      <c r="B1394" s="21"/>
      <c r="C1394" s="19"/>
      <c r="D1394" s="18"/>
      <c r="E1394" s="17"/>
      <c r="F1394" s="18"/>
      <c r="G1394" s="18"/>
      <c r="H1394" s="21"/>
      <c r="I1394" s="19"/>
      <c r="J1394" s="8" t="str">
        <f aca="false">IF(OR(E1394="",F1394=""),"",E1394*F1394)</f>
        <v/>
      </c>
      <c r="K1394" s="22" t="str">
        <f aca="false">IF($M1394="","",INDEX('Программа тренировок'!$G$6:$G$25,$M1394))</f>
        <v/>
      </c>
      <c r="L1394" s="23" t="str">
        <f aca="false">IF(OR($M1394="",$F1394="",$G1394=""),"",IF($H1394="Разминка","Разминка",IF($F1394&lt;INDEX('Программа тренировок'!$E$6:$E$25,$M1394),"Ниже диапазона",IF(AND($F1394&gt;=INDEX('Программа тренировок'!$F$6:$F$25,$M1394),$G1394&gt;=INDEX('Программа тренировок'!$L$6:$L$25,$M1394)),"Верх диапазона: пора добавлять вес",IF($G1394&lt;INDEX('Программа тренировок'!$L$6:$L$25,$M1394),"RIR ниже цели","В диапазоне")))))</f>
        <v/>
      </c>
      <c r="M1394" s="23" t="str">
        <f aca="false">IF($C1394="","",IFERROR(MATCH($C1394,'Программа тренировок'!$C$6:$C$25,0),""))</f>
        <v/>
      </c>
    </row>
    <row r="1395" customFormat="false" ht="15" hidden="false" customHeight="true" outlineLevel="0" collapsed="false">
      <c r="A1395" s="20"/>
      <c r="B1395" s="21"/>
      <c r="C1395" s="19"/>
      <c r="D1395" s="18"/>
      <c r="E1395" s="17"/>
      <c r="F1395" s="18"/>
      <c r="G1395" s="18"/>
      <c r="H1395" s="21"/>
      <c r="I1395" s="19"/>
      <c r="J1395" s="8" t="str">
        <f aca="false">IF(OR(E1395="",F1395=""),"",E1395*F1395)</f>
        <v/>
      </c>
      <c r="K1395" s="22" t="str">
        <f aca="false">IF($M1395="","",INDEX('Программа тренировок'!$G$6:$G$25,$M1395))</f>
        <v/>
      </c>
      <c r="L1395" s="23" t="str">
        <f aca="false">IF(OR($M1395="",$F1395="",$G1395=""),"",IF($H1395="Разминка","Разминка",IF($F1395&lt;INDEX('Программа тренировок'!$E$6:$E$25,$M1395),"Ниже диапазона",IF(AND($F1395&gt;=INDEX('Программа тренировок'!$F$6:$F$25,$M1395),$G1395&gt;=INDEX('Программа тренировок'!$L$6:$L$25,$M1395)),"Верх диапазона: пора добавлять вес",IF($G1395&lt;INDEX('Программа тренировок'!$L$6:$L$25,$M1395),"RIR ниже цели","В диапазоне")))))</f>
        <v/>
      </c>
      <c r="M1395" s="23" t="str">
        <f aca="false">IF($C1395="","",IFERROR(MATCH($C1395,'Программа тренировок'!$C$6:$C$25,0),""))</f>
        <v/>
      </c>
    </row>
    <row r="1396" customFormat="false" ht="15" hidden="false" customHeight="true" outlineLevel="0" collapsed="false">
      <c r="A1396" s="20"/>
      <c r="B1396" s="21"/>
      <c r="C1396" s="19"/>
      <c r="D1396" s="18"/>
      <c r="E1396" s="17"/>
      <c r="F1396" s="18"/>
      <c r="G1396" s="18"/>
      <c r="H1396" s="21"/>
      <c r="I1396" s="19"/>
      <c r="J1396" s="8" t="str">
        <f aca="false">IF(OR(E1396="",F1396=""),"",E1396*F1396)</f>
        <v/>
      </c>
      <c r="K1396" s="22" t="str">
        <f aca="false">IF($M1396="","",INDEX('Программа тренировок'!$G$6:$G$25,$M1396))</f>
        <v/>
      </c>
      <c r="L1396" s="23" t="str">
        <f aca="false">IF(OR($M1396="",$F1396="",$G1396=""),"",IF($H1396="Разминка","Разминка",IF($F1396&lt;INDEX('Программа тренировок'!$E$6:$E$25,$M1396),"Ниже диапазона",IF(AND($F1396&gt;=INDEX('Программа тренировок'!$F$6:$F$25,$M1396),$G1396&gt;=INDEX('Программа тренировок'!$L$6:$L$25,$M1396)),"Верх диапазона: пора добавлять вес",IF($G1396&lt;INDEX('Программа тренировок'!$L$6:$L$25,$M1396),"RIR ниже цели","В диапазоне")))))</f>
        <v/>
      </c>
      <c r="M1396" s="23" t="str">
        <f aca="false">IF($C1396="","",IFERROR(MATCH($C1396,'Программа тренировок'!$C$6:$C$25,0),""))</f>
        <v/>
      </c>
    </row>
    <row r="1397" customFormat="false" ht="15" hidden="false" customHeight="true" outlineLevel="0" collapsed="false">
      <c r="A1397" s="20"/>
      <c r="B1397" s="21"/>
      <c r="C1397" s="19"/>
      <c r="D1397" s="18"/>
      <c r="E1397" s="17"/>
      <c r="F1397" s="18"/>
      <c r="G1397" s="18"/>
      <c r="H1397" s="21"/>
      <c r="I1397" s="19"/>
      <c r="J1397" s="8" t="str">
        <f aca="false">IF(OR(E1397="",F1397=""),"",E1397*F1397)</f>
        <v/>
      </c>
      <c r="K1397" s="22" t="str">
        <f aca="false">IF($M1397="","",INDEX('Программа тренировок'!$G$6:$G$25,$M1397))</f>
        <v/>
      </c>
      <c r="L1397" s="23" t="str">
        <f aca="false">IF(OR($M1397="",$F1397="",$G1397=""),"",IF($H1397="Разминка","Разминка",IF($F1397&lt;INDEX('Программа тренировок'!$E$6:$E$25,$M1397),"Ниже диапазона",IF(AND($F1397&gt;=INDEX('Программа тренировок'!$F$6:$F$25,$M1397),$G1397&gt;=INDEX('Программа тренировок'!$L$6:$L$25,$M1397)),"Верх диапазона: пора добавлять вес",IF($G1397&lt;INDEX('Программа тренировок'!$L$6:$L$25,$M1397),"RIR ниже цели","В диапазоне")))))</f>
        <v/>
      </c>
      <c r="M1397" s="23" t="str">
        <f aca="false">IF($C1397="","",IFERROR(MATCH($C1397,'Программа тренировок'!$C$6:$C$25,0),""))</f>
        <v/>
      </c>
    </row>
    <row r="1398" customFormat="false" ht="15" hidden="false" customHeight="true" outlineLevel="0" collapsed="false">
      <c r="A1398" s="20"/>
      <c r="B1398" s="21"/>
      <c r="C1398" s="19"/>
      <c r="D1398" s="18"/>
      <c r="E1398" s="17"/>
      <c r="F1398" s="18"/>
      <c r="G1398" s="18"/>
      <c r="H1398" s="21"/>
      <c r="I1398" s="19"/>
      <c r="J1398" s="8" t="str">
        <f aca="false">IF(OR(E1398="",F1398=""),"",E1398*F1398)</f>
        <v/>
      </c>
      <c r="K1398" s="22" t="str">
        <f aca="false">IF($M1398="","",INDEX('Программа тренировок'!$G$6:$G$25,$M1398))</f>
        <v/>
      </c>
      <c r="L1398" s="23" t="str">
        <f aca="false">IF(OR($M1398="",$F1398="",$G1398=""),"",IF($H1398="Разминка","Разминка",IF($F1398&lt;INDEX('Программа тренировок'!$E$6:$E$25,$M1398),"Ниже диапазона",IF(AND($F1398&gt;=INDEX('Программа тренировок'!$F$6:$F$25,$M1398),$G1398&gt;=INDEX('Программа тренировок'!$L$6:$L$25,$M1398)),"Верх диапазона: пора добавлять вес",IF($G1398&lt;INDEX('Программа тренировок'!$L$6:$L$25,$M1398),"RIR ниже цели","В диапазоне")))))</f>
        <v/>
      </c>
      <c r="M1398" s="23" t="str">
        <f aca="false">IF($C1398="","",IFERROR(MATCH($C1398,'Программа тренировок'!$C$6:$C$25,0),""))</f>
        <v/>
      </c>
    </row>
    <row r="1399" customFormat="false" ht="15" hidden="false" customHeight="true" outlineLevel="0" collapsed="false">
      <c r="A1399" s="20"/>
      <c r="B1399" s="21"/>
      <c r="C1399" s="19"/>
      <c r="D1399" s="18"/>
      <c r="E1399" s="17"/>
      <c r="F1399" s="18"/>
      <c r="G1399" s="18"/>
      <c r="H1399" s="21"/>
      <c r="I1399" s="19"/>
      <c r="J1399" s="8" t="str">
        <f aca="false">IF(OR(E1399="",F1399=""),"",E1399*F1399)</f>
        <v/>
      </c>
      <c r="K1399" s="22" t="str">
        <f aca="false">IF($M1399="","",INDEX('Программа тренировок'!$G$6:$G$25,$M1399))</f>
        <v/>
      </c>
      <c r="L1399" s="23" t="str">
        <f aca="false">IF(OR($M1399="",$F1399="",$G1399=""),"",IF($H1399="Разминка","Разминка",IF($F1399&lt;INDEX('Программа тренировок'!$E$6:$E$25,$M1399),"Ниже диапазона",IF(AND($F1399&gt;=INDEX('Программа тренировок'!$F$6:$F$25,$M1399),$G1399&gt;=INDEX('Программа тренировок'!$L$6:$L$25,$M1399)),"Верх диапазона: пора добавлять вес",IF($G1399&lt;INDEX('Программа тренировок'!$L$6:$L$25,$M1399),"RIR ниже цели","В диапазоне")))))</f>
        <v/>
      </c>
      <c r="M1399" s="23" t="str">
        <f aca="false">IF($C1399="","",IFERROR(MATCH($C1399,'Программа тренировок'!$C$6:$C$25,0),""))</f>
        <v/>
      </c>
    </row>
    <row r="1400" customFormat="false" ht="15" hidden="false" customHeight="true" outlineLevel="0" collapsed="false">
      <c r="A1400" s="20"/>
      <c r="B1400" s="21"/>
      <c r="C1400" s="19"/>
      <c r="D1400" s="18"/>
      <c r="E1400" s="17"/>
      <c r="F1400" s="18"/>
      <c r="G1400" s="18"/>
      <c r="H1400" s="21"/>
      <c r="I1400" s="19"/>
      <c r="J1400" s="8" t="str">
        <f aca="false">IF(OR(E1400="",F1400=""),"",E1400*F1400)</f>
        <v/>
      </c>
      <c r="K1400" s="22" t="str">
        <f aca="false">IF($M1400="","",INDEX('Программа тренировок'!$G$6:$G$25,$M1400))</f>
        <v/>
      </c>
      <c r="L1400" s="23" t="str">
        <f aca="false">IF(OR($M1400="",$F1400="",$G1400=""),"",IF($H1400="Разминка","Разминка",IF($F1400&lt;INDEX('Программа тренировок'!$E$6:$E$25,$M1400),"Ниже диапазона",IF(AND($F1400&gt;=INDEX('Программа тренировок'!$F$6:$F$25,$M1400),$G1400&gt;=INDEX('Программа тренировок'!$L$6:$L$25,$M1400)),"Верх диапазона: пора добавлять вес",IF($G1400&lt;INDEX('Программа тренировок'!$L$6:$L$25,$M1400),"RIR ниже цели","В диапазоне")))))</f>
        <v/>
      </c>
      <c r="M1400" s="23" t="str">
        <f aca="false">IF($C1400="","",IFERROR(MATCH($C1400,'Программа тренировок'!$C$6:$C$25,0),""))</f>
        <v/>
      </c>
    </row>
    <row r="1401" customFormat="false" ht="15" hidden="false" customHeight="true" outlineLevel="0" collapsed="false">
      <c r="A1401" s="20"/>
      <c r="B1401" s="21"/>
      <c r="C1401" s="19"/>
      <c r="D1401" s="18"/>
      <c r="E1401" s="17"/>
      <c r="F1401" s="18"/>
      <c r="G1401" s="18"/>
      <c r="H1401" s="21"/>
      <c r="I1401" s="19"/>
      <c r="J1401" s="8" t="str">
        <f aca="false">IF(OR(E1401="",F1401=""),"",E1401*F1401)</f>
        <v/>
      </c>
      <c r="K1401" s="22" t="str">
        <f aca="false">IF($M1401="","",INDEX('Программа тренировок'!$G$6:$G$25,$M1401))</f>
        <v/>
      </c>
      <c r="L1401" s="23" t="str">
        <f aca="false">IF(OR($M1401="",$F1401="",$G1401=""),"",IF($H1401="Разминка","Разминка",IF($F1401&lt;INDEX('Программа тренировок'!$E$6:$E$25,$M1401),"Ниже диапазона",IF(AND($F1401&gt;=INDEX('Программа тренировок'!$F$6:$F$25,$M1401),$G1401&gt;=INDEX('Программа тренировок'!$L$6:$L$25,$M1401)),"Верх диапазона: пора добавлять вес",IF($G1401&lt;INDEX('Программа тренировок'!$L$6:$L$25,$M1401),"RIR ниже цели","В диапазоне")))))</f>
        <v/>
      </c>
      <c r="M1401" s="23" t="str">
        <f aca="false">IF($C1401="","",IFERROR(MATCH($C1401,'Программа тренировок'!$C$6:$C$25,0),""))</f>
        <v/>
      </c>
    </row>
    <row r="1402" customFormat="false" ht="15" hidden="false" customHeight="true" outlineLevel="0" collapsed="false">
      <c r="A1402" s="20"/>
      <c r="B1402" s="21"/>
      <c r="C1402" s="19"/>
      <c r="D1402" s="18"/>
      <c r="E1402" s="17"/>
      <c r="F1402" s="18"/>
      <c r="G1402" s="18"/>
      <c r="H1402" s="21"/>
      <c r="I1402" s="19"/>
      <c r="J1402" s="8" t="str">
        <f aca="false">IF(OR(E1402="",F1402=""),"",E1402*F1402)</f>
        <v/>
      </c>
      <c r="K1402" s="22" t="str">
        <f aca="false">IF($M1402="","",INDEX('Программа тренировок'!$G$6:$G$25,$M1402))</f>
        <v/>
      </c>
      <c r="L1402" s="23" t="str">
        <f aca="false">IF(OR($M1402="",$F1402="",$G1402=""),"",IF($H1402="Разминка","Разминка",IF($F1402&lt;INDEX('Программа тренировок'!$E$6:$E$25,$M1402),"Ниже диапазона",IF(AND($F1402&gt;=INDEX('Программа тренировок'!$F$6:$F$25,$M1402),$G1402&gt;=INDEX('Программа тренировок'!$L$6:$L$25,$M1402)),"Верх диапазона: пора добавлять вес",IF($G1402&lt;INDEX('Программа тренировок'!$L$6:$L$25,$M1402),"RIR ниже цели","В диапазоне")))))</f>
        <v/>
      </c>
      <c r="M1402" s="23" t="str">
        <f aca="false">IF($C1402="","",IFERROR(MATCH($C1402,'Программа тренировок'!$C$6:$C$25,0),""))</f>
        <v/>
      </c>
    </row>
    <row r="1403" customFormat="false" ht="15" hidden="false" customHeight="true" outlineLevel="0" collapsed="false">
      <c r="A1403" s="20"/>
      <c r="B1403" s="21"/>
      <c r="C1403" s="19"/>
      <c r="D1403" s="18"/>
      <c r="E1403" s="17"/>
      <c r="F1403" s="18"/>
      <c r="G1403" s="18"/>
      <c r="H1403" s="21"/>
      <c r="I1403" s="19"/>
      <c r="J1403" s="8" t="str">
        <f aca="false">IF(OR(E1403="",F1403=""),"",E1403*F1403)</f>
        <v/>
      </c>
      <c r="K1403" s="22" t="str">
        <f aca="false">IF($M1403="","",INDEX('Программа тренировок'!$G$6:$G$25,$M1403))</f>
        <v/>
      </c>
      <c r="L1403" s="23" t="str">
        <f aca="false">IF(OR($M1403="",$F1403="",$G1403=""),"",IF($H1403="Разминка","Разминка",IF($F1403&lt;INDEX('Программа тренировок'!$E$6:$E$25,$M1403),"Ниже диапазона",IF(AND($F1403&gt;=INDEX('Программа тренировок'!$F$6:$F$25,$M1403),$G1403&gt;=INDEX('Программа тренировок'!$L$6:$L$25,$M1403)),"Верх диапазона: пора добавлять вес",IF($G1403&lt;INDEX('Программа тренировок'!$L$6:$L$25,$M1403),"RIR ниже цели","В диапазоне")))))</f>
        <v/>
      </c>
      <c r="M1403" s="23" t="str">
        <f aca="false">IF($C1403="","",IFERROR(MATCH($C1403,'Программа тренировок'!$C$6:$C$25,0),""))</f>
        <v/>
      </c>
    </row>
    <row r="1404" customFormat="false" ht="15" hidden="false" customHeight="true" outlineLevel="0" collapsed="false">
      <c r="A1404" s="20"/>
      <c r="B1404" s="21"/>
      <c r="C1404" s="19"/>
      <c r="D1404" s="18"/>
      <c r="E1404" s="17"/>
      <c r="F1404" s="18"/>
      <c r="G1404" s="18"/>
      <c r="H1404" s="21"/>
      <c r="I1404" s="19"/>
      <c r="J1404" s="8" t="str">
        <f aca="false">IF(OR(E1404="",F1404=""),"",E1404*F1404)</f>
        <v/>
      </c>
      <c r="K1404" s="22" t="str">
        <f aca="false">IF($M1404="","",INDEX('Программа тренировок'!$G$6:$G$25,$M1404))</f>
        <v/>
      </c>
      <c r="L1404" s="23" t="str">
        <f aca="false">IF(OR($M1404="",$F1404="",$G1404=""),"",IF($H1404="Разминка","Разминка",IF($F1404&lt;INDEX('Программа тренировок'!$E$6:$E$25,$M1404),"Ниже диапазона",IF(AND($F1404&gt;=INDEX('Программа тренировок'!$F$6:$F$25,$M1404),$G1404&gt;=INDEX('Программа тренировок'!$L$6:$L$25,$M1404)),"Верх диапазона: пора добавлять вес",IF($G1404&lt;INDEX('Программа тренировок'!$L$6:$L$25,$M1404),"RIR ниже цели","В диапазоне")))))</f>
        <v/>
      </c>
      <c r="M1404" s="23" t="str">
        <f aca="false">IF($C1404="","",IFERROR(MATCH($C1404,'Программа тренировок'!$C$6:$C$25,0),""))</f>
        <v/>
      </c>
    </row>
    <row r="1405" customFormat="false" ht="15" hidden="false" customHeight="true" outlineLevel="0" collapsed="false">
      <c r="A1405" s="20"/>
      <c r="B1405" s="21"/>
      <c r="C1405" s="19"/>
      <c r="D1405" s="18"/>
      <c r="E1405" s="17"/>
      <c r="F1405" s="18"/>
      <c r="G1405" s="18"/>
      <c r="H1405" s="21"/>
      <c r="I1405" s="19"/>
      <c r="J1405" s="8" t="str">
        <f aca="false">IF(OR(E1405="",F1405=""),"",E1405*F1405)</f>
        <v/>
      </c>
      <c r="K1405" s="22" t="str">
        <f aca="false">IF($M1405="","",INDEX('Программа тренировок'!$G$6:$G$25,$M1405))</f>
        <v/>
      </c>
      <c r="L1405" s="23" t="str">
        <f aca="false">IF(OR($M1405="",$F1405="",$G1405=""),"",IF($H1405="Разминка","Разминка",IF($F1405&lt;INDEX('Программа тренировок'!$E$6:$E$25,$M1405),"Ниже диапазона",IF(AND($F1405&gt;=INDEX('Программа тренировок'!$F$6:$F$25,$M1405),$G1405&gt;=INDEX('Программа тренировок'!$L$6:$L$25,$M1405)),"Верх диапазона: пора добавлять вес",IF($G1405&lt;INDEX('Программа тренировок'!$L$6:$L$25,$M1405),"RIR ниже цели","В диапазоне")))))</f>
        <v/>
      </c>
      <c r="M1405" s="23" t="str">
        <f aca="false">IF($C1405="","",IFERROR(MATCH($C1405,'Программа тренировок'!$C$6:$C$25,0),""))</f>
        <v/>
      </c>
    </row>
    <row r="1406" customFormat="false" ht="15" hidden="false" customHeight="true" outlineLevel="0" collapsed="false">
      <c r="A1406" s="20"/>
      <c r="B1406" s="21"/>
      <c r="C1406" s="19"/>
      <c r="D1406" s="18"/>
      <c r="E1406" s="17"/>
      <c r="F1406" s="18"/>
      <c r="G1406" s="18"/>
      <c r="H1406" s="21"/>
      <c r="I1406" s="19"/>
      <c r="J1406" s="8" t="str">
        <f aca="false">IF(OR(E1406="",F1406=""),"",E1406*F1406)</f>
        <v/>
      </c>
      <c r="K1406" s="22" t="str">
        <f aca="false">IF($M1406="","",INDEX('Программа тренировок'!$G$6:$G$25,$M1406))</f>
        <v/>
      </c>
      <c r="L1406" s="23" t="str">
        <f aca="false">IF(OR($M1406="",$F1406="",$G1406=""),"",IF($H1406="Разминка","Разминка",IF($F1406&lt;INDEX('Программа тренировок'!$E$6:$E$25,$M1406),"Ниже диапазона",IF(AND($F1406&gt;=INDEX('Программа тренировок'!$F$6:$F$25,$M1406),$G1406&gt;=INDEX('Программа тренировок'!$L$6:$L$25,$M1406)),"Верх диапазона: пора добавлять вес",IF($G1406&lt;INDEX('Программа тренировок'!$L$6:$L$25,$M1406),"RIR ниже цели","В диапазоне")))))</f>
        <v/>
      </c>
      <c r="M1406" s="23" t="str">
        <f aca="false">IF($C1406="","",IFERROR(MATCH($C1406,'Программа тренировок'!$C$6:$C$25,0),""))</f>
        <v/>
      </c>
    </row>
    <row r="1407" customFormat="false" ht="15" hidden="false" customHeight="true" outlineLevel="0" collapsed="false">
      <c r="A1407" s="20"/>
      <c r="B1407" s="21"/>
      <c r="C1407" s="19"/>
      <c r="D1407" s="18"/>
      <c r="E1407" s="17"/>
      <c r="F1407" s="18"/>
      <c r="G1407" s="18"/>
      <c r="H1407" s="21"/>
      <c r="I1407" s="19"/>
      <c r="J1407" s="8" t="str">
        <f aca="false">IF(OR(E1407="",F1407=""),"",E1407*F1407)</f>
        <v/>
      </c>
      <c r="K1407" s="22" t="str">
        <f aca="false">IF($M1407="","",INDEX('Программа тренировок'!$G$6:$G$25,$M1407))</f>
        <v/>
      </c>
      <c r="L1407" s="23" t="str">
        <f aca="false">IF(OR($M1407="",$F1407="",$G1407=""),"",IF($H1407="Разминка","Разминка",IF($F1407&lt;INDEX('Программа тренировок'!$E$6:$E$25,$M1407),"Ниже диапазона",IF(AND($F1407&gt;=INDEX('Программа тренировок'!$F$6:$F$25,$M1407),$G1407&gt;=INDEX('Программа тренировок'!$L$6:$L$25,$M1407)),"Верх диапазона: пора добавлять вес",IF($G1407&lt;INDEX('Программа тренировок'!$L$6:$L$25,$M1407),"RIR ниже цели","В диапазоне")))))</f>
        <v/>
      </c>
      <c r="M1407" s="23" t="str">
        <f aca="false">IF($C1407="","",IFERROR(MATCH($C1407,'Программа тренировок'!$C$6:$C$25,0),""))</f>
        <v/>
      </c>
    </row>
    <row r="1408" customFormat="false" ht="15" hidden="false" customHeight="true" outlineLevel="0" collapsed="false">
      <c r="A1408" s="20"/>
      <c r="B1408" s="21"/>
      <c r="C1408" s="19"/>
      <c r="D1408" s="18"/>
      <c r="E1408" s="17"/>
      <c r="F1408" s="18"/>
      <c r="G1408" s="18"/>
      <c r="H1408" s="21"/>
      <c r="I1408" s="19"/>
      <c r="J1408" s="8" t="str">
        <f aca="false">IF(OR(E1408="",F1408=""),"",E1408*F1408)</f>
        <v/>
      </c>
      <c r="K1408" s="22" t="str">
        <f aca="false">IF($M1408="","",INDEX('Программа тренировок'!$G$6:$G$25,$M1408))</f>
        <v/>
      </c>
      <c r="L1408" s="23" t="str">
        <f aca="false">IF(OR($M1408="",$F1408="",$G1408=""),"",IF($H1408="Разминка","Разминка",IF($F1408&lt;INDEX('Программа тренировок'!$E$6:$E$25,$M1408),"Ниже диапазона",IF(AND($F1408&gt;=INDEX('Программа тренировок'!$F$6:$F$25,$M1408),$G1408&gt;=INDEX('Программа тренировок'!$L$6:$L$25,$M1408)),"Верх диапазона: пора добавлять вес",IF($G1408&lt;INDEX('Программа тренировок'!$L$6:$L$25,$M1408),"RIR ниже цели","В диапазоне")))))</f>
        <v/>
      </c>
      <c r="M1408" s="23" t="str">
        <f aca="false">IF($C1408="","",IFERROR(MATCH($C1408,'Программа тренировок'!$C$6:$C$25,0),""))</f>
        <v/>
      </c>
    </row>
    <row r="1409" customFormat="false" ht="15" hidden="false" customHeight="true" outlineLevel="0" collapsed="false">
      <c r="A1409" s="20"/>
      <c r="B1409" s="21"/>
      <c r="C1409" s="19"/>
      <c r="D1409" s="18"/>
      <c r="E1409" s="17"/>
      <c r="F1409" s="18"/>
      <c r="G1409" s="18"/>
      <c r="H1409" s="21"/>
      <c r="I1409" s="19"/>
      <c r="J1409" s="8" t="str">
        <f aca="false">IF(OR(E1409="",F1409=""),"",E1409*F1409)</f>
        <v/>
      </c>
      <c r="K1409" s="22" t="str">
        <f aca="false">IF($M1409="","",INDEX('Программа тренировок'!$G$6:$G$25,$M1409))</f>
        <v/>
      </c>
      <c r="L1409" s="23" t="str">
        <f aca="false">IF(OR($M1409="",$F1409="",$G1409=""),"",IF($H1409="Разминка","Разминка",IF($F1409&lt;INDEX('Программа тренировок'!$E$6:$E$25,$M1409),"Ниже диапазона",IF(AND($F1409&gt;=INDEX('Программа тренировок'!$F$6:$F$25,$M1409),$G1409&gt;=INDEX('Программа тренировок'!$L$6:$L$25,$M1409)),"Верх диапазона: пора добавлять вес",IF($G1409&lt;INDEX('Программа тренировок'!$L$6:$L$25,$M1409),"RIR ниже цели","В диапазоне")))))</f>
        <v/>
      </c>
      <c r="M1409" s="23" t="str">
        <f aca="false">IF($C1409="","",IFERROR(MATCH($C1409,'Программа тренировок'!$C$6:$C$25,0),""))</f>
        <v/>
      </c>
    </row>
    <row r="1410" customFormat="false" ht="15" hidden="false" customHeight="true" outlineLevel="0" collapsed="false">
      <c r="A1410" s="20"/>
      <c r="B1410" s="21"/>
      <c r="C1410" s="19"/>
      <c r="D1410" s="18"/>
      <c r="E1410" s="17"/>
      <c r="F1410" s="18"/>
      <c r="G1410" s="18"/>
      <c r="H1410" s="21"/>
      <c r="I1410" s="19"/>
      <c r="J1410" s="8" t="str">
        <f aca="false">IF(OR(E1410="",F1410=""),"",E1410*F1410)</f>
        <v/>
      </c>
      <c r="K1410" s="22" t="str">
        <f aca="false">IF($M1410="","",INDEX('Программа тренировок'!$G$6:$G$25,$M1410))</f>
        <v/>
      </c>
      <c r="L1410" s="23" t="str">
        <f aca="false">IF(OR($M1410="",$F1410="",$G1410=""),"",IF($H1410="Разминка","Разминка",IF($F1410&lt;INDEX('Программа тренировок'!$E$6:$E$25,$M1410),"Ниже диапазона",IF(AND($F1410&gt;=INDEX('Программа тренировок'!$F$6:$F$25,$M1410),$G1410&gt;=INDEX('Программа тренировок'!$L$6:$L$25,$M1410)),"Верх диапазона: пора добавлять вес",IF($G1410&lt;INDEX('Программа тренировок'!$L$6:$L$25,$M1410),"RIR ниже цели","В диапазоне")))))</f>
        <v/>
      </c>
      <c r="M1410" s="23" t="str">
        <f aca="false">IF($C1410="","",IFERROR(MATCH($C1410,'Программа тренировок'!$C$6:$C$25,0),""))</f>
        <v/>
      </c>
    </row>
    <row r="1411" customFormat="false" ht="15" hidden="false" customHeight="true" outlineLevel="0" collapsed="false">
      <c r="A1411" s="20"/>
      <c r="B1411" s="21"/>
      <c r="C1411" s="19"/>
      <c r="D1411" s="18"/>
      <c r="E1411" s="17"/>
      <c r="F1411" s="18"/>
      <c r="G1411" s="18"/>
      <c r="H1411" s="21"/>
      <c r="I1411" s="19"/>
      <c r="J1411" s="8" t="str">
        <f aca="false">IF(OR(E1411="",F1411=""),"",E1411*F1411)</f>
        <v/>
      </c>
      <c r="K1411" s="22" t="str">
        <f aca="false">IF($M1411="","",INDEX('Программа тренировок'!$G$6:$G$25,$M1411))</f>
        <v/>
      </c>
      <c r="L1411" s="23" t="str">
        <f aca="false">IF(OR($M1411="",$F1411="",$G1411=""),"",IF($H1411="Разминка","Разминка",IF($F1411&lt;INDEX('Программа тренировок'!$E$6:$E$25,$M1411),"Ниже диапазона",IF(AND($F1411&gt;=INDEX('Программа тренировок'!$F$6:$F$25,$M1411),$G1411&gt;=INDEX('Программа тренировок'!$L$6:$L$25,$M1411)),"Верх диапазона: пора добавлять вес",IF($G1411&lt;INDEX('Программа тренировок'!$L$6:$L$25,$M1411),"RIR ниже цели","В диапазоне")))))</f>
        <v/>
      </c>
      <c r="M1411" s="23" t="str">
        <f aca="false">IF($C1411="","",IFERROR(MATCH($C1411,'Программа тренировок'!$C$6:$C$25,0),""))</f>
        <v/>
      </c>
    </row>
    <row r="1412" customFormat="false" ht="15" hidden="false" customHeight="true" outlineLevel="0" collapsed="false">
      <c r="A1412" s="20"/>
      <c r="B1412" s="21"/>
      <c r="C1412" s="19"/>
      <c r="D1412" s="18"/>
      <c r="E1412" s="17"/>
      <c r="F1412" s="18"/>
      <c r="G1412" s="18"/>
      <c r="H1412" s="21"/>
      <c r="I1412" s="19"/>
      <c r="J1412" s="8" t="str">
        <f aca="false">IF(OR(E1412="",F1412=""),"",E1412*F1412)</f>
        <v/>
      </c>
      <c r="K1412" s="22" t="str">
        <f aca="false">IF($M1412="","",INDEX('Программа тренировок'!$G$6:$G$25,$M1412))</f>
        <v/>
      </c>
      <c r="L1412" s="23" t="str">
        <f aca="false">IF(OR($M1412="",$F1412="",$G1412=""),"",IF($H1412="Разминка","Разминка",IF($F1412&lt;INDEX('Программа тренировок'!$E$6:$E$25,$M1412),"Ниже диапазона",IF(AND($F1412&gt;=INDEX('Программа тренировок'!$F$6:$F$25,$M1412),$G1412&gt;=INDEX('Программа тренировок'!$L$6:$L$25,$M1412)),"Верх диапазона: пора добавлять вес",IF($G1412&lt;INDEX('Программа тренировок'!$L$6:$L$25,$M1412),"RIR ниже цели","В диапазоне")))))</f>
        <v/>
      </c>
      <c r="M1412" s="23" t="str">
        <f aca="false">IF($C1412="","",IFERROR(MATCH($C1412,'Программа тренировок'!$C$6:$C$25,0),""))</f>
        <v/>
      </c>
    </row>
    <row r="1413" customFormat="false" ht="15" hidden="false" customHeight="true" outlineLevel="0" collapsed="false">
      <c r="A1413" s="20"/>
      <c r="B1413" s="21"/>
      <c r="C1413" s="19"/>
      <c r="D1413" s="18"/>
      <c r="E1413" s="17"/>
      <c r="F1413" s="18"/>
      <c r="G1413" s="18"/>
      <c r="H1413" s="21"/>
      <c r="I1413" s="19"/>
      <c r="J1413" s="8" t="str">
        <f aca="false">IF(OR(E1413="",F1413=""),"",E1413*F1413)</f>
        <v/>
      </c>
      <c r="K1413" s="22" t="str">
        <f aca="false">IF($M1413="","",INDEX('Программа тренировок'!$G$6:$G$25,$M1413))</f>
        <v/>
      </c>
      <c r="L1413" s="23" t="str">
        <f aca="false">IF(OR($M1413="",$F1413="",$G1413=""),"",IF($H1413="Разминка","Разминка",IF($F1413&lt;INDEX('Программа тренировок'!$E$6:$E$25,$M1413),"Ниже диапазона",IF(AND($F1413&gt;=INDEX('Программа тренировок'!$F$6:$F$25,$M1413),$G1413&gt;=INDEX('Программа тренировок'!$L$6:$L$25,$M1413)),"Верх диапазона: пора добавлять вес",IF($G1413&lt;INDEX('Программа тренировок'!$L$6:$L$25,$M1413),"RIR ниже цели","В диапазоне")))))</f>
        <v/>
      </c>
      <c r="M1413" s="23" t="str">
        <f aca="false">IF($C1413="","",IFERROR(MATCH($C1413,'Программа тренировок'!$C$6:$C$25,0),""))</f>
        <v/>
      </c>
    </row>
    <row r="1414" customFormat="false" ht="15" hidden="false" customHeight="true" outlineLevel="0" collapsed="false">
      <c r="A1414" s="20"/>
      <c r="B1414" s="21"/>
      <c r="C1414" s="19"/>
      <c r="D1414" s="18"/>
      <c r="E1414" s="17"/>
      <c r="F1414" s="18"/>
      <c r="G1414" s="18"/>
      <c r="H1414" s="21"/>
      <c r="I1414" s="19"/>
      <c r="J1414" s="8" t="str">
        <f aca="false">IF(OR(E1414="",F1414=""),"",E1414*F1414)</f>
        <v/>
      </c>
      <c r="K1414" s="22" t="str">
        <f aca="false">IF($M1414="","",INDEX('Программа тренировок'!$G$6:$G$25,$M1414))</f>
        <v/>
      </c>
      <c r="L1414" s="23" t="str">
        <f aca="false">IF(OR($M1414="",$F1414="",$G1414=""),"",IF($H1414="Разминка","Разминка",IF($F1414&lt;INDEX('Программа тренировок'!$E$6:$E$25,$M1414),"Ниже диапазона",IF(AND($F1414&gt;=INDEX('Программа тренировок'!$F$6:$F$25,$M1414),$G1414&gt;=INDEX('Программа тренировок'!$L$6:$L$25,$M1414)),"Верх диапазона: пора добавлять вес",IF($G1414&lt;INDEX('Программа тренировок'!$L$6:$L$25,$M1414),"RIR ниже цели","В диапазоне")))))</f>
        <v/>
      </c>
      <c r="M1414" s="23" t="str">
        <f aca="false">IF($C1414="","",IFERROR(MATCH($C1414,'Программа тренировок'!$C$6:$C$25,0),""))</f>
        <v/>
      </c>
    </row>
    <row r="1415" customFormat="false" ht="15" hidden="false" customHeight="true" outlineLevel="0" collapsed="false">
      <c r="A1415" s="20"/>
      <c r="B1415" s="21"/>
      <c r="C1415" s="19"/>
      <c r="D1415" s="18"/>
      <c r="E1415" s="17"/>
      <c r="F1415" s="18"/>
      <c r="G1415" s="18"/>
      <c r="H1415" s="21"/>
      <c r="I1415" s="19"/>
      <c r="J1415" s="8" t="str">
        <f aca="false">IF(OR(E1415="",F1415=""),"",E1415*F1415)</f>
        <v/>
      </c>
      <c r="K1415" s="22" t="str">
        <f aca="false">IF($M1415="","",INDEX('Программа тренировок'!$G$6:$G$25,$M1415))</f>
        <v/>
      </c>
      <c r="L1415" s="23" t="str">
        <f aca="false">IF(OR($M1415="",$F1415="",$G1415=""),"",IF($H1415="Разминка","Разминка",IF($F1415&lt;INDEX('Программа тренировок'!$E$6:$E$25,$M1415),"Ниже диапазона",IF(AND($F1415&gt;=INDEX('Программа тренировок'!$F$6:$F$25,$M1415),$G1415&gt;=INDEX('Программа тренировок'!$L$6:$L$25,$M1415)),"Верх диапазона: пора добавлять вес",IF($G1415&lt;INDEX('Программа тренировок'!$L$6:$L$25,$M1415),"RIR ниже цели","В диапазоне")))))</f>
        <v/>
      </c>
      <c r="M1415" s="23" t="str">
        <f aca="false">IF($C1415="","",IFERROR(MATCH($C1415,'Программа тренировок'!$C$6:$C$25,0),""))</f>
        <v/>
      </c>
    </row>
    <row r="1416" customFormat="false" ht="15" hidden="false" customHeight="true" outlineLevel="0" collapsed="false">
      <c r="A1416" s="20"/>
      <c r="B1416" s="21"/>
      <c r="C1416" s="19"/>
      <c r="D1416" s="18"/>
      <c r="E1416" s="17"/>
      <c r="F1416" s="18"/>
      <c r="G1416" s="18"/>
      <c r="H1416" s="21"/>
      <c r="I1416" s="19"/>
      <c r="J1416" s="8" t="str">
        <f aca="false">IF(OR(E1416="",F1416=""),"",E1416*F1416)</f>
        <v/>
      </c>
      <c r="K1416" s="22" t="str">
        <f aca="false">IF($M1416="","",INDEX('Программа тренировок'!$G$6:$G$25,$M1416))</f>
        <v/>
      </c>
      <c r="L1416" s="23" t="str">
        <f aca="false">IF(OR($M1416="",$F1416="",$G1416=""),"",IF($H1416="Разминка","Разминка",IF($F1416&lt;INDEX('Программа тренировок'!$E$6:$E$25,$M1416),"Ниже диапазона",IF(AND($F1416&gt;=INDEX('Программа тренировок'!$F$6:$F$25,$M1416),$G1416&gt;=INDEX('Программа тренировок'!$L$6:$L$25,$M1416)),"Верх диапазона: пора добавлять вес",IF($G1416&lt;INDEX('Программа тренировок'!$L$6:$L$25,$M1416),"RIR ниже цели","В диапазоне")))))</f>
        <v/>
      </c>
      <c r="M1416" s="23" t="str">
        <f aca="false">IF($C1416="","",IFERROR(MATCH($C1416,'Программа тренировок'!$C$6:$C$25,0),""))</f>
        <v/>
      </c>
    </row>
    <row r="1417" customFormat="false" ht="15" hidden="false" customHeight="true" outlineLevel="0" collapsed="false">
      <c r="A1417" s="20"/>
      <c r="B1417" s="21"/>
      <c r="C1417" s="19"/>
      <c r="D1417" s="18"/>
      <c r="E1417" s="17"/>
      <c r="F1417" s="18"/>
      <c r="G1417" s="18"/>
      <c r="H1417" s="21"/>
      <c r="I1417" s="19"/>
      <c r="J1417" s="8" t="str">
        <f aca="false">IF(OR(E1417="",F1417=""),"",E1417*F1417)</f>
        <v/>
      </c>
      <c r="K1417" s="22" t="str">
        <f aca="false">IF($M1417="","",INDEX('Программа тренировок'!$G$6:$G$25,$M1417))</f>
        <v/>
      </c>
      <c r="L1417" s="23" t="str">
        <f aca="false">IF(OR($M1417="",$F1417="",$G1417=""),"",IF($H1417="Разминка","Разминка",IF($F1417&lt;INDEX('Программа тренировок'!$E$6:$E$25,$M1417),"Ниже диапазона",IF(AND($F1417&gt;=INDEX('Программа тренировок'!$F$6:$F$25,$M1417),$G1417&gt;=INDEX('Программа тренировок'!$L$6:$L$25,$M1417)),"Верх диапазона: пора добавлять вес",IF($G1417&lt;INDEX('Программа тренировок'!$L$6:$L$25,$M1417),"RIR ниже цели","В диапазоне")))))</f>
        <v/>
      </c>
      <c r="M1417" s="23" t="str">
        <f aca="false">IF($C1417="","",IFERROR(MATCH($C1417,'Программа тренировок'!$C$6:$C$25,0),""))</f>
        <v/>
      </c>
    </row>
    <row r="1418" customFormat="false" ht="15" hidden="false" customHeight="true" outlineLevel="0" collapsed="false">
      <c r="A1418" s="20"/>
      <c r="B1418" s="21"/>
      <c r="C1418" s="19"/>
      <c r="D1418" s="18"/>
      <c r="E1418" s="17"/>
      <c r="F1418" s="18"/>
      <c r="G1418" s="18"/>
      <c r="H1418" s="21"/>
      <c r="I1418" s="19"/>
      <c r="J1418" s="8" t="str">
        <f aca="false">IF(OR(E1418="",F1418=""),"",E1418*F1418)</f>
        <v/>
      </c>
      <c r="K1418" s="22" t="str">
        <f aca="false">IF($M1418="","",INDEX('Программа тренировок'!$G$6:$G$25,$M1418))</f>
        <v/>
      </c>
      <c r="L1418" s="23" t="str">
        <f aca="false">IF(OR($M1418="",$F1418="",$G1418=""),"",IF($H1418="Разминка","Разминка",IF($F1418&lt;INDEX('Программа тренировок'!$E$6:$E$25,$M1418),"Ниже диапазона",IF(AND($F1418&gt;=INDEX('Программа тренировок'!$F$6:$F$25,$M1418),$G1418&gt;=INDEX('Программа тренировок'!$L$6:$L$25,$M1418)),"Верх диапазона: пора добавлять вес",IF($G1418&lt;INDEX('Программа тренировок'!$L$6:$L$25,$M1418),"RIR ниже цели","В диапазоне")))))</f>
        <v/>
      </c>
      <c r="M1418" s="23" t="str">
        <f aca="false">IF($C1418="","",IFERROR(MATCH($C1418,'Программа тренировок'!$C$6:$C$25,0),""))</f>
        <v/>
      </c>
    </row>
    <row r="1419" customFormat="false" ht="15" hidden="false" customHeight="true" outlineLevel="0" collapsed="false">
      <c r="A1419" s="20"/>
      <c r="B1419" s="21"/>
      <c r="C1419" s="19"/>
      <c r="D1419" s="18"/>
      <c r="E1419" s="17"/>
      <c r="F1419" s="18"/>
      <c r="G1419" s="18"/>
      <c r="H1419" s="21"/>
      <c r="I1419" s="19"/>
      <c r="J1419" s="8" t="str">
        <f aca="false">IF(OR(E1419="",F1419=""),"",E1419*F1419)</f>
        <v/>
      </c>
      <c r="K1419" s="22" t="str">
        <f aca="false">IF($M1419="","",INDEX('Программа тренировок'!$G$6:$G$25,$M1419))</f>
        <v/>
      </c>
      <c r="L1419" s="23" t="str">
        <f aca="false">IF(OR($M1419="",$F1419="",$G1419=""),"",IF($H1419="Разминка","Разминка",IF($F1419&lt;INDEX('Программа тренировок'!$E$6:$E$25,$M1419),"Ниже диапазона",IF(AND($F1419&gt;=INDEX('Программа тренировок'!$F$6:$F$25,$M1419),$G1419&gt;=INDEX('Программа тренировок'!$L$6:$L$25,$M1419)),"Верх диапазона: пора добавлять вес",IF($G1419&lt;INDEX('Программа тренировок'!$L$6:$L$25,$M1419),"RIR ниже цели","В диапазоне")))))</f>
        <v/>
      </c>
      <c r="M1419" s="23" t="str">
        <f aca="false">IF($C1419="","",IFERROR(MATCH($C1419,'Программа тренировок'!$C$6:$C$25,0),""))</f>
        <v/>
      </c>
    </row>
    <row r="1420" customFormat="false" ht="15" hidden="false" customHeight="true" outlineLevel="0" collapsed="false">
      <c r="A1420" s="20"/>
      <c r="B1420" s="21"/>
      <c r="C1420" s="19"/>
      <c r="D1420" s="18"/>
      <c r="E1420" s="17"/>
      <c r="F1420" s="18"/>
      <c r="G1420" s="18"/>
      <c r="H1420" s="21"/>
      <c r="I1420" s="19"/>
      <c r="J1420" s="8" t="str">
        <f aca="false">IF(OR(E1420="",F1420=""),"",E1420*F1420)</f>
        <v/>
      </c>
      <c r="K1420" s="22" t="str">
        <f aca="false">IF($M1420="","",INDEX('Программа тренировок'!$G$6:$G$25,$M1420))</f>
        <v/>
      </c>
      <c r="L1420" s="23" t="str">
        <f aca="false">IF(OR($M1420="",$F1420="",$G1420=""),"",IF($H1420="Разминка","Разминка",IF($F1420&lt;INDEX('Программа тренировок'!$E$6:$E$25,$M1420),"Ниже диапазона",IF(AND($F1420&gt;=INDEX('Программа тренировок'!$F$6:$F$25,$M1420),$G1420&gt;=INDEX('Программа тренировок'!$L$6:$L$25,$M1420)),"Верх диапазона: пора добавлять вес",IF($G1420&lt;INDEX('Программа тренировок'!$L$6:$L$25,$M1420),"RIR ниже цели","В диапазоне")))))</f>
        <v/>
      </c>
      <c r="M1420" s="23" t="str">
        <f aca="false">IF($C1420="","",IFERROR(MATCH($C1420,'Программа тренировок'!$C$6:$C$25,0),""))</f>
        <v/>
      </c>
    </row>
    <row r="1421" customFormat="false" ht="15" hidden="false" customHeight="true" outlineLevel="0" collapsed="false">
      <c r="A1421" s="20"/>
      <c r="B1421" s="21"/>
      <c r="C1421" s="19"/>
      <c r="D1421" s="18"/>
      <c r="E1421" s="17"/>
      <c r="F1421" s="18"/>
      <c r="G1421" s="18"/>
      <c r="H1421" s="21"/>
      <c r="I1421" s="19"/>
      <c r="J1421" s="8" t="str">
        <f aca="false">IF(OR(E1421="",F1421=""),"",E1421*F1421)</f>
        <v/>
      </c>
      <c r="K1421" s="22" t="str">
        <f aca="false">IF($M1421="","",INDEX('Программа тренировок'!$G$6:$G$25,$M1421))</f>
        <v/>
      </c>
      <c r="L1421" s="23" t="str">
        <f aca="false">IF(OR($M1421="",$F1421="",$G1421=""),"",IF($H1421="Разминка","Разминка",IF($F1421&lt;INDEX('Программа тренировок'!$E$6:$E$25,$M1421),"Ниже диапазона",IF(AND($F1421&gt;=INDEX('Программа тренировок'!$F$6:$F$25,$M1421),$G1421&gt;=INDEX('Программа тренировок'!$L$6:$L$25,$M1421)),"Верх диапазона: пора добавлять вес",IF($G1421&lt;INDEX('Программа тренировок'!$L$6:$L$25,$M1421),"RIR ниже цели","В диапазоне")))))</f>
        <v/>
      </c>
      <c r="M1421" s="23" t="str">
        <f aca="false">IF($C1421="","",IFERROR(MATCH($C1421,'Программа тренировок'!$C$6:$C$25,0),""))</f>
        <v/>
      </c>
    </row>
    <row r="1422" customFormat="false" ht="15" hidden="false" customHeight="true" outlineLevel="0" collapsed="false">
      <c r="A1422" s="20"/>
      <c r="B1422" s="21"/>
      <c r="C1422" s="19"/>
      <c r="D1422" s="18"/>
      <c r="E1422" s="17"/>
      <c r="F1422" s="18"/>
      <c r="G1422" s="18"/>
      <c r="H1422" s="21"/>
      <c r="I1422" s="19"/>
      <c r="J1422" s="8" t="str">
        <f aca="false">IF(OR(E1422="",F1422=""),"",E1422*F1422)</f>
        <v/>
      </c>
      <c r="K1422" s="22" t="str">
        <f aca="false">IF($M1422="","",INDEX('Программа тренировок'!$G$6:$G$25,$M1422))</f>
        <v/>
      </c>
      <c r="L1422" s="23" t="str">
        <f aca="false">IF(OR($M1422="",$F1422="",$G1422=""),"",IF($H1422="Разминка","Разминка",IF($F1422&lt;INDEX('Программа тренировок'!$E$6:$E$25,$M1422),"Ниже диапазона",IF(AND($F1422&gt;=INDEX('Программа тренировок'!$F$6:$F$25,$M1422),$G1422&gt;=INDEX('Программа тренировок'!$L$6:$L$25,$M1422)),"Верх диапазона: пора добавлять вес",IF($G1422&lt;INDEX('Программа тренировок'!$L$6:$L$25,$M1422),"RIR ниже цели","В диапазоне")))))</f>
        <v/>
      </c>
      <c r="M1422" s="23" t="str">
        <f aca="false">IF($C1422="","",IFERROR(MATCH($C1422,'Программа тренировок'!$C$6:$C$25,0),""))</f>
        <v/>
      </c>
    </row>
    <row r="1423" customFormat="false" ht="15" hidden="false" customHeight="true" outlineLevel="0" collapsed="false">
      <c r="A1423" s="20"/>
      <c r="B1423" s="21"/>
      <c r="C1423" s="19"/>
      <c r="D1423" s="18"/>
      <c r="E1423" s="17"/>
      <c r="F1423" s="18"/>
      <c r="G1423" s="18"/>
      <c r="H1423" s="21"/>
      <c r="I1423" s="19"/>
      <c r="J1423" s="8" t="str">
        <f aca="false">IF(OR(E1423="",F1423=""),"",E1423*F1423)</f>
        <v/>
      </c>
      <c r="K1423" s="22" t="str">
        <f aca="false">IF($M1423="","",INDEX('Программа тренировок'!$G$6:$G$25,$M1423))</f>
        <v/>
      </c>
      <c r="L1423" s="23" t="str">
        <f aca="false">IF(OR($M1423="",$F1423="",$G1423=""),"",IF($H1423="Разминка","Разминка",IF($F1423&lt;INDEX('Программа тренировок'!$E$6:$E$25,$M1423),"Ниже диапазона",IF(AND($F1423&gt;=INDEX('Программа тренировок'!$F$6:$F$25,$M1423),$G1423&gt;=INDEX('Программа тренировок'!$L$6:$L$25,$M1423)),"Верх диапазона: пора добавлять вес",IF($G1423&lt;INDEX('Программа тренировок'!$L$6:$L$25,$M1423),"RIR ниже цели","В диапазоне")))))</f>
        <v/>
      </c>
      <c r="M1423" s="23" t="str">
        <f aca="false">IF($C1423="","",IFERROR(MATCH($C1423,'Программа тренировок'!$C$6:$C$25,0),""))</f>
        <v/>
      </c>
    </row>
    <row r="1424" customFormat="false" ht="15" hidden="false" customHeight="true" outlineLevel="0" collapsed="false">
      <c r="A1424" s="20"/>
      <c r="B1424" s="21"/>
      <c r="C1424" s="19"/>
      <c r="D1424" s="18"/>
      <c r="E1424" s="17"/>
      <c r="F1424" s="18"/>
      <c r="G1424" s="18"/>
      <c r="H1424" s="21"/>
      <c r="I1424" s="19"/>
      <c r="J1424" s="8" t="str">
        <f aca="false">IF(OR(E1424="",F1424=""),"",E1424*F1424)</f>
        <v/>
      </c>
      <c r="K1424" s="22" t="str">
        <f aca="false">IF($M1424="","",INDEX('Программа тренировок'!$G$6:$G$25,$M1424))</f>
        <v/>
      </c>
      <c r="L1424" s="23" t="str">
        <f aca="false">IF(OR($M1424="",$F1424="",$G1424=""),"",IF($H1424="Разминка","Разминка",IF($F1424&lt;INDEX('Программа тренировок'!$E$6:$E$25,$M1424),"Ниже диапазона",IF(AND($F1424&gt;=INDEX('Программа тренировок'!$F$6:$F$25,$M1424),$G1424&gt;=INDEX('Программа тренировок'!$L$6:$L$25,$M1424)),"Верх диапазона: пора добавлять вес",IF($G1424&lt;INDEX('Программа тренировок'!$L$6:$L$25,$M1424),"RIR ниже цели","В диапазоне")))))</f>
        <v/>
      </c>
      <c r="M1424" s="23" t="str">
        <f aca="false">IF($C1424="","",IFERROR(MATCH($C1424,'Программа тренировок'!$C$6:$C$25,0),""))</f>
        <v/>
      </c>
    </row>
    <row r="1425" customFormat="false" ht="15" hidden="false" customHeight="true" outlineLevel="0" collapsed="false">
      <c r="A1425" s="20"/>
      <c r="B1425" s="21"/>
      <c r="C1425" s="19"/>
      <c r="D1425" s="18"/>
      <c r="E1425" s="17"/>
      <c r="F1425" s="18"/>
      <c r="G1425" s="18"/>
      <c r="H1425" s="21"/>
      <c r="I1425" s="19"/>
      <c r="J1425" s="8" t="str">
        <f aca="false">IF(OR(E1425="",F1425=""),"",E1425*F1425)</f>
        <v/>
      </c>
      <c r="K1425" s="22" t="str">
        <f aca="false">IF($M1425="","",INDEX('Программа тренировок'!$G$6:$G$25,$M1425))</f>
        <v/>
      </c>
      <c r="L1425" s="23" t="str">
        <f aca="false">IF(OR($M1425="",$F1425="",$G1425=""),"",IF($H1425="Разминка","Разминка",IF($F1425&lt;INDEX('Программа тренировок'!$E$6:$E$25,$M1425),"Ниже диапазона",IF(AND($F1425&gt;=INDEX('Программа тренировок'!$F$6:$F$25,$M1425),$G1425&gt;=INDEX('Программа тренировок'!$L$6:$L$25,$M1425)),"Верх диапазона: пора добавлять вес",IF($G1425&lt;INDEX('Программа тренировок'!$L$6:$L$25,$M1425),"RIR ниже цели","В диапазоне")))))</f>
        <v/>
      </c>
      <c r="M1425" s="23" t="str">
        <f aca="false">IF($C1425="","",IFERROR(MATCH($C1425,'Программа тренировок'!$C$6:$C$25,0),""))</f>
        <v/>
      </c>
    </row>
    <row r="1426" customFormat="false" ht="15" hidden="false" customHeight="true" outlineLevel="0" collapsed="false">
      <c r="A1426" s="20"/>
      <c r="B1426" s="21"/>
      <c r="C1426" s="19"/>
      <c r="D1426" s="18"/>
      <c r="E1426" s="17"/>
      <c r="F1426" s="18"/>
      <c r="G1426" s="18"/>
      <c r="H1426" s="21"/>
      <c r="I1426" s="19"/>
      <c r="J1426" s="8" t="str">
        <f aca="false">IF(OR(E1426="",F1426=""),"",E1426*F1426)</f>
        <v/>
      </c>
      <c r="K1426" s="22" t="str">
        <f aca="false">IF($M1426="","",INDEX('Программа тренировок'!$G$6:$G$25,$M1426))</f>
        <v/>
      </c>
      <c r="L1426" s="23" t="str">
        <f aca="false">IF(OR($M1426="",$F1426="",$G1426=""),"",IF($H1426="Разминка","Разминка",IF($F1426&lt;INDEX('Программа тренировок'!$E$6:$E$25,$M1426),"Ниже диапазона",IF(AND($F1426&gt;=INDEX('Программа тренировок'!$F$6:$F$25,$M1426),$G1426&gt;=INDEX('Программа тренировок'!$L$6:$L$25,$M1426)),"Верх диапазона: пора добавлять вес",IF($G1426&lt;INDEX('Программа тренировок'!$L$6:$L$25,$M1426),"RIR ниже цели","В диапазоне")))))</f>
        <v/>
      </c>
      <c r="M1426" s="23" t="str">
        <f aca="false">IF($C1426="","",IFERROR(MATCH($C1426,'Программа тренировок'!$C$6:$C$25,0),""))</f>
        <v/>
      </c>
    </row>
    <row r="1427" customFormat="false" ht="15" hidden="false" customHeight="true" outlineLevel="0" collapsed="false">
      <c r="A1427" s="20"/>
      <c r="B1427" s="21"/>
      <c r="C1427" s="19"/>
      <c r="D1427" s="18"/>
      <c r="E1427" s="17"/>
      <c r="F1427" s="18"/>
      <c r="G1427" s="18"/>
      <c r="H1427" s="21"/>
      <c r="I1427" s="19"/>
      <c r="J1427" s="8" t="str">
        <f aca="false">IF(OR(E1427="",F1427=""),"",E1427*F1427)</f>
        <v/>
      </c>
      <c r="K1427" s="22" t="str">
        <f aca="false">IF($M1427="","",INDEX('Программа тренировок'!$G$6:$G$25,$M1427))</f>
        <v/>
      </c>
      <c r="L1427" s="23" t="str">
        <f aca="false">IF(OR($M1427="",$F1427="",$G1427=""),"",IF($H1427="Разминка","Разминка",IF($F1427&lt;INDEX('Программа тренировок'!$E$6:$E$25,$M1427),"Ниже диапазона",IF(AND($F1427&gt;=INDEX('Программа тренировок'!$F$6:$F$25,$M1427),$G1427&gt;=INDEX('Программа тренировок'!$L$6:$L$25,$M1427)),"Верх диапазона: пора добавлять вес",IF($G1427&lt;INDEX('Программа тренировок'!$L$6:$L$25,$M1427),"RIR ниже цели","В диапазоне")))))</f>
        <v/>
      </c>
      <c r="M1427" s="23" t="str">
        <f aca="false">IF($C1427="","",IFERROR(MATCH($C1427,'Программа тренировок'!$C$6:$C$25,0),""))</f>
        <v/>
      </c>
    </row>
    <row r="1428" customFormat="false" ht="15" hidden="false" customHeight="true" outlineLevel="0" collapsed="false">
      <c r="A1428" s="20"/>
      <c r="B1428" s="21"/>
      <c r="C1428" s="19"/>
      <c r="D1428" s="18"/>
      <c r="E1428" s="17"/>
      <c r="F1428" s="18"/>
      <c r="G1428" s="18"/>
      <c r="H1428" s="21"/>
      <c r="I1428" s="19"/>
      <c r="J1428" s="8" t="str">
        <f aca="false">IF(OR(E1428="",F1428=""),"",E1428*F1428)</f>
        <v/>
      </c>
      <c r="K1428" s="22" t="str">
        <f aca="false">IF($M1428="","",INDEX('Программа тренировок'!$G$6:$G$25,$M1428))</f>
        <v/>
      </c>
      <c r="L1428" s="23" t="str">
        <f aca="false">IF(OR($M1428="",$F1428="",$G1428=""),"",IF($H1428="Разминка","Разминка",IF($F1428&lt;INDEX('Программа тренировок'!$E$6:$E$25,$M1428),"Ниже диапазона",IF(AND($F1428&gt;=INDEX('Программа тренировок'!$F$6:$F$25,$M1428),$G1428&gt;=INDEX('Программа тренировок'!$L$6:$L$25,$M1428)),"Верх диапазона: пора добавлять вес",IF($G1428&lt;INDEX('Программа тренировок'!$L$6:$L$25,$M1428),"RIR ниже цели","В диапазоне")))))</f>
        <v/>
      </c>
      <c r="M1428" s="23" t="str">
        <f aca="false">IF($C1428="","",IFERROR(MATCH($C1428,'Программа тренировок'!$C$6:$C$25,0),""))</f>
        <v/>
      </c>
    </row>
    <row r="1429" customFormat="false" ht="15" hidden="false" customHeight="true" outlineLevel="0" collapsed="false">
      <c r="A1429" s="20"/>
      <c r="B1429" s="21"/>
      <c r="C1429" s="19"/>
      <c r="D1429" s="18"/>
      <c r="E1429" s="17"/>
      <c r="F1429" s="18"/>
      <c r="G1429" s="18"/>
      <c r="H1429" s="21"/>
      <c r="I1429" s="19"/>
      <c r="J1429" s="8" t="str">
        <f aca="false">IF(OR(E1429="",F1429=""),"",E1429*F1429)</f>
        <v/>
      </c>
      <c r="K1429" s="22" t="str">
        <f aca="false">IF($M1429="","",INDEX('Программа тренировок'!$G$6:$G$25,$M1429))</f>
        <v/>
      </c>
      <c r="L1429" s="23" t="str">
        <f aca="false">IF(OR($M1429="",$F1429="",$G1429=""),"",IF($H1429="Разминка","Разминка",IF($F1429&lt;INDEX('Программа тренировок'!$E$6:$E$25,$M1429),"Ниже диапазона",IF(AND($F1429&gt;=INDEX('Программа тренировок'!$F$6:$F$25,$M1429),$G1429&gt;=INDEX('Программа тренировок'!$L$6:$L$25,$M1429)),"Верх диапазона: пора добавлять вес",IF($G1429&lt;INDEX('Программа тренировок'!$L$6:$L$25,$M1429),"RIR ниже цели","В диапазоне")))))</f>
        <v/>
      </c>
      <c r="M1429" s="23" t="str">
        <f aca="false">IF($C1429="","",IFERROR(MATCH($C1429,'Программа тренировок'!$C$6:$C$25,0),""))</f>
        <v/>
      </c>
    </row>
    <row r="1430" customFormat="false" ht="15" hidden="false" customHeight="true" outlineLevel="0" collapsed="false">
      <c r="A1430" s="20"/>
      <c r="B1430" s="21"/>
      <c r="C1430" s="19"/>
      <c r="D1430" s="18"/>
      <c r="E1430" s="17"/>
      <c r="F1430" s="18"/>
      <c r="G1430" s="18"/>
      <c r="H1430" s="21"/>
      <c r="I1430" s="19"/>
      <c r="J1430" s="8" t="str">
        <f aca="false">IF(OR(E1430="",F1430=""),"",E1430*F1430)</f>
        <v/>
      </c>
      <c r="K1430" s="22" t="str">
        <f aca="false">IF($M1430="","",INDEX('Программа тренировок'!$G$6:$G$25,$M1430))</f>
        <v/>
      </c>
      <c r="L1430" s="23" t="str">
        <f aca="false">IF(OR($M1430="",$F1430="",$G1430=""),"",IF($H1430="Разминка","Разминка",IF($F1430&lt;INDEX('Программа тренировок'!$E$6:$E$25,$M1430),"Ниже диапазона",IF(AND($F1430&gt;=INDEX('Программа тренировок'!$F$6:$F$25,$M1430),$G1430&gt;=INDEX('Программа тренировок'!$L$6:$L$25,$M1430)),"Верх диапазона: пора добавлять вес",IF($G1430&lt;INDEX('Программа тренировок'!$L$6:$L$25,$M1430),"RIR ниже цели","В диапазоне")))))</f>
        <v/>
      </c>
      <c r="M1430" s="23" t="str">
        <f aca="false">IF($C1430="","",IFERROR(MATCH($C1430,'Программа тренировок'!$C$6:$C$25,0),""))</f>
        <v/>
      </c>
    </row>
    <row r="1431" customFormat="false" ht="15" hidden="false" customHeight="true" outlineLevel="0" collapsed="false">
      <c r="A1431" s="20"/>
      <c r="B1431" s="21"/>
      <c r="C1431" s="19"/>
      <c r="D1431" s="18"/>
      <c r="E1431" s="17"/>
      <c r="F1431" s="18"/>
      <c r="G1431" s="18"/>
      <c r="H1431" s="21"/>
      <c r="I1431" s="19"/>
      <c r="J1431" s="8" t="str">
        <f aca="false">IF(OR(E1431="",F1431=""),"",E1431*F1431)</f>
        <v/>
      </c>
      <c r="K1431" s="22" t="str">
        <f aca="false">IF($M1431="","",INDEX('Программа тренировок'!$G$6:$G$25,$M1431))</f>
        <v/>
      </c>
      <c r="L1431" s="23" t="str">
        <f aca="false">IF(OR($M1431="",$F1431="",$G1431=""),"",IF($H1431="Разминка","Разминка",IF($F1431&lt;INDEX('Программа тренировок'!$E$6:$E$25,$M1431),"Ниже диапазона",IF(AND($F1431&gt;=INDEX('Программа тренировок'!$F$6:$F$25,$M1431),$G1431&gt;=INDEX('Программа тренировок'!$L$6:$L$25,$M1431)),"Верх диапазона: пора добавлять вес",IF($G1431&lt;INDEX('Программа тренировок'!$L$6:$L$25,$M1431),"RIR ниже цели","В диапазоне")))))</f>
        <v/>
      </c>
      <c r="M1431" s="23" t="str">
        <f aca="false">IF($C1431="","",IFERROR(MATCH($C1431,'Программа тренировок'!$C$6:$C$25,0),""))</f>
        <v/>
      </c>
    </row>
    <row r="1432" customFormat="false" ht="15" hidden="false" customHeight="true" outlineLevel="0" collapsed="false">
      <c r="A1432" s="20"/>
      <c r="B1432" s="21"/>
      <c r="C1432" s="19"/>
      <c r="D1432" s="18"/>
      <c r="E1432" s="17"/>
      <c r="F1432" s="18"/>
      <c r="G1432" s="18"/>
      <c r="H1432" s="21"/>
      <c r="I1432" s="19"/>
      <c r="J1432" s="8" t="str">
        <f aca="false">IF(OR(E1432="",F1432=""),"",E1432*F1432)</f>
        <v/>
      </c>
      <c r="K1432" s="22" t="str">
        <f aca="false">IF($M1432="","",INDEX('Программа тренировок'!$G$6:$G$25,$M1432))</f>
        <v/>
      </c>
      <c r="L1432" s="23" t="str">
        <f aca="false">IF(OR($M1432="",$F1432="",$G1432=""),"",IF($H1432="Разминка","Разминка",IF($F1432&lt;INDEX('Программа тренировок'!$E$6:$E$25,$M1432),"Ниже диапазона",IF(AND($F1432&gt;=INDEX('Программа тренировок'!$F$6:$F$25,$M1432),$G1432&gt;=INDEX('Программа тренировок'!$L$6:$L$25,$M1432)),"Верх диапазона: пора добавлять вес",IF($G1432&lt;INDEX('Программа тренировок'!$L$6:$L$25,$M1432),"RIR ниже цели","В диапазоне")))))</f>
        <v/>
      </c>
      <c r="M1432" s="23" t="str">
        <f aca="false">IF($C1432="","",IFERROR(MATCH($C1432,'Программа тренировок'!$C$6:$C$25,0),""))</f>
        <v/>
      </c>
    </row>
    <row r="1433" customFormat="false" ht="15" hidden="false" customHeight="true" outlineLevel="0" collapsed="false">
      <c r="A1433" s="20"/>
      <c r="B1433" s="21"/>
      <c r="C1433" s="19"/>
      <c r="D1433" s="18"/>
      <c r="E1433" s="17"/>
      <c r="F1433" s="18"/>
      <c r="G1433" s="18"/>
      <c r="H1433" s="21"/>
      <c r="I1433" s="19"/>
      <c r="J1433" s="8" t="str">
        <f aca="false">IF(OR(E1433="",F1433=""),"",E1433*F1433)</f>
        <v/>
      </c>
      <c r="K1433" s="22" t="str">
        <f aca="false">IF($M1433="","",INDEX('Программа тренировок'!$G$6:$G$25,$M1433))</f>
        <v/>
      </c>
      <c r="L1433" s="23" t="str">
        <f aca="false">IF(OR($M1433="",$F1433="",$G1433=""),"",IF($H1433="Разминка","Разминка",IF($F1433&lt;INDEX('Программа тренировок'!$E$6:$E$25,$M1433),"Ниже диапазона",IF(AND($F1433&gt;=INDEX('Программа тренировок'!$F$6:$F$25,$M1433),$G1433&gt;=INDEX('Программа тренировок'!$L$6:$L$25,$M1433)),"Верх диапазона: пора добавлять вес",IF($G1433&lt;INDEX('Программа тренировок'!$L$6:$L$25,$M1433),"RIR ниже цели","В диапазоне")))))</f>
        <v/>
      </c>
      <c r="M1433" s="23" t="str">
        <f aca="false">IF($C1433="","",IFERROR(MATCH($C1433,'Программа тренировок'!$C$6:$C$25,0),""))</f>
        <v/>
      </c>
    </row>
    <row r="1434" customFormat="false" ht="15" hidden="false" customHeight="true" outlineLevel="0" collapsed="false">
      <c r="A1434" s="20"/>
      <c r="B1434" s="21"/>
      <c r="C1434" s="19"/>
      <c r="D1434" s="18"/>
      <c r="E1434" s="17"/>
      <c r="F1434" s="18"/>
      <c r="G1434" s="18"/>
      <c r="H1434" s="21"/>
      <c r="I1434" s="19"/>
      <c r="J1434" s="8" t="str">
        <f aca="false">IF(OR(E1434="",F1434=""),"",E1434*F1434)</f>
        <v/>
      </c>
      <c r="K1434" s="22" t="str">
        <f aca="false">IF($M1434="","",INDEX('Программа тренировок'!$G$6:$G$25,$M1434))</f>
        <v/>
      </c>
      <c r="L1434" s="23" t="str">
        <f aca="false">IF(OR($M1434="",$F1434="",$G1434=""),"",IF($H1434="Разминка","Разминка",IF($F1434&lt;INDEX('Программа тренировок'!$E$6:$E$25,$M1434),"Ниже диапазона",IF(AND($F1434&gt;=INDEX('Программа тренировок'!$F$6:$F$25,$M1434),$G1434&gt;=INDEX('Программа тренировок'!$L$6:$L$25,$M1434)),"Верх диапазона: пора добавлять вес",IF($G1434&lt;INDEX('Программа тренировок'!$L$6:$L$25,$M1434),"RIR ниже цели","В диапазоне")))))</f>
        <v/>
      </c>
      <c r="M1434" s="23" t="str">
        <f aca="false">IF($C1434="","",IFERROR(MATCH($C1434,'Программа тренировок'!$C$6:$C$25,0),""))</f>
        <v/>
      </c>
    </row>
    <row r="1435" customFormat="false" ht="15" hidden="false" customHeight="true" outlineLevel="0" collapsed="false">
      <c r="A1435" s="20"/>
      <c r="B1435" s="21"/>
      <c r="C1435" s="19"/>
      <c r="D1435" s="18"/>
      <c r="E1435" s="17"/>
      <c r="F1435" s="18"/>
      <c r="G1435" s="18"/>
      <c r="H1435" s="21"/>
      <c r="I1435" s="19"/>
      <c r="J1435" s="8" t="str">
        <f aca="false">IF(OR(E1435="",F1435=""),"",E1435*F1435)</f>
        <v/>
      </c>
      <c r="K1435" s="22" t="str">
        <f aca="false">IF($M1435="","",INDEX('Программа тренировок'!$G$6:$G$25,$M1435))</f>
        <v/>
      </c>
      <c r="L1435" s="23" t="str">
        <f aca="false">IF(OR($M1435="",$F1435="",$G1435=""),"",IF($H1435="Разминка","Разминка",IF($F1435&lt;INDEX('Программа тренировок'!$E$6:$E$25,$M1435),"Ниже диапазона",IF(AND($F1435&gt;=INDEX('Программа тренировок'!$F$6:$F$25,$M1435),$G1435&gt;=INDEX('Программа тренировок'!$L$6:$L$25,$M1435)),"Верх диапазона: пора добавлять вес",IF($G1435&lt;INDEX('Программа тренировок'!$L$6:$L$25,$M1435),"RIR ниже цели","В диапазоне")))))</f>
        <v/>
      </c>
      <c r="M1435" s="23" t="str">
        <f aca="false">IF($C1435="","",IFERROR(MATCH($C1435,'Программа тренировок'!$C$6:$C$25,0),""))</f>
        <v/>
      </c>
    </row>
    <row r="1436" customFormat="false" ht="15" hidden="false" customHeight="true" outlineLevel="0" collapsed="false">
      <c r="A1436" s="20"/>
      <c r="B1436" s="21"/>
      <c r="C1436" s="19"/>
      <c r="D1436" s="18"/>
      <c r="E1436" s="17"/>
      <c r="F1436" s="18"/>
      <c r="G1436" s="18"/>
      <c r="H1436" s="21"/>
      <c r="I1436" s="19"/>
      <c r="J1436" s="8" t="str">
        <f aca="false">IF(OR(E1436="",F1436=""),"",E1436*F1436)</f>
        <v/>
      </c>
      <c r="K1436" s="22" t="str">
        <f aca="false">IF($M1436="","",INDEX('Программа тренировок'!$G$6:$G$25,$M1436))</f>
        <v/>
      </c>
      <c r="L1436" s="23" t="str">
        <f aca="false">IF(OR($M1436="",$F1436="",$G1436=""),"",IF($H1436="Разминка","Разминка",IF($F1436&lt;INDEX('Программа тренировок'!$E$6:$E$25,$M1436),"Ниже диапазона",IF(AND($F1436&gt;=INDEX('Программа тренировок'!$F$6:$F$25,$M1436),$G1436&gt;=INDEX('Программа тренировок'!$L$6:$L$25,$M1436)),"Верх диапазона: пора добавлять вес",IF($G1436&lt;INDEX('Программа тренировок'!$L$6:$L$25,$M1436),"RIR ниже цели","В диапазоне")))))</f>
        <v/>
      </c>
      <c r="M1436" s="23" t="str">
        <f aca="false">IF($C1436="","",IFERROR(MATCH($C1436,'Программа тренировок'!$C$6:$C$25,0),""))</f>
        <v/>
      </c>
    </row>
    <row r="1437" customFormat="false" ht="15" hidden="false" customHeight="true" outlineLevel="0" collapsed="false">
      <c r="A1437" s="20"/>
      <c r="B1437" s="21"/>
      <c r="C1437" s="19"/>
      <c r="D1437" s="18"/>
      <c r="E1437" s="17"/>
      <c r="F1437" s="18"/>
      <c r="G1437" s="18"/>
      <c r="H1437" s="21"/>
      <c r="I1437" s="19"/>
      <c r="J1437" s="8" t="str">
        <f aca="false">IF(OR(E1437="",F1437=""),"",E1437*F1437)</f>
        <v/>
      </c>
      <c r="K1437" s="22" t="str">
        <f aca="false">IF($M1437="","",INDEX('Программа тренировок'!$G$6:$G$25,$M1437))</f>
        <v/>
      </c>
      <c r="L1437" s="23" t="str">
        <f aca="false">IF(OR($M1437="",$F1437="",$G1437=""),"",IF($H1437="Разминка","Разминка",IF($F1437&lt;INDEX('Программа тренировок'!$E$6:$E$25,$M1437),"Ниже диапазона",IF(AND($F1437&gt;=INDEX('Программа тренировок'!$F$6:$F$25,$M1437),$G1437&gt;=INDEX('Программа тренировок'!$L$6:$L$25,$M1437)),"Верх диапазона: пора добавлять вес",IF($G1437&lt;INDEX('Программа тренировок'!$L$6:$L$25,$M1437),"RIR ниже цели","В диапазоне")))))</f>
        <v/>
      </c>
      <c r="M1437" s="23" t="str">
        <f aca="false">IF($C1437="","",IFERROR(MATCH($C1437,'Программа тренировок'!$C$6:$C$25,0),""))</f>
        <v/>
      </c>
    </row>
    <row r="1438" customFormat="false" ht="15" hidden="false" customHeight="true" outlineLevel="0" collapsed="false">
      <c r="A1438" s="20"/>
      <c r="B1438" s="21"/>
      <c r="C1438" s="19"/>
      <c r="D1438" s="18"/>
      <c r="E1438" s="17"/>
      <c r="F1438" s="18"/>
      <c r="G1438" s="18"/>
      <c r="H1438" s="21"/>
      <c r="I1438" s="19"/>
      <c r="J1438" s="8" t="str">
        <f aca="false">IF(OR(E1438="",F1438=""),"",E1438*F1438)</f>
        <v/>
      </c>
      <c r="K1438" s="22" t="str">
        <f aca="false">IF($M1438="","",INDEX('Программа тренировок'!$G$6:$G$25,$M1438))</f>
        <v/>
      </c>
      <c r="L1438" s="23" t="str">
        <f aca="false">IF(OR($M1438="",$F1438="",$G1438=""),"",IF($H1438="Разминка","Разминка",IF($F1438&lt;INDEX('Программа тренировок'!$E$6:$E$25,$M1438),"Ниже диапазона",IF(AND($F1438&gt;=INDEX('Программа тренировок'!$F$6:$F$25,$M1438),$G1438&gt;=INDEX('Программа тренировок'!$L$6:$L$25,$M1438)),"Верх диапазона: пора добавлять вес",IF($G1438&lt;INDEX('Программа тренировок'!$L$6:$L$25,$M1438),"RIR ниже цели","В диапазоне")))))</f>
        <v/>
      </c>
      <c r="M1438" s="23" t="str">
        <f aca="false">IF($C1438="","",IFERROR(MATCH($C1438,'Программа тренировок'!$C$6:$C$25,0),""))</f>
        <v/>
      </c>
    </row>
    <row r="1439" customFormat="false" ht="15" hidden="false" customHeight="true" outlineLevel="0" collapsed="false">
      <c r="A1439" s="20"/>
      <c r="B1439" s="21"/>
      <c r="C1439" s="19"/>
      <c r="D1439" s="18"/>
      <c r="E1439" s="17"/>
      <c r="F1439" s="18"/>
      <c r="G1439" s="18"/>
      <c r="H1439" s="21"/>
      <c r="I1439" s="19"/>
      <c r="J1439" s="8" t="str">
        <f aca="false">IF(OR(E1439="",F1439=""),"",E1439*F1439)</f>
        <v/>
      </c>
      <c r="K1439" s="22" t="str">
        <f aca="false">IF($M1439="","",INDEX('Программа тренировок'!$G$6:$G$25,$M1439))</f>
        <v/>
      </c>
      <c r="L1439" s="23" t="str">
        <f aca="false">IF(OR($M1439="",$F1439="",$G1439=""),"",IF($H1439="Разминка","Разминка",IF($F1439&lt;INDEX('Программа тренировок'!$E$6:$E$25,$M1439),"Ниже диапазона",IF(AND($F1439&gt;=INDEX('Программа тренировок'!$F$6:$F$25,$M1439),$G1439&gt;=INDEX('Программа тренировок'!$L$6:$L$25,$M1439)),"Верх диапазона: пора добавлять вес",IF($G1439&lt;INDEX('Программа тренировок'!$L$6:$L$25,$M1439),"RIR ниже цели","В диапазоне")))))</f>
        <v/>
      </c>
      <c r="M1439" s="23" t="str">
        <f aca="false">IF($C1439="","",IFERROR(MATCH($C1439,'Программа тренировок'!$C$6:$C$25,0),""))</f>
        <v/>
      </c>
    </row>
    <row r="1440" customFormat="false" ht="15" hidden="false" customHeight="true" outlineLevel="0" collapsed="false">
      <c r="A1440" s="20"/>
      <c r="B1440" s="21"/>
      <c r="C1440" s="19"/>
      <c r="D1440" s="18"/>
      <c r="E1440" s="17"/>
      <c r="F1440" s="18"/>
      <c r="G1440" s="18"/>
      <c r="H1440" s="21"/>
      <c r="I1440" s="19"/>
      <c r="J1440" s="8" t="str">
        <f aca="false">IF(OR(E1440="",F1440=""),"",E1440*F1440)</f>
        <v/>
      </c>
      <c r="K1440" s="22" t="str">
        <f aca="false">IF($M1440="","",INDEX('Программа тренировок'!$G$6:$G$25,$M1440))</f>
        <v/>
      </c>
      <c r="L1440" s="23" t="str">
        <f aca="false">IF(OR($M1440="",$F1440="",$G1440=""),"",IF($H1440="Разминка","Разминка",IF($F1440&lt;INDEX('Программа тренировок'!$E$6:$E$25,$M1440),"Ниже диапазона",IF(AND($F1440&gt;=INDEX('Программа тренировок'!$F$6:$F$25,$M1440),$G1440&gt;=INDEX('Программа тренировок'!$L$6:$L$25,$M1440)),"Верх диапазона: пора добавлять вес",IF($G1440&lt;INDEX('Программа тренировок'!$L$6:$L$25,$M1440),"RIR ниже цели","В диапазоне")))))</f>
        <v/>
      </c>
      <c r="M1440" s="23" t="str">
        <f aca="false">IF($C1440="","",IFERROR(MATCH($C1440,'Программа тренировок'!$C$6:$C$25,0),""))</f>
        <v/>
      </c>
    </row>
    <row r="1441" customFormat="false" ht="15" hidden="false" customHeight="true" outlineLevel="0" collapsed="false">
      <c r="A1441" s="20"/>
      <c r="B1441" s="21"/>
      <c r="C1441" s="19"/>
      <c r="D1441" s="18"/>
      <c r="E1441" s="17"/>
      <c r="F1441" s="18"/>
      <c r="G1441" s="18"/>
      <c r="H1441" s="21"/>
      <c r="I1441" s="19"/>
      <c r="J1441" s="8" t="str">
        <f aca="false">IF(OR(E1441="",F1441=""),"",E1441*F1441)</f>
        <v/>
      </c>
      <c r="K1441" s="22" t="str">
        <f aca="false">IF($M1441="","",INDEX('Программа тренировок'!$G$6:$G$25,$M1441))</f>
        <v/>
      </c>
      <c r="L1441" s="23" t="str">
        <f aca="false">IF(OR($M1441="",$F1441="",$G1441=""),"",IF($H1441="Разминка","Разминка",IF($F1441&lt;INDEX('Программа тренировок'!$E$6:$E$25,$M1441),"Ниже диапазона",IF(AND($F1441&gt;=INDEX('Программа тренировок'!$F$6:$F$25,$M1441),$G1441&gt;=INDEX('Программа тренировок'!$L$6:$L$25,$M1441)),"Верх диапазона: пора добавлять вес",IF($G1441&lt;INDEX('Программа тренировок'!$L$6:$L$25,$M1441),"RIR ниже цели","В диапазоне")))))</f>
        <v/>
      </c>
      <c r="M1441" s="23" t="str">
        <f aca="false">IF($C1441="","",IFERROR(MATCH($C1441,'Программа тренировок'!$C$6:$C$25,0),""))</f>
        <v/>
      </c>
    </row>
    <row r="1442" customFormat="false" ht="15" hidden="false" customHeight="true" outlineLevel="0" collapsed="false">
      <c r="A1442" s="20"/>
      <c r="B1442" s="21"/>
      <c r="C1442" s="19"/>
      <c r="D1442" s="18"/>
      <c r="E1442" s="17"/>
      <c r="F1442" s="18"/>
      <c r="G1442" s="18"/>
      <c r="H1442" s="21"/>
      <c r="I1442" s="19"/>
      <c r="J1442" s="8" t="str">
        <f aca="false">IF(OR(E1442="",F1442=""),"",E1442*F1442)</f>
        <v/>
      </c>
      <c r="K1442" s="22" t="str">
        <f aca="false">IF($M1442="","",INDEX('Программа тренировок'!$G$6:$G$25,$M1442))</f>
        <v/>
      </c>
      <c r="L1442" s="23" t="str">
        <f aca="false">IF(OR($M1442="",$F1442="",$G1442=""),"",IF($H1442="Разминка","Разминка",IF($F1442&lt;INDEX('Программа тренировок'!$E$6:$E$25,$M1442),"Ниже диапазона",IF(AND($F1442&gt;=INDEX('Программа тренировок'!$F$6:$F$25,$M1442),$G1442&gt;=INDEX('Программа тренировок'!$L$6:$L$25,$M1442)),"Верх диапазона: пора добавлять вес",IF($G1442&lt;INDEX('Программа тренировок'!$L$6:$L$25,$M1442),"RIR ниже цели","В диапазоне")))))</f>
        <v/>
      </c>
      <c r="M1442" s="23" t="str">
        <f aca="false">IF($C1442="","",IFERROR(MATCH($C1442,'Программа тренировок'!$C$6:$C$25,0),""))</f>
        <v/>
      </c>
    </row>
    <row r="1443" customFormat="false" ht="15" hidden="false" customHeight="true" outlineLevel="0" collapsed="false">
      <c r="A1443" s="20"/>
      <c r="B1443" s="21"/>
      <c r="C1443" s="19"/>
      <c r="D1443" s="18"/>
      <c r="E1443" s="17"/>
      <c r="F1443" s="18"/>
      <c r="G1443" s="18"/>
      <c r="H1443" s="21"/>
      <c r="I1443" s="19"/>
      <c r="J1443" s="8" t="str">
        <f aca="false">IF(OR(E1443="",F1443=""),"",E1443*F1443)</f>
        <v/>
      </c>
      <c r="K1443" s="22" t="str">
        <f aca="false">IF($M1443="","",INDEX('Программа тренировок'!$G$6:$G$25,$M1443))</f>
        <v/>
      </c>
      <c r="L1443" s="23" t="str">
        <f aca="false">IF(OR($M1443="",$F1443="",$G1443=""),"",IF($H1443="Разминка","Разминка",IF($F1443&lt;INDEX('Программа тренировок'!$E$6:$E$25,$M1443),"Ниже диапазона",IF(AND($F1443&gt;=INDEX('Программа тренировок'!$F$6:$F$25,$M1443),$G1443&gt;=INDEX('Программа тренировок'!$L$6:$L$25,$M1443)),"Верх диапазона: пора добавлять вес",IF($G1443&lt;INDEX('Программа тренировок'!$L$6:$L$25,$M1443),"RIR ниже цели","В диапазоне")))))</f>
        <v/>
      </c>
      <c r="M1443" s="23" t="str">
        <f aca="false">IF($C1443="","",IFERROR(MATCH($C1443,'Программа тренировок'!$C$6:$C$25,0),""))</f>
        <v/>
      </c>
    </row>
    <row r="1444" customFormat="false" ht="15" hidden="false" customHeight="true" outlineLevel="0" collapsed="false">
      <c r="A1444" s="20"/>
      <c r="B1444" s="21"/>
      <c r="C1444" s="19"/>
      <c r="D1444" s="18"/>
      <c r="E1444" s="17"/>
      <c r="F1444" s="18"/>
      <c r="G1444" s="18"/>
      <c r="H1444" s="21"/>
      <c r="I1444" s="19"/>
      <c r="J1444" s="8" t="str">
        <f aca="false">IF(OR(E1444="",F1444=""),"",E1444*F1444)</f>
        <v/>
      </c>
      <c r="K1444" s="22" t="str">
        <f aca="false">IF($M1444="","",INDEX('Программа тренировок'!$G$6:$G$25,$M1444))</f>
        <v/>
      </c>
      <c r="L1444" s="23" t="str">
        <f aca="false">IF(OR($M1444="",$F1444="",$G1444=""),"",IF($H1444="Разминка","Разминка",IF($F1444&lt;INDEX('Программа тренировок'!$E$6:$E$25,$M1444),"Ниже диапазона",IF(AND($F1444&gt;=INDEX('Программа тренировок'!$F$6:$F$25,$M1444),$G1444&gt;=INDEX('Программа тренировок'!$L$6:$L$25,$M1444)),"Верх диапазона: пора добавлять вес",IF($G1444&lt;INDEX('Программа тренировок'!$L$6:$L$25,$M1444),"RIR ниже цели","В диапазоне")))))</f>
        <v/>
      </c>
      <c r="M1444" s="23" t="str">
        <f aca="false">IF($C1444="","",IFERROR(MATCH($C1444,'Программа тренировок'!$C$6:$C$25,0),""))</f>
        <v/>
      </c>
    </row>
    <row r="1445" customFormat="false" ht="15" hidden="false" customHeight="true" outlineLevel="0" collapsed="false">
      <c r="A1445" s="20"/>
      <c r="B1445" s="21"/>
      <c r="C1445" s="19"/>
      <c r="D1445" s="18"/>
      <c r="E1445" s="17"/>
      <c r="F1445" s="18"/>
      <c r="G1445" s="18"/>
      <c r="H1445" s="21"/>
      <c r="I1445" s="19"/>
      <c r="J1445" s="8" t="str">
        <f aca="false">IF(OR(E1445="",F1445=""),"",E1445*F1445)</f>
        <v/>
      </c>
      <c r="K1445" s="22" t="str">
        <f aca="false">IF($M1445="","",INDEX('Программа тренировок'!$G$6:$G$25,$M1445))</f>
        <v/>
      </c>
      <c r="L1445" s="23" t="str">
        <f aca="false">IF(OR($M1445="",$F1445="",$G1445=""),"",IF($H1445="Разминка","Разминка",IF($F1445&lt;INDEX('Программа тренировок'!$E$6:$E$25,$M1445),"Ниже диапазона",IF(AND($F1445&gt;=INDEX('Программа тренировок'!$F$6:$F$25,$M1445),$G1445&gt;=INDEX('Программа тренировок'!$L$6:$L$25,$M1445)),"Верх диапазона: пора добавлять вес",IF($G1445&lt;INDEX('Программа тренировок'!$L$6:$L$25,$M1445),"RIR ниже цели","В диапазоне")))))</f>
        <v/>
      </c>
      <c r="M1445" s="23" t="str">
        <f aca="false">IF($C1445="","",IFERROR(MATCH($C1445,'Программа тренировок'!$C$6:$C$25,0),""))</f>
        <v/>
      </c>
    </row>
    <row r="1446" customFormat="false" ht="15" hidden="false" customHeight="true" outlineLevel="0" collapsed="false">
      <c r="A1446" s="20"/>
      <c r="B1446" s="21"/>
      <c r="C1446" s="19"/>
      <c r="D1446" s="18"/>
      <c r="E1446" s="17"/>
      <c r="F1446" s="18"/>
      <c r="G1446" s="18"/>
      <c r="H1446" s="21"/>
      <c r="I1446" s="19"/>
      <c r="J1446" s="8" t="str">
        <f aca="false">IF(OR(E1446="",F1446=""),"",E1446*F1446)</f>
        <v/>
      </c>
      <c r="K1446" s="22" t="str">
        <f aca="false">IF($M1446="","",INDEX('Программа тренировок'!$G$6:$G$25,$M1446))</f>
        <v/>
      </c>
      <c r="L1446" s="23" t="str">
        <f aca="false">IF(OR($M1446="",$F1446="",$G1446=""),"",IF($H1446="Разминка","Разминка",IF($F1446&lt;INDEX('Программа тренировок'!$E$6:$E$25,$M1446),"Ниже диапазона",IF(AND($F1446&gt;=INDEX('Программа тренировок'!$F$6:$F$25,$M1446),$G1446&gt;=INDEX('Программа тренировок'!$L$6:$L$25,$M1446)),"Верх диапазона: пора добавлять вес",IF($G1446&lt;INDEX('Программа тренировок'!$L$6:$L$25,$M1446),"RIR ниже цели","В диапазоне")))))</f>
        <v/>
      </c>
      <c r="M1446" s="23" t="str">
        <f aca="false">IF($C1446="","",IFERROR(MATCH($C1446,'Программа тренировок'!$C$6:$C$25,0),""))</f>
        <v/>
      </c>
    </row>
    <row r="1447" customFormat="false" ht="15" hidden="false" customHeight="true" outlineLevel="0" collapsed="false">
      <c r="A1447" s="20"/>
      <c r="B1447" s="21"/>
      <c r="C1447" s="19"/>
      <c r="D1447" s="18"/>
      <c r="E1447" s="17"/>
      <c r="F1447" s="18"/>
      <c r="G1447" s="18"/>
      <c r="H1447" s="21"/>
      <c r="I1447" s="19"/>
      <c r="J1447" s="8" t="str">
        <f aca="false">IF(OR(E1447="",F1447=""),"",E1447*F1447)</f>
        <v/>
      </c>
      <c r="K1447" s="22" t="str">
        <f aca="false">IF($M1447="","",INDEX('Программа тренировок'!$G$6:$G$25,$M1447))</f>
        <v/>
      </c>
      <c r="L1447" s="23" t="str">
        <f aca="false">IF(OR($M1447="",$F1447="",$G1447=""),"",IF($H1447="Разминка","Разминка",IF($F1447&lt;INDEX('Программа тренировок'!$E$6:$E$25,$M1447),"Ниже диапазона",IF(AND($F1447&gt;=INDEX('Программа тренировок'!$F$6:$F$25,$M1447),$G1447&gt;=INDEX('Программа тренировок'!$L$6:$L$25,$M1447)),"Верх диапазона: пора добавлять вес",IF($G1447&lt;INDEX('Программа тренировок'!$L$6:$L$25,$M1447),"RIR ниже цели","В диапазоне")))))</f>
        <v/>
      </c>
      <c r="M1447" s="23" t="str">
        <f aca="false">IF($C1447="","",IFERROR(MATCH($C1447,'Программа тренировок'!$C$6:$C$25,0),""))</f>
        <v/>
      </c>
    </row>
    <row r="1448" customFormat="false" ht="15" hidden="false" customHeight="true" outlineLevel="0" collapsed="false">
      <c r="A1448" s="20"/>
      <c r="B1448" s="21"/>
      <c r="C1448" s="19"/>
      <c r="D1448" s="18"/>
      <c r="E1448" s="17"/>
      <c r="F1448" s="18"/>
      <c r="G1448" s="18"/>
      <c r="H1448" s="21"/>
      <c r="I1448" s="19"/>
      <c r="J1448" s="8" t="str">
        <f aca="false">IF(OR(E1448="",F1448=""),"",E1448*F1448)</f>
        <v/>
      </c>
      <c r="K1448" s="22" t="str">
        <f aca="false">IF($M1448="","",INDEX('Программа тренировок'!$G$6:$G$25,$M1448))</f>
        <v/>
      </c>
      <c r="L1448" s="23" t="str">
        <f aca="false">IF(OR($M1448="",$F1448="",$G1448=""),"",IF($H1448="Разминка","Разминка",IF($F1448&lt;INDEX('Программа тренировок'!$E$6:$E$25,$M1448),"Ниже диапазона",IF(AND($F1448&gt;=INDEX('Программа тренировок'!$F$6:$F$25,$M1448),$G1448&gt;=INDEX('Программа тренировок'!$L$6:$L$25,$M1448)),"Верх диапазона: пора добавлять вес",IF($G1448&lt;INDEX('Программа тренировок'!$L$6:$L$25,$M1448),"RIR ниже цели","В диапазоне")))))</f>
        <v/>
      </c>
      <c r="M1448" s="23" t="str">
        <f aca="false">IF($C1448="","",IFERROR(MATCH($C1448,'Программа тренировок'!$C$6:$C$25,0),""))</f>
        <v/>
      </c>
    </row>
    <row r="1449" customFormat="false" ht="15" hidden="false" customHeight="true" outlineLevel="0" collapsed="false">
      <c r="A1449" s="20"/>
      <c r="B1449" s="21"/>
      <c r="C1449" s="19"/>
      <c r="D1449" s="18"/>
      <c r="E1449" s="17"/>
      <c r="F1449" s="18"/>
      <c r="G1449" s="18"/>
      <c r="H1449" s="21"/>
      <c r="I1449" s="19"/>
      <c r="J1449" s="8" t="str">
        <f aca="false">IF(OR(E1449="",F1449=""),"",E1449*F1449)</f>
        <v/>
      </c>
      <c r="K1449" s="22" t="str">
        <f aca="false">IF($M1449="","",INDEX('Программа тренировок'!$G$6:$G$25,$M1449))</f>
        <v/>
      </c>
      <c r="L1449" s="23" t="str">
        <f aca="false">IF(OR($M1449="",$F1449="",$G1449=""),"",IF($H1449="Разминка","Разминка",IF($F1449&lt;INDEX('Программа тренировок'!$E$6:$E$25,$M1449),"Ниже диапазона",IF(AND($F1449&gt;=INDEX('Программа тренировок'!$F$6:$F$25,$M1449),$G1449&gt;=INDEX('Программа тренировок'!$L$6:$L$25,$M1449)),"Верх диапазона: пора добавлять вес",IF($G1449&lt;INDEX('Программа тренировок'!$L$6:$L$25,$M1449),"RIR ниже цели","В диапазоне")))))</f>
        <v/>
      </c>
      <c r="M1449" s="23" t="str">
        <f aca="false">IF($C1449="","",IFERROR(MATCH($C1449,'Программа тренировок'!$C$6:$C$25,0),""))</f>
        <v/>
      </c>
    </row>
    <row r="1450" customFormat="false" ht="15" hidden="false" customHeight="true" outlineLevel="0" collapsed="false">
      <c r="A1450" s="20"/>
      <c r="B1450" s="21"/>
      <c r="C1450" s="19"/>
      <c r="D1450" s="18"/>
      <c r="E1450" s="17"/>
      <c r="F1450" s="18"/>
      <c r="G1450" s="18"/>
      <c r="H1450" s="21"/>
      <c r="I1450" s="19"/>
      <c r="J1450" s="8" t="str">
        <f aca="false">IF(OR(E1450="",F1450=""),"",E1450*F1450)</f>
        <v/>
      </c>
      <c r="K1450" s="22" t="str">
        <f aca="false">IF($M1450="","",INDEX('Программа тренировок'!$G$6:$G$25,$M1450))</f>
        <v/>
      </c>
      <c r="L1450" s="23" t="str">
        <f aca="false">IF(OR($M1450="",$F1450="",$G1450=""),"",IF($H1450="Разминка","Разминка",IF($F1450&lt;INDEX('Программа тренировок'!$E$6:$E$25,$M1450),"Ниже диапазона",IF(AND($F1450&gt;=INDEX('Программа тренировок'!$F$6:$F$25,$M1450),$G1450&gt;=INDEX('Программа тренировок'!$L$6:$L$25,$M1450)),"Верх диапазона: пора добавлять вес",IF($G1450&lt;INDEX('Программа тренировок'!$L$6:$L$25,$M1450),"RIR ниже цели","В диапазоне")))))</f>
        <v/>
      </c>
      <c r="M1450" s="23" t="str">
        <f aca="false">IF($C1450="","",IFERROR(MATCH($C1450,'Программа тренировок'!$C$6:$C$25,0),""))</f>
        <v/>
      </c>
    </row>
    <row r="1451" customFormat="false" ht="15" hidden="false" customHeight="true" outlineLevel="0" collapsed="false">
      <c r="A1451" s="20"/>
      <c r="B1451" s="21"/>
      <c r="C1451" s="19"/>
      <c r="D1451" s="18"/>
      <c r="E1451" s="17"/>
      <c r="F1451" s="18"/>
      <c r="G1451" s="18"/>
      <c r="H1451" s="21"/>
      <c r="I1451" s="19"/>
      <c r="J1451" s="8" t="str">
        <f aca="false">IF(OR(E1451="",F1451=""),"",E1451*F1451)</f>
        <v/>
      </c>
      <c r="K1451" s="22" t="str">
        <f aca="false">IF($M1451="","",INDEX('Программа тренировок'!$G$6:$G$25,$M1451))</f>
        <v/>
      </c>
      <c r="L1451" s="23" t="str">
        <f aca="false">IF(OR($M1451="",$F1451="",$G1451=""),"",IF($H1451="Разминка","Разминка",IF($F1451&lt;INDEX('Программа тренировок'!$E$6:$E$25,$M1451),"Ниже диапазона",IF(AND($F1451&gt;=INDEX('Программа тренировок'!$F$6:$F$25,$M1451),$G1451&gt;=INDEX('Программа тренировок'!$L$6:$L$25,$M1451)),"Верх диапазона: пора добавлять вес",IF($G1451&lt;INDEX('Программа тренировок'!$L$6:$L$25,$M1451),"RIR ниже цели","В диапазоне")))))</f>
        <v/>
      </c>
      <c r="M1451" s="23" t="str">
        <f aca="false">IF($C1451="","",IFERROR(MATCH($C1451,'Программа тренировок'!$C$6:$C$25,0),""))</f>
        <v/>
      </c>
    </row>
    <row r="1452" customFormat="false" ht="15" hidden="false" customHeight="true" outlineLevel="0" collapsed="false">
      <c r="A1452" s="20"/>
      <c r="B1452" s="21"/>
      <c r="C1452" s="19"/>
      <c r="D1452" s="18"/>
      <c r="E1452" s="17"/>
      <c r="F1452" s="18"/>
      <c r="G1452" s="18"/>
      <c r="H1452" s="21"/>
      <c r="I1452" s="19"/>
      <c r="J1452" s="8" t="str">
        <f aca="false">IF(OR(E1452="",F1452=""),"",E1452*F1452)</f>
        <v/>
      </c>
      <c r="K1452" s="22" t="str">
        <f aca="false">IF($M1452="","",INDEX('Программа тренировок'!$G$6:$G$25,$M1452))</f>
        <v/>
      </c>
      <c r="L1452" s="23" t="str">
        <f aca="false">IF(OR($M1452="",$F1452="",$G1452=""),"",IF($H1452="Разминка","Разминка",IF($F1452&lt;INDEX('Программа тренировок'!$E$6:$E$25,$M1452),"Ниже диапазона",IF(AND($F1452&gt;=INDEX('Программа тренировок'!$F$6:$F$25,$M1452),$G1452&gt;=INDEX('Программа тренировок'!$L$6:$L$25,$M1452)),"Верх диапазона: пора добавлять вес",IF($G1452&lt;INDEX('Программа тренировок'!$L$6:$L$25,$M1452),"RIR ниже цели","В диапазоне")))))</f>
        <v/>
      </c>
      <c r="M1452" s="23" t="str">
        <f aca="false">IF($C1452="","",IFERROR(MATCH($C1452,'Программа тренировок'!$C$6:$C$25,0),""))</f>
        <v/>
      </c>
    </row>
    <row r="1453" customFormat="false" ht="15" hidden="false" customHeight="true" outlineLevel="0" collapsed="false">
      <c r="A1453" s="20"/>
      <c r="B1453" s="21"/>
      <c r="C1453" s="19"/>
      <c r="D1453" s="18"/>
      <c r="E1453" s="17"/>
      <c r="F1453" s="18"/>
      <c r="G1453" s="18"/>
      <c r="H1453" s="21"/>
      <c r="I1453" s="19"/>
      <c r="J1453" s="8" t="str">
        <f aca="false">IF(OR(E1453="",F1453=""),"",E1453*F1453)</f>
        <v/>
      </c>
      <c r="K1453" s="22" t="str">
        <f aca="false">IF($M1453="","",INDEX('Программа тренировок'!$G$6:$G$25,$M1453))</f>
        <v/>
      </c>
      <c r="L1453" s="23" t="str">
        <f aca="false">IF(OR($M1453="",$F1453="",$G1453=""),"",IF($H1453="Разминка","Разминка",IF($F1453&lt;INDEX('Программа тренировок'!$E$6:$E$25,$M1453),"Ниже диапазона",IF(AND($F1453&gt;=INDEX('Программа тренировок'!$F$6:$F$25,$M1453),$G1453&gt;=INDEX('Программа тренировок'!$L$6:$L$25,$M1453)),"Верх диапазона: пора добавлять вес",IF($G1453&lt;INDEX('Программа тренировок'!$L$6:$L$25,$M1453),"RIR ниже цели","В диапазоне")))))</f>
        <v/>
      </c>
      <c r="M1453" s="23" t="str">
        <f aca="false">IF($C1453="","",IFERROR(MATCH($C1453,'Программа тренировок'!$C$6:$C$25,0),""))</f>
        <v/>
      </c>
    </row>
    <row r="1454" customFormat="false" ht="15" hidden="false" customHeight="true" outlineLevel="0" collapsed="false">
      <c r="A1454" s="20"/>
      <c r="B1454" s="21"/>
      <c r="C1454" s="19"/>
      <c r="D1454" s="18"/>
      <c r="E1454" s="17"/>
      <c r="F1454" s="18"/>
      <c r="G1454" s="18"/>
      <c r="H1454" s="21"/>
      <c r="I1454" s="19"/>
      <c r="J1454" s="8" t="str">
        <f aca="false">IF(OR(E1454="",F1454=""),"",E1454*F1454)</f>
        <v/>
      </c>
      <c r="K1454" s="22" t="str">
        <f aca="false">IF($M1454="","",INDEX('Программа тренировок'!$G$6:$G$25,$M1454))</f>
        <v/>
      </c>
      <c r="L1454" s="23" t="str">
        <f aca="false">IF(OR($M1454="",$F1454="",$G1454=""),"",IF($H1454="Разминка","Разминка",IF($F1454&lt;INDEX('Программа тренировок'!$E$6:$E$25,$M1454),"Ниже диапазона",IF(AND($F1454&gt;=INDEX('Программа тренировок'!$F$6:$F$25,$M1454),$G1454&gt;=INDEX('Программа тренировок'!$L$6:$L$25,$M1454)),"Верх диапазона: пора добавлять вес",IF($G1454&lt;INDEX('Программа тренировок'!$L$6:$L$25,$M1454),"RIR ниже цели","В диапазоне")))))</f>
        <v/>
      </c>
      <c r="M1454" s="23" t="str">
        <f aca="false">IF($C1454="","",IFERROR(MATCH($C1454,'Программа тренировок'!$C$6:$C$25,0),""))</f>
        <v/>
      </c>
    </row>
    <row r="1455" customFormat="false" ht="15" hidden="false" customHeight="true" outlineLevel="0" collapsed="false">
      <c r="A1455" s="20"/>
      <c r="B1455" s="21"/>
      <c r="C1455" s="19"/>
      <c r="D1455" s="18"/>
      <c r="E1455" s="17"/>
      <c r="F1455" s="18"/>
      <c r="G1455" s="18"/>
      <c r="H1455" s="21"/>
      <c r="I1455" s="19"/>
      <c r="J1455" s="8" t="str">
        <f aca="false">IF(OR(E1455="",F1455=""),"",E1455*F1455)</f>
        <v/>
      </c>
      <c r="K1455" s="22" t="str">
        <f aca="false">IF($M1455="","",INDEX('Программа тренировок'!$G$6:$G$25,$M1455))</f>
        <v/>
      </c>
      <c r="L1455" s="23" t="str">
        <f aca="false">IF(OR($M1455="",$F1455="",$G1455=""),"",IF($H1455="Разминка","Разминка",IF($F1455&lt;INDEX('Программа тренировок'!$E$6:$E$25,$M1455),"Ниже диапазона",IF(AND($F1455&gt;=INDEX('Программа тренировок'!$F$6:$F$25,$M1455),$G1455&gt;=INDEX('Программа тренировок'!$L$6:$L$25,$M1455)),"Верх диапазона: пора добавлять вес",IF($G1455&lt;INDEX('Программа тренировок'!$L$6:$L$25,$M1455),"RIR ниже цели","В диапазоне")))))</f>
        <v/>
      </c>
      <c r="M1455" s="23" t="str">
        <f aca="false">IF($C1455="","",IFERROR(MATCH($C1455,'Программа тренировок'!$C$6:$C$25,0),""))</f>
        <v/>
      </c>
    </row>
    <row r="1456" customFormat="false" ht="15" hidden="false" customHeight="true" outlineLevel="0" collapsed="false">
      <c r="A1456" s="20"/>
      <c r="B1456" s="21"/>
      <c r="C1456" s="19"/>
      <c r="D1456" s="18"/>
      <c r="E1456" s="17"/>
      <c r="F1456" s="18"/>
      <c r="G1456" s="18"/>
      <c r="H1456" s="21"/>
      <c r="I1456" s="19"/>
      <c r="J1456" s="8" t="str">
        <f aca="false">IF(OR(E1456="",F1456=""),"",E1456*F1456)</f>
        <v/>
      </c>
      <c r="K1456" s="22" t="str">
        <f aca="false">IF($M1456="","",INDEX('Программа тренировок'!$G$6:$G$25,$M1456))</f>
        <v/>
      </c>
      <c r="L1456" s="23" t="str">
        <f aca="false">IF(OR($M1456="",$F1456="",$G1456=""),"",IF($H1456="Разминка","Разминка",IF($F1456&lt;INDEX('Программа тренировок'!$E$6:$E$25,$M1456),"Ниже диапазона",IF(AND($F1456&gt;=INDEX('Программа тренировок'!$F$6:$F$25,$M1456),$G1456&gt;=INDEX('Программа тренировок'!$L$6:$L$25,$M1456)),"Верх диапазона: пора добавлять вес",IF($G1456&lt;INDEX('Программа тренировок'!$L$6:$L$25,$M1456),"RIR ниже цели","В диапазоне")))))</f>
        <v/>
      </c>
      <c r="M1456" s="23" t="str">
        <f aca="false">IF($C1456="","",IFERROR(MATCH($C1456,'Программа тренировок'!$C$6:$C$25,0),""))</f>
        <v/>
      </c>
    </row>
    <row r="1457" customFormat="false" ht="15" hidden="false" customHeight="true" outlineLevel="0" collapsed="false">
      <c r="A1457" s="20"/>
      <c r="B1457" s="21"/>
      <c r="C1457" s="19"/>
      <c r="D1457" s="18"/>
      <c r="E1457" s="17"/>
      <c r="F1457" s="18"/>
      <c r="G1457" s="18"/>
      <c r="H1457" s="21"/>
      <c r="I1457" s="19"/>
      <c r="J1457" s="8" t="str">
        <f aca="false">IF(OR(E1457="",F1457=""),"",E1457*F1457)</f>
        <v/>
      </c>
      <c r="K1457" s="22" t="str">
        <f aca="false">IF($M1457="","",INDEX('Программа тренировок'!$G$6:$G$25,$M1457))</f>
        <v/>
      </c>
      <c r="L1457" s="23" t="str">
        <f aca="false">IF(OR($M1457="",$F1457="",$G1457=""),"",IF($H1457="Разминка","Разминка",IF($F1457&lt;INDEX('Программа тренировок'!$E$6:$E$25,$M1457),"Ниже диапазона",IF(AND($F1457&gt;=INDEX('Программа тренировок'!$F$6:$F$25,$M1457),$G1457&gt;=INDEX('Программа тренировок'!$L$6:$L$25,$M1457)),"Верх диапазона: пора добавлять вес",IF($G1457&lt;INDEX('Программа тренировок'!$L$6:$L$25,$M1457),"RIR ниже цели","В диапазоне")))))</f>
        <v/>
      </c>
      <c r="M1457" s="23" t="str">
        <f aca="false">IF($C1457="","",IFERROR(MATCH($C1457,'Программа тренировок'!$C$6:$C$25,0),""))</f>
        <v/>
      </c>
    </row>
    <row r="1458" customFormat="false" ht="15" hidden="false" customHeight="true" outlineLevel="0" collapsed="false">
      <c r="A1458" s="20"/>
      <c r="B1458" s="21"/>
      <c r="C1458" s="19"/>
      <c r="D1458" s="18"/>
      <c r="E1458" s="17"/>
      <c r="F1458" s="18"/>
      <c r="G1458" s="18"/>
      <c r="H1458" s="21"/>
      <c r="I1458" s="19"/>
      <c r="J1458" s="8" t="str">
        <f aca="false">IF(OR(E1458="",F1458=""),"",E1458*F1458)</f>
        <v/>
      </c>
      <c r="K1458" s="22" t="str">
        <f aca="false">IF($M1458="","",INDEX('Программа тренировок'!$G$6:$G$25,$M1458))</f>
        <v/>
      </c>
      <c r="L1458" s="23" t="str">
        <f aca="false">IF(OR($M1458="",$F1458="",$G1458=""),"",IF($H1458="Разминка","Разминка",IF($F1458&lt;INDEX('Программа тренировок'!$E$6:$E$25,$M1458),"Ниже диапазона",IF(AND($F1458&gt;=INDEX('Программа тренировок'!$F$6:$F$25,$M1458),$G1458&gt;=INDEX('Программа тренировок'!$L$6:$L$25,$M1458)),"Верх диапазона: пора добавлять вес",IF($G1458&lt;INDEX('Программа тренировок'!$L$6:$L$25,$M1458),"RIR ниже цели","В диапазоне")))))</f>
        <v/>
      </c>
      <c r="M1458" s="23" t="str">
        <f aca="false">IF($C1458="","",IFERROR(MATCH($C1458,'Программа тренировок'!$C$6:$C$25,0),""))</f>
        <v/>
      </c>
    </row>
    <row r="1459" customFormat="false" ht="15" hidden="false" customHeight="true" outlineLevel="0" collapsed="false">
      <c r="A1459" s="20"/>
      <c r="B1459" s="21"/>
      <c r="C1459" s="19"/>
      <c r="D1459" s="18"/>
      <c r="E1459" s="17"/>
      <c r="F1459" s="18"/>
      <c r="G1459" s="18"/>
      <c r="H1459" s="21"/>
      <c r="I1459" s="19"/>
      <c r="J1459" s="8" t="str">
        <f aca="false">IF(OR(E1459="",F1459=""),"",E1459*F1459)</f>
        <v/>
      </c>
      <c r="K1459" s="22" t="str">
        <f aca="false">IF($M1459="","",INDEX('Программа тренировок'!$G$6:$G$25,$M1459))</f>
        <v/>
      </c>
      <c r="L1459" s="23" t="str">
        <f aca="false">IF(OR($M1459="",$F1459="",$G1459=""),"",IF($H1459="Разминка","Разминка",IF($F1459&lt;INDEX('Программа тренировок'!$E$6:$E$25,$M1459),"Ниже диапазона",IF(AND($F1459&gt;=INDEX('Программа тренировок'!$F$6:$F$25,$M1459),$G1459&gt;=INDEX('Программа тренировок'!$L$6:$L$25,$M1459)),"Верх диапазона: пора добавлять вес",IF($G1459&lt;INDEX('Программа тренировок'!$L$6:$L$25,$M1459),"RIR ниже цели","В диапазоне")))))</f>
        <v/>
      </c>
      <c r="M1459" s="23" t="str">
        <f aca="false">IF($C1459="","",IFERROR(MATCH($C1459,'Программа тренировок'!$C$6:$C$25,0),""))</f>
        <v/>
      </c>
    </row>
    <row r="1460" customFormat="false" ht="15" hidden="false" customHeight="true" outlineLevel="0" collapsed="false">
      <c r="A1460" s="20"/>
      <c r="B1460" s="21"/>
      <c r="C1460" s="19"/>
      <c r="D1460" s="18"/>
      <c r="E1460" s="17"/>
      <c r="F1460" s="18"/>
      <c r="G1460" s="18"/>
      <c r="H1460" s="21"/>
      <c r="I1460" s="19"/>
      <c r="J1460" s="8" t="str">
        <f aca="false">IF(OR(E1460="",F1460=""),"",E1460*F1460)</f>
        <v/>
      </c>
      <c r="K1460" s="22" t="str">
        <f aca="false">IF($M1460="","",INDEX('Программа тренировок'!$G$6:$G$25,$M1460))</f>
        <v/>
      </c>
      <c r="L1460" s="23" t="str">
        <f aca="false">IF(OR($M1460="",$F1460="",$G1460=""),"",IF($H1460="Разминка","Разминка",IF($F1460&lt;INDEX('Программа тренировок'!$E$6:$E$25,$M1460),"Ниже диапазона",IF(AND($F1460&gt;=INDEX('Программа тренировок'!$F$6:$F$25,$M1460),$G1460&gt;=INDEX('Программа тренировок'!$L$6:$L$25,$M1460)),"Верх диапазона: пора добавлять вес",IF($G1460&lt;INDEX('Программа тренировок'!$L$6:$L$25,$M1460),"RIR ниже цели","В диапазоне")))))</f>
        <v/>
      </c>
      <c r="M1460" s="23" t="str">
        <f aca="false">IF($C1460="","",IFERROR(MATCH($C1460,'Программа тренировок'!$C$6:$C$25,0),""))</f>
        <v/>
      </c>
    </row>
    <row r="1461" customFormat="false" ht="15" hidden="false" customHeight="true" outlineLevel="0" collapsed="false">
      <c r="A1461" s="20"/>
      <c r="B1461" s="21"/>
      <c r="C1461" s="19"/>
      <c r="D1461" s="18"/>
      <c r="E1461" s="17"/>
      <c r="F1461" s="18"/>
      <c r="G1461" s="18"/>
      <c r="H1461" s="21"/>
      <c r="I1461" s="19"/>
      <c r="J1461" s="8" t="str">
        <f aca="false">IF(OR(E1461="",F1461=""),"",E1461*F1461)</f>
        <v/>
      </c>
      <c r="K1461" s="22" t="str">
        <f aca="false">IF($M1461="","",INDEX('Программа тренировок'!$G$6:$G$25,$M1461))</f>
        <v/>
      </c>
      <c r="L1461" s="23" t="str">
        <f aca="false">IF(OR($M1461="",$F1461="",$G1461=""),"",IF($H1461="Разминка","Разминка",IF($F1461&lt;INDEX('Программа тренировок'!$E$6:$E$25,$M1461),"Ниже диапазона",IF(AND($F1461&gt;=INDEX('Программа тренировок'!$F$6:$F$25,$M1461),$G1461&gt;=INDEX('Программа тренировок'!$L$6:$L$25,$M1461)),"Верх диапазона: пора добавлять вес",IF($G1461&lt;INDEX('Программа тренировок'!$L$6:$L$25,$M1461),"RIR ниже цели","В диапазоне")))))</f>
        <v/>
      </c>
      <c r="M1461" s="23" t="str">
        <f aca="false">IF($C1461="","",IFERROR(MATCH($C1461,'Программа тренировок'!$C$6:$C$25,0),""))</f>
        <v/>
      </c>
    </row>
    <row r="1462" customFormat="false" ht="15" hidden="false" customHeight="true" outlineLevel="0" collapsed="false">
      <c r="A1462" s="20"/>
      <c r="B1462" s="21"/>
      <c r="C1462" s="19"/>
      <c r="D1462" s="18"/>
      <c r="E1462" s="17"/>
      <c r="F1462" s="18"/>
      <c r="G1462" s="18"/>
      <c r="H1462" s="21"/>
      <c r="I1462" s="19"/>
      <c r="J1462" s="8" t="str">
        <f aca="false">IF(OR(E1462="",F1462=""),"",E1462*F1462)</f>
        <v/>
      </c>
      <c r="K1462" s="22" t="str">
        <f aca="false">IF($M1462="","",INDEX('Программа тренировок'!$G$6:$G$25,$M1462))</f>
        <v/>
      </c>
      <c r="L1462" s="23" t="str">
        <f aca="false">IF(OR($M1462="",$F1462="",$G1462=""),"",IF($H1462="Разминка","Разминка",IF($F1462&lt;INDEX('Программа тренировок'!$E$6:$E$25,$M1462),"Ниже диапазона",IF(AND($F1462&gt;=INDEX('Программа тренировок'!$F$6:$F$25,$M1462),$G1462&gt;=INDEX('Программа тренировок'!$L$6:$L$25,$M1462)),"Верх диапазона: пора добавлять вес",IF($G1462&lt;INDEX('Программа тренировок'!$L$6:$L$25,$M1462),"RIR ниже цели","В диапазоне")))))</f>
        <v/>
      </c>
      <c r="M1462" s="23" t="str">
        <f aca="false">IF($C1462="","",IFERROR(MATCH($C1462,'Программа тренировок'!$C$6:$C$25,0),""))</f>
        <v/>
      </c>
    </row>
    <row r="1463" customFormat="false" ht="15" hidden="false" customHeight="true" outlineLevel="0" collapsed="false">
      <c r="A1463" s="20"/>
      <c r="B1463" s="21"/>
      <c r="C1463" s="19"/>
      <c r="D1463" s="18"/>
      <c r="E1463" s="17"/>
      <c r="F1463" s="18"/>
      <c r="G1463" s="18"/>
      <c r="H1463" s="21"/>
      <c r="I1463" s="19"/>
      <c r="J1463" s="8" t="str">
        <f aca="false">IF(OR(E1463="",F1463=""),"",E1463*F1463)</f>
        <v/>
      </c>
      <c r="K1463" s="22" t="str">
        <f aca="false">IF($M1463="","",INDEX('Программа тренировок'!$G$6:$G$25,$M1463))</f>
        <v/>
      </c>
      <c r="L1463" s="23" t="str">
        <f aca="false">IF(OR($M1463="",$F1463="",$G1463=""),"",IF($H1463="Разминка","Разминка",IF($F1463&lt;INDEX('Программа тренировок'!$E$6:$E$25,$M1463),"Ниже диапазона",IF(AND($F1463&gt;=INDEX('Программа тренировок'!$F$6:$F$25,$M1463),$G1463&gt;=INDEX('Программа тренировок'!$L$6:$L$25,$M1463)),"Верх диапазона: пора добавлять вес",IF($G1463&lt;INDEX('Программа тренировок'!$L$6:$L$25,$M1463),"RIR ниже цели","В диапазоне")))))</f>
        <v/>
      </c>
      <c r="M1463" s="23" t="str">
        <f aca="false">IF($C1463="","",IFERROR(MATCH($C1463,'Программа тренировок'!$C$6:$C$25,0),""))</f>
        <v/>
      </c>
    </row>
    <row r="1464" customFormat="false" ht="15" hidden="false" customHeight="true" outlineLevel="0" collapsed="false">
      <c r="A1464" s="20"/>
      <c r="B1464" s="21"/>
      <c r="C1464" s="19"/>
      <c r="D1464" s="18"/>
      <c r="E1464" s="17"/>
      <c r="F1464" s="18"/>
      <c r="G1464" s="18"/>
      <c r="H1464" s="21"/>
      <c r="I1464" s="19"/>
      <c r="J1464" s="8" t="str">
        <f aca="false">IF(OR(E1464="",F1464=""),"",E1464*F1464)</f>
        <v/>
      </c>
      <c r="K1464" s="22" t="str">
        <f aca="false">IF($M1464="","",INDEX('Программа тренировок'!$G$6:$G$25,$M1464))</f>
        <v/>
      </c>
      <c r="L1464" s="23" t="str">
        <f aca="false">IF(OR($M1464="",$F1464="",$G1464=""),"",IF($H1464="Разминка","Разминка",IF($F1464&lt;INDEX('Программа тренировок'!$E$6:$E$25,$M1464),"Ниже диапазона",IF(AND($F1464&gt;=INDEX('Программа тренировок'!$F$6:$F$25,$M1464),$G1464&gt;=INDEX('Программа тренировок'!$L$6:$L$25,$M1464)),"Верх диапазона: пора добавлять вес",IF($G1464&lt;INDEX('Программа тренировок'!$L$6:$L$25,$M1464),"RIR ниже цели","В диапазоне")))))</f>
        <v/>
      </c>
      <c r="M1464" s="23" t="str">
        <f aca="false">IF($C1464="","",IFERROR(MATCH($C1464,'Программа тренировок'!$C$6:$C$25,0),""))</f>
        <v/>
      </c>
    </row>
    <row r="1465" customFormat="false" ht="15" hidden="false" customHeight="true" outlineLevel="0" collapsed="false">
      <c r="A1465" s="20"/>
      <c r="B1465" s="21"/>
      <c r="C1465" s="19"/>
      <c r="D1465" s="18"/>
      <c r="E1465" s="17"/>
      <c r="F1465" s="18"/>
      <c r="G1465" s="18"/>
      <c r="H1465" s="21"/>
      <c r="I1465" s="19"/>
      <c r="J1465" s="8" t="str">
        <f aca="false">IF(OR(E1465="",F1465=""),"",E1465*F1465)</f>
        <v/>
      </c>
      <c r="K1465" s="22" t="str">
        <f aca="false">IF($M1465="","",INDEX('Программа тренировок'!$G$6:$G$25,$M1465))</f>
        <v/>
      </c>
      <c r="L1465" s="23" t="str">
        <f aca="false">IF(OR($M1465="",$F1465="",$G1465=""),"",IF($H1465="Разминка","Разминка",IF($F1465&lt;INDEX('Программа тренировок'!$E$6:$E$25,$M1465),"Ниже диапазона",IF(AND($F1465&gt;=INDEX('Программа тренировок'!$F$6:$F$25,$M1465),$G1465&gt;=INDEX('Программа тренировок'!$L$6:$L$25,$M1465)),"Верх диапазона: пора добавлять вес",IF($G1465&lt;INDEX('Программа тренировок'!$L$6:$L$25,$M1465),"RIR ниже цели","В диапазоне")))))</f>
        <v/>
      </c>
      <c r="M1465" s="23" t="str">
        <f aca="false">IF($C1465="","",IFERROR(MATCH($C1465,'Программа тренировок'!$C$6:$C$25,0),""))</f>
        <v/>
      </c>
    </row>
    <row r="1466" customFormat="false" ht="15" hidden="false" customHeight="true" outlineLevel="0" collapsed="false">
      <c r="A1466" s="20"/>
      <c r="B1466" s="21"/>
      <c r="C1466" s="19"/>
      <c r="D1466" s="18"/>
      <c r="E1466" s="17"/>
      <c r="F1466" s="18"/>
      <c r="G1466" s="18"/>
      <c r="H1466" s="21"/>
      <c r="I1466" s="19"/>
      <c r="J1466" s="8" t="str">
        <f aca="false">IF(OR(E1466="",F1466=""),"",E1466*F1466)</f>
        <v/>
      </c>
      <c r="K1466" s="22" t="str">
        <f aca="false">IF($M1466="","",INDEX('Программа тренировок'!$G$6:$G$25,$M1466))</f>
        <v/>
      </c>
      <c r="L1466" s="23" t="str">
        <f aca="false">IF(OR($M1466="",$F1466="",$G1466=""),"",IF($H1466="Разминка","Разминка",IF($F1466&lt;INDEX('Программа тренировок'!$E$6:$E$25,$M1466),"Ниже диапазона",IF(AND($F1466&gt;=INDEX('Программа тренировок'!$F$6:$F$25,$M1466),$G1466&gt;=INDEX('Программа тренировок'!$L$6:$L$25,$M1466)),"Верх диапазона: пора добавлять вес",IF($G1466&lt;INDEX('Программа тренировок'!$L$6:$L$25,$M1466),"RIR ниже цели","В диапазоне")))))</f>
        <v/>
      </c>
      <c r="M1466" s="23" t="str">
        <f aca="false">IF($C1466="","",IFERROR(MATCH($C1466,'Программа тренировок'!$C$6:$C$25,0),""))</f>
        <v/>
      </c>
    </row>
    <row r="1467" customFormat="false" ht="15" hidden="false" customHeight="true" outlineLevel="0" collapsed="false">
      <c r="A1467" s="20"/>
      <c r="B1467" s="21"/>
      <c r="C1467" s="19"/>
      <c r="D1467" s="18"/>
      <c r="E1467" s="17"/>
      <c r="F1467" s="18"/>
      <c r="G1467" s="18"/>
      <c r="H1467" s="21"/>
      <c r="I1467" s="19"/>
      <c r="J1467" s="8" t="str">
        <f aca="false">IF(OR(E1467="",F1467=""),"",E1467*F1467)</f>
        <v/>
      </c>
      <c r="K1467" s="22" t="str">
        <f aca="false">IF($M1467="","",INDEX('Программа тренировок'!$G$6:$G$25,$M1467))</f>
        <v/>
      </c>
      <c r="L1467" s="23" t="str">
        <f aca="false">IF(OR($M1467="",$F1467="",$G1467=""),"",IF($H1467="Разминка","Разминка",IF($F1467&lt;INDEX('Программа тренировок'!$E$6:$E$25,$M1467),"Ниже диапазона",IF(AND($F1467&gt;=INDEX('Программа тренировок'!$F$6:$F$25,$M1467),$G1467&gt;=INDEX('Программа тренировок'!$L$6:$L$25,$M1467)),"Верх диапазона: пора добавлять вес",IF($G1467&lt;INDEX('Программа тренировок'!$L$6:$L$25,$M1467),"RIR ниже цели","В диапазоне")))))</f>
        <v/>
      </c>
      <c r="M1467" s="23" t="str">
        <f aca="false">IF($C1467="","",IFERROR(MATCH($C1467,'Программа тренировок'!$C$6:$C$25,0),""))</f>
        <v/>
      </c>
    </row>
    <row r="1468" customFormat="false" ht="15" hidden="false" customHeight="true" outlineLevel="0" collapsed="false">
      <c r="A1468" s="20"/>
      <c r="B1468" s="21"/>
      <c r="C1468" s="19"/>
      <c r="D1468" s="18"/>
      <c r="E1468" s="17"/>
      <c r="F1468" s="18"/>
      <c r="G1468" s="18"/>
      <c r="H1468" s="21"/>
      <c r="I1468" s="19"/>
      <c r="J1468" s="8" t="str">
        <f aca="false">IF(OR(E1468="",F1468=""),"",E1468*F1468)</f>
        <v/>
      </c>
      <c r="K1468" s="22" t="str">
        <f aca="false">IF($M1468="","",INDEX('Программа тренировок'!$G$6:$G$25,$M1468))</f>
        <v/>
      </c>
      <c r="L1468" s="23" t="str">
        <f aca="false">IF(OR($M1468="",$F1468="",$G1468=""),"",IF($H1468="Разминка","Разминка",IF($F1468&lt;INDEX('Программа тренировок'!$E$6:$E$25,$M1468),"Ниже диапазона",IF(AND($F1468&gt;=INDEX('Программа тренировок'!$F$6:$F$25,$M1468),$G1468&gt;=INDEX('Программа тренировок'!$L$6:$L$25,$M1468)),"Верх диапазона: пора добавлять вес",IF($G1468&lt;INDEX('Программа тренировок'!$L$6:$L$25,$M1468),"RIR ниже цели","В диапазоне")))))</f>
        <v/>
      </c>
      <c r="M1468" s="23" t="str">
        <f aca="false">IF($C1468="","",IFERROR(MATCH($C1468,'Программа тренировок'!$C$6:$C$25,0),""))</f>
        <v/>
      </c>
    </row>
    <row r="1469" customFormat="false" ht="15" hidden="false" customHeight="true" outlineLevel="0" collapsed="false">
      <c r="A1469" s="20"/>
      <c r="B1469" s="21"/>
      <c r="C1469" s="19"/>
      <c r="D1469" s="18"/>
      <c r="E1469" s="17"/>
      <c r="F1469" s="18"/>
      <c r="G1469" s="18"/>
      <c r="H1469" s="21"/>
      <c r="I1469" s="19"/>
      <c r="J1469" s="8" t="str">
        <f aca="false">IF(OR(E1469="",F1469=""),"",E1469*F1469)</f>
        <v/>
      </c>
      <c r="K1469" s="22" t="str">
        <f aca="false">IF($M1469="","",INDEX('Программа тренировок'!$G$6:$G$25,$M1469))</f>
        <v/>
      </c>
      <c r="L1469" s="23" t="str">
        <f aca="false">IF(OR($M1469="",$F1469="",$G1469=""),"",IF($H1469="Разминка","Разминка",IF($F1469&lt;INDEX('Программа тренировок'!$E$6:$E$25,$M1469),"Ниже диапазона",IF(AND($F1469&gt;=INDEX('Программа тренировок'!$F$6:$F$25,$M1469),$G1469&gt;=INDEX('Программа тренировок'!$L$6:$L$25,$M1469)),"Верх диапазона: пора добавлять вес",IF($G1469&lt;INDEX('Программа тренировок'!$L$6:$L$25,$M1469),"RIR ниже цели","В диапазоне")))))</f>
        <v/>
      </c>
      <c r="M1469" s="23" t="str">
        <f aca="false">IF($C1469="","",IFERROR(MATCH($C1469,'Программа тренировок'!$C$6:$C$25,0),""))</f>
        <v/>
      </c>
    </row>
    <row r="1470" customFormat="false" ht="15" hidden="false" customHeight="true" outlineLevel="0" collapsed="false">
      <c r="A1470" s="20"/>
      <c r="B1470" s="21"/>
      <c r="C1470" s="19"/>
      <c r="D1470" s="18"/>
      <c r="E1470" s="17"/>
      <c r="F1470" s="18"/>
      <c r="G1470" s="18"/>
      <c r="H1470" s="21"/>
      <c r="I1470" s="19"/>
      <c r="J1470" s="8" t="str">
        <f aca="false">IF(OR(E1470="",F1470=""),"",E1470*F1470)</f>
        <v/>
      </c>
      <c r="K1470" s="22" t="str">
        <f aca="false">IF($M1470="","",INDEX('Программа тренировок'!$G$6:$G$25,$M1470))</f>
        <v/>
      </c>
      <c r="L1470" s="23" t="str">
        <f aca="false">IF(OR($M1470="",$F1470="",$G1470=""),"",IF($H1470="Разминка","Разминка",IF($F1470&lt;INDEX('Программа тренировок'!$E$6:$E$25,$M1470),"Ниже диапазона",IF(AND($F1470&gt;=INDEX('Программа тренировок'!$F$6:$F$25,$M1470),$G1470&gt;=INDEX('Программа тренировок'!$L$6:$L$25,$M1470)),"Верх диапазона: пора добавлять вес",IF($G1470&lt;INDEX('Программа тренировок'!$L$6:$L$25,$M1470),"RIR ниже цели","В диапазоне")))))</f>
        <v/>
      </c>
      <c r="M1470" s="23" t="str">
        <f aca="false">IF($C1470="","",IFERROR(MATCH($C1470,'Программа тренировок'!$C$6:$C$25,0),""))</f>
        <v/>
      </c>
    </row>
    <row r="1471" customFormat="false" ht="15" hidden="false" customHeight="true" outlineLevel="0" collapsed="false">
      <c r="A1471" s="20"/>
      <c r="B1471" s="21"/>
      <c r="C1471" s="19"/>
      <c r="D1471" s="18"/>
      <c r="E1471" s="17"/>
      <c r="F1471" s="18"/>
      <c r="G1471" s="18"/>
      <c r="H1471" s="21"/>
      <c r="I1471" s="19"/>
      <c r="J1471" s="8" t="str">
        <f aca="false">IF(OR(E1471="",F1471=""),"",E1471*F1471)</f>
        <v/>
      </c>
      <c r="K1471" s="22" t="str">
        <f aca="false">IF($M1471="","",INDEX('Программа тренировок'!$G$6:$G$25,$M1471))</f>
        <v/>
      </c>
      <c r="L1471" s="23" t="str">
        <f aca="false">IF(OR($M1471="",$F1471="",$G1471=""),"",IF($H1471="Разминка","Разминка",IF($F1471&lt;INDEX('Программа тренировок'!$E$6:$E$25,$M1471),"Ниже диапазона",IF(AND($F1471&gt;=INDEX('Программа тренировок'!$F$6:$F$25,$M1471),$G1471&gt;=INDEX('Программа тренировок'!$L$6:$L$25,$M1471)),"Верх диапазона: пора добавлять вес",IF($G1471&lt;INDEX('Программа тренировок'!$L$6:$L$25,$M1471),"RIR ниже цели","В диапазоне")))))</f>
        <v/>
      </c>
      <c r="M1471" s="23" t="str">
        <f aca="false">IF($C1471="","",IFERROR(MATCH($C1471,'Программа тренировок'!$C$6:$C$25,0),""))</f>
        <v/>
      </c>
    </row>
    <row r="1472" customFormat="false" ht="15" hidden="false" customHeight="true" outlineLevel="0" collapsed="false">
      <c r="A1472" s="20"/>
      <c r="B1472" s="21"/>
      <c r="C1472" s="19"/>
      <c r="D1472" s="18"/>
      <c r="E1472" s="17"/>
      <c r="F1472" s="18"/>
      <c r="G1472" s="18"/>
      <c r="H1472" s="21"/>
      <c r="I1472" s="19"/>
      <c r="J1472" s="8" t="str">
        <f aca="false">IF(OR(E1472="",F1472=""),"",E1472*F1472)</f>
        <v/>
      </c>
      <c r="K1472" s="22" t="str">
        <f aca="false">IF($M1472="","",INDEX('Программа тренировок'!$G$6:$G$25,$M1472))</f>
        <v/>
      </c>
      <c r="L1472" s="23" t="str">
        <f aca="false">IF(OR($M1472="",$F1472="",$G1472=""),"",IF($H1472="Разминка","Разминка",IF($F1472&lt;INDEX('Программа тренировок'!$E$6:$E$25,$M1472),"Ниже диапазона",IF(AND($F1472&gt;=INDEX('Программа тренировок'!$F$6:$F$25,$M1472),$G1472&gt;=INDEX('Программа тренировок'!$L$6:$L$25,$M1472)),"Верх диапазона: пора добавлять вес",IF($G1472&lt;INDEX('Программа тренировок'!$L$6:$L$25,$M1472),"RIR ниже цели","В диапазоне")))))</f>
        <v/>
      </c>
      <c r="M1472" s="23" t="str">
        <f aca="false">IF($C1472="","",IFERROR(MATCH($C1472,'Программа тренировок'!$C$6:$C$25,0),""))</f>
        <v/>
      </c>
    </row>
    <row r="1473" customFormat="false" ht="15" hidden="false" customHeight="true" outlineLevel="0" collapsed="false">
      <c r="A1473" s="20"/>
      <c r="B1473" s="21"/>
      <c r="C1473" s="19"/>
      <c r="D1473" s="18"/>
      <c r="E1473" s="17"/>
      <c r="F1473" s="18"/>
      <c r="G1473" s="18"/>
      <c r="H1473" s="21"/>
      <c r="I1473" s="19"/>
      <c r="J1473" s="8" t="str">
        <f aca="false">IF(OR(E1473="",F1473=""),"",E1473*F1473)</f>
        <v/>
      </c>
      <c r="K1473" s="22" t="str">
        <f aca="false">IF($M1473="","",INDEX('Программа тренировок'!$G$6:$G$25,$M1473))</f>
        <v/>
      </c>
      <c r="L1473" s="23" t="str">
        <f aca="false">IF(OR($M1473="",$F1473="",$G1473=""),"",IF($H1473="Разминка","Разминка",IF($F1473&lt;INDEX('Программа тренировок'!$E$6:$E$25,$M1473),"Ниже диапазона",IF(AND($F1473&gt;=INDEX('Программа тренировок'!$F$6:$F$25,$M1473),$G1473&gt;=INDEX('Программа тренировок'!$L$6:$L$25,$M1473)),"Верх диапазона: пора добавлять вес",IF($G1473&lt;INDEX('Программа тренировок'!$L$6:$L$25,$M1473),"RIR ниже цели","В диапазоне")))))</f>
        <v/>
      </c>
      <c r="M1473" s="23" t="str">
        <f aca="false">IF($C1473="","",IFERROR(MATCH($C1473,'Программа тренировок'!$C$6:$C$25,0),""))</f>
        <v/>
      </c>
    </row>
    <row r="1474" customFormat="false" ht="15" hidden="false" customHeight="true" outlineLevel="0" collapsed="false">
      <c r="A1474" s="20"/>
      <c r="B1474" s="21"/>
      <c r="C1474" s="19"/>
      <c r="D1474" s="18"/>
      <c r="E1474" s="17"/>
      <c r="F1474" s="18"/>
      <c r="G1474" s="18"/>
      <c r="H1474" s="21"/>
      <c r="I1474" s="19"/>
      <c r="J1474" s="8" t="str">
        <f aca="false">IF(OR(E1474="",F1474=""),"",E1474*F1474)</f>
        <v/>
      </c>
      <c r="K1474" s="22" t="str">
        <f aca="false">IF($M1474="","",INDEX('Программа тренировок'!$G$6:$G$25,$M1474))</f>
        <v/>
      </c>
      <c r="L1474" s="23" t="str">
        <f aca="false">IF(OR($M1474="",$F1474="",$G1474=""),"",IF($H1474="Разминка","Разминка",IF($F1474&lt;INDEX('Программа тренировок'!$E$6:$E$25,$M1474),"Ниже диапазона",IF(AND($F1474&gt;=INDEX('Программа тренировок'!$F$6:$F$25,$M1474),$G1474&gt;=INDEX('Программа тренировок'!$L$6:$L$25,$M1474)),"Верх диапазона: пора добавлять вес",IF($G1474&lt;INDEX('Программа тренировок'!$L$6:$L$25,$M1474),"RIR ниже цели","В диапазоне")))))</f>
        <v/>
      </c>
      <c r="M1474" s="23" t="str">
        <f aca="false">IF($C1474="","",IFERROR(MATCH($C1474,'Программа тренировок'!$C$6:$C$25,0),""))</f>
        <v/>
      </c>
    </row>
    <row r="1475" customFormat="false" ht="15" hidden="false" customHeight="true" outlineLevel="0" collapsed="false">
      <c r="A1475" s="20"/>
      <c r="B1475" s="21"/>
      <c r="C1475" s="19"/>
      <c r="D1475" s="18"/>
      <c r="E1475" s="17"/>
      <c r="F1475" s="18"/>
      <c r="G1475" s="18"/>
      <c r="H1475" s="21"/>
      <c r="I1475" s="19"/>
      <c r="J1475" s="8" t="str">
        <f aca="false">IF(OR(E1475="",F1475=""),"",E1475*F1475)</f>
        <v/>
      </c>
      <c r="K1475" s="22" t="str">
        <f aca="false">IF($M1475="","",INDEX('Программа тренировок'!$G$6:$G$25,$M1475))</f>
        <v/>
      </c>
      <c r="L1475" s="23" t="str">
        <f aca="false">IF(OR($M1475="",$F1475="",$G1475=""),"",IF($H1475="Разминка","Разминка",IF($F1475&lt;INDEX('Программа тренировок'!$E$6:$E$25,$M1475),"Ниже диапазона",IF(AND($F1475&gt;=INDEX('Программа тренировок'!$F$6:$F$25,$M1475),$G1475&gt;=INDEX('Программа тренировок'!$L$6:$L$25,$M1475)),"Верх диапазона: пора добавлять вес",IF($G1475&lt;INDEX('Программа тренировок'!$L$6:$L$25,$M1475),"RIR ниже цели","В диапазоне")))))</f>
        <v/>
      </c>
      <c r="M1475" s="23" t="str">
        <f aca="false">IF($C1475="","",IFERROR(MATCH($C1475,'Программа тренировок'!$C$6:$C$25,0),""))</f>
        <v/>
      </c>
    </row>
    <row r="1476" customFormat="false" ht="15" hidden="false" customHeight="true" outlineLevel="0" collapsed="false">
      <c r="A1476" s="20"/>
      <c r="B1476" s="21"/>
      <c r="C1476" s="19"/>
      <c r="D1476" s="18"/>
      <c r="E1476" s="17"/>
      <c r="F1476" s="18"/>
      <c r="G1476" s="18"/>
      <c r="H1476" s="21"/>
      <c r="I1476" s="19"/>
      <c r="J1476" s="8" t="str">
        <f aca="false">IF(OR(E1476="",F1476=""),"",E1476*F1476)</f>
        <v/>
      </c>
      <c r="K1476" s="22" t="str">
        <f aca="false">IF($M1476="","",INDEX('Программа тренировок'!$G$6:$G$25,$M1476))</f>
        <v/>
      </c>
      <c r="L1476" s="23" t="str">
        <f aca="false">IF(OR($M1476="",$F1476="",$G1476=""),"",IF($H1476="Разминка","Разминка",IF($F1476&lt;INDEX('Программа тренировок'!$E$6:$E$25,$M1476),"Ниже диапазона",IF(AND($F1476&gt;=INDEX('Программа тренировок'!$F$6:$F$25,$M1476),$G1476&gt;=INDEX('Программа тренировок'!$L$6:$L$25,$M1476)),"Верх диапазона: пора добавлять вес",IF($G1476&lt;INDEX('Программа тренировок'!$L$6:$L$25,$M1476),"RIR ниже цели","В диапазоне")))))</f>
        <v/>
      </c>
      <c r="M1476" s="23" t="str">
        <f aca="false">IF($C1476="","",IFERROR(MATCH($C1476,'Программа тренировок'!$C$6:$C$25,0),""))</f>
        <v/>
      </c>
    </row>
    <row r="1477" customFormat="false" ht="15" hidden="false" customHeight="true" outlineLevel="0" collapsed="false">
      <c r="A1477" s="20"/>
      <c r="B1477" s="21"/>
      <c r="C1477" s="19"/>
      <c r="D1477" s="18"/>
      <c r="E1477" s="17"/>
      <c r="F1477" s="18"/>
      <c r="G1477" s="18"/>
      <c r="H1477" s="21"/>
      <c r="I1477" s="19"/>
      <c r="J1477" s="8" t="str">
        <f aca="false">IF(OR(E1477="",F1477=""),"",E1477*F1477)</f>
        <v/>
      </c>
      <c r="K1477" s="22" t="str">
        <f aca="false">IF($M1477="","",INDEX('Программа тренировок'!$G$6:$G$25,$M1477))</f>
        <v/>
      </c>
      <c r="L1477" s="23" t="str">
        <f aca="false">IF(OR($M1477="",$F1477="",$G1477=""),"",IF($H1477="Разминка","Разминка",IF($F1477&lt;INDEX('Программа тренировок'!$E$6:$E$25,$M1477),"Ниже диапазона",IF(AND($F1477&gt;=INDEX('Программа тренировок'!$F$6:$F$25,$M1477),$G1477&gt;=INDEX('Программа тренировок'!$L$6:$L$25,$M1477)),"Верх диапазона: пора добавлять вес",IF($G1477&lt;INDEX('Программа тренировок'!$L$6:$L$25,$M1477),"RIR ниже цели","В диапазоне")))))</f>
        <v/>
      </c>
      <c r="M1477" s="23" t="str">
        <f aca="false">IF($C1477="","",IFERROR(MATCH($C1477,'Программа тренировок'!$C$6:$C$25,0),""))</f>
        <v/>
      </c>
    </row>
    <row r="1478" customFormat="false" ht="15" hidden="false" customHeight="true" outlineLevel="0" collapsed="false">
      <c r="A1478" s="20"/>
      <c r="B1478" s="21"/>
      <c r="C1478" s="19"/>
      <c r="D1478" s="18"/>
      <c r="E1478" s="17"/>
      <c r="F1478" s="18"/>
      <c r="G1478" s="18"/>
      <c r="H1478" s="21"/>
      <c r="I1478" s="19"/>
      <c r="J1478" s="8" t="str">
        <f aca="false">IF(OR(E1478="",F1478=""),"",E1478*F1478)</f>
        <v/>
      </c>
      <c r="K1478" s="22" t="str">
        <f aca="false">IF($M1478="","",INDEX('Программа тренировок'!$G$6:$G$25,$M1478))</f>
        <v/>
      </c>
      <c r="L1478" s="23" t="str">
        <f aca="false">IF(OR($M1478="",$F1478="",$G1478=""),"",IF($H1478="Разминка","Разминка",IF($F1478&lt;INDEX('Программа тренировок'!$E$6:$E$25,$M1478),"Ниже диапазона",IF(AND($F1478&gt;=INDEX('Программа тренировок'!$F$6:$F$25,$M1478),$G1478&gt;=INDEX('Программа тренировок'!$L$6:$L$25,$M1478)),"Верх диапазона: пора добавлять вес",IF($G1478&lt;INDEX('Программа тренировок'!$L$6:$L$25,$M1478),"RIR ниже цели","В диапазоне")))))</f>
        <v/>
      </c>
      <c r="M1478" s="23" t="str">
        <f aca="false">IF($C1478="","",IFERROR(MATCH($C1478,'Программа тренировок'!$C$6:$C$25,0),""))</f>
        <v/>
      </c>
    </row>
    <row r="1479" customFormat="false" ht="15" hidden="false" customHeight="true" outlineLevel="0" collapsed="false">
      <c r="A1479" s="20"/>
      <c r="B1479" s="21"/>
      <c r="C1479" s="19"/>
      <c r="D1479" s="18"/>
      <c r="E1479" s="17"/>
      <c r="F1479" s="18"/>
      <c r="G1479" s="18"/>
      <c r="H1479" s="21"/>
      <c r="I1479" s="19"/>
      <c r="J1479" s="8" t="str">
        <f aca="false">IF(OR(E1479="",F1479=""),"",E1479*F1479)</f>
        <v/>
      </c>
      <c r="K1479" s="22" t="str">
        <f aca="false">IF($M1479="","",INDEX('Программа тренировок'!$G$6:$G$25,$M1479))</f>
        <v/>
      </c>
      <c r="L1479" s="23" t="str">
        <f aca="false">IF(OR($M1479="",$F1479="",$G1479=""),"",IF($H1479="Разминка","Разминка",IF($F1479&lt;INDEX('Программа тренировок'!$E$6:$E$25,$M1479),"Ниже диапазона",IF(AND($F1479&gt;=INDEX('Программа тренировок'!$F$6:$F$25,$M1479),$G1479&gt;=INDEX('Программа тренировок'!$L$6:$L$25,$M1479)),"Верх диапазона: пора добавлять вес",IF($G1479&lt;INDEX('Программа тренировок'!$L$6:$L$25,$M1479),"RIR ниже цели","В диапазоне")))))</f>
        <v/>
      </c>
      <c r="M1479" s="23" t="str">
        <f aca="false">IF($C1479="","",IFERROR(MATCH($C1479,'Программа тренировок'!$C$6:$C$25,0),""))</f>
        <v/>
      </c>
    </row>
    <row r="1480" customFormat="false" ht="15" hidden="false" customHeight="true" outlineLevel="0" collapsed="false">
      <c r="A1480" s="20"/>
      <c r="B1480" s="21"/>
      <c r="C1480" s="19"/>
      <c r="D1480" s="18"/>
      <c r="E1480" s="17"/>
      <c r="F1480" s="18"/>
      <c r="G1480" s="18"/>
      <c r="H1480" s="21"/>
      <c r="I1480" s="19"/>
      <c r="J1480" s="8" t="str">
        <f aca="false">IF(OR(E1480="",F1480=""),"",E1480*F1480)</f>
        <v/>
      </c>
      <c r="K1480" s="22" t="str">
        <f aca="false">IF($M1480="","",INDEX('Программа тренировок'!$G$6:$G$25,$M1480))</f>
        <v/>
      </c>
      <c r="L1480" s="23" t="str">
        <f aca="false">IF(OR($M1480="",$F1480="",$G1480=""),"",IF($H1480="Разминка","Разминка",IF($F1480&lt;INDEX('Программа тренировок'!$E$6:$E$25,$M1480),"Ниже диапазона",IF(AND($F1480&gt;=INDEX('Программа тренировок'!$F$6:$F$25,$M1480),$G1480&gt;=INDEX('Программа тренировок'!$L$6:$L$25,$M1480)),"Верх диапазона: пора добавлять вес",IF($G1480&lt;INDEX('Программа тренировок'!$L$6:$L$25,$M1480),"RIR ниже цели","В диапазоне")))))</f>
        <v/>
      </c>
      <c r="M1480" s="23" t="str">
        <f aca="false">IF($C1480="","",IFERROR(MATCH($C1480,'Программа тренировок'!$C$6:$C$25,0),""))</f>
        <v/>
      </c>
    </row>
    <row r="1481" customFormat="false" ht="15" hidden="false" customHeight="true" outlineLevel="0" collapsed="false">
      <c r="A1481" s="20"/>
      <c r="B1481" s="21"/>
      <c r="C1481" s="19"/>
      <c r="D1481" s="18"/>
      <c r="E1481" s="17"/>
      <c r="F1481" s="18"/>
      <c r="G1481" s="18"/>
      <c r="H1481" s="21"/>
      <c r="I1481" s="19"/>
      <c r="J1481" s="8" t="str">
        <f aca="false">IF(OR(E1481="",F1481=""),"",E1481*F1481)</f>
        <v/>
      </c>
      <c r="K1481" s="22" t="str">
        <f aca="false">IF($M1481="","",INDEX('Программа тренировок'!$G$6:$G$25,$M1481))</f>
        <v/>
      </c>
      <c r="L1481" s="23" t="str">
        <f aca="false">IF(OR($M1481="",$F1481="",$G1481=""),"",IF($H1481="Разминка","Разминка",IF($F1481&lt;INDEX('Программа тренировок'!$E$6:$E$25,$M1481),"Ниже диапазона",IF(AND($F1481&gt;=INDEX('Программа тренировок'!$F$6:$F$25,$M1481),$G1481&gt;=INDEX('Программа тренировок'!$L$6:$L$25,$M1481)),"Верх диапазона: пора добавлять вес",IF($G1481&lt;INDEX('Программа тренировок'!$L$6:$L$25,$M1481),"RIR ниже цели","В диапазоне")))))</f>
        <v/>
      </c>
      <c r="M1481" s="23" t="str">
        <f aca="false">IF($C1481="","",IFERROR(MATCH($C1481,'Программа тренировок'!$C$6:$C$25,0),""))</f>
        <v/>
      </c>
    </row>
    <row r="1482" customFormat="false" ht="15" hidden="false" customHeight="true" outlineLevel="0" collapsed="false">
      <c r="A1482" s="20"/>
      <c r="B1482" s="21"/>
      <c r="C1482" s="19"/>
      <c r="D1482" s="18"/>
      <c r="E1482" s="17"/>
      <c r="F1482" s="18"/>
      <c r="G1482" s="18"/>
      <c r="H1482" s="21"/>
      <c r="I1482" s="19"/>
      <c r="J1482" s="8" t="str">
        <f aca="false">IF(OR(E1482="",F1482=""),"",E1482*F1482)</f>
        <v/>
      </c>
      <c r="K1482" s="22" t="str">
        <f aca="false">IF($M1482="","",INDEX('Программа тренировок'!$G$6:$G$25,$M1482))</f>
        <v/>
      </c>
      <c r="L1482" s="23" t="str">
        <f aca="false">IF(OR($M1482="",$F1482="",$G1482=""),"",IF($H1482="Разминка","Разминка",IF($F1482&lt;INDEX('Программа тренировок'!$E$6:$E$25,$M1482),"Ниже диапазона",IF(AND($F1482&gt;=INDEX('Программа тренировок'!$F$6:$F$25,$M1482),$G1482&gt;=INDEX('Программа тренировок'!$L$6:$L$25,$M1482)),"Верх диапазона: пора добавлять вес",IF($G1482&lt;INDEX('Программа тренировок'!$L$6:$L$25,$M1482),"RIR ниже цели","В диапазоне")))))</f>
        <v/>
      </c>
      <c r="M1482" s="23" t="str">
        <f aca="false">IF($C1482="","",IFERROR(MATCH($C1482,'Программа тренировок'!$C$6:$C$25,0),""))</f>
        <v/>
      </c>
    </row>
    <row r="1483" customFormat="false" ht="15" hidden="false" customHeight="true" outlineLevel="0" collapsed="false">
      <c r="A1483" s="20"/>
      <c r="B1483" s="21"/>
      <c r="C1483" s="19"/>
      <c r="D1483" s="18"/>
      <c r="E1483" s="17"/>
      <c r="F1483" s="18"/>
      <c r="G1483" s="18"/>
      <c r="H1483" s="21"/>
      <c r="I1483" s="19"/>
      <c r="J1483" s="8" t="str">
        <f aca="false">IF(OR(E1483="",F1483=""),"",E1483*F1483)</f>
        <v/>
      </c>
      <c r="K1483" s="22" t="str">
        <f aca="false">IF($M1483="","",INDEX('Программа тренировок'!$G$6:$G$25,$M1483))</f>
        <v/>
      </c>
      <c r="L1483" s="23" t="str">
        <f aca="false">IF(OR($M1483="",$F1483="",$G1483=""),"",IF($H1483="Разминка","Разминка",IF($F1483&lt;INDEX('Программа тренировок'!$E$6:$E$25,$M1483),"Ниже диапазона",IF(AND($F1483&gt;=INDEX('Программа тренировок'!$F$6:$F$25,$M1483),$G1483&gt;=INDEX('Программа тренировок'!$L$6:$L$25,$M1483)),"Верх диапазона: пора добавлять вес",IF($G1483&lt;INDEX('Программа тренировок'!$L$6:$L$25,$M1483),"RIR ниже цели","В диапазоне")))))</f>
        <v/>
      </c>
      <c r="M1483" s="23" t="str">
        <f aca="false">IF($C1483="","",IFERROR(MATCH($C1483,'Программа тренировок'!$C$6:$C$25,0),""))</f>
        <v/>
      </c>
    </row>
    <row r="1484" customFormat="false" ht="15" hidden="false" customHeight="true" outlineLevel="0" collapsed="false">
      <c r="A1484" s="20"/>
      <c r="B1484" s="21"/>
      <c r="C1484" s="19"/>
      <c r="D1484" s="18"/>
      <c r="E1484" s="17"/>
      <c r="F1484" s="18"/>
      <c r="G1484" s="18"/>
      <c r="H1484" s="21"/>
      <c r="I1484" s="19"/>
      <c r="J1484" s="8" t="str">
        <f aca="false">IF(OR(E1484="",F1484=""),"",E1484*F1484)</f>
        <v/>
      </c>
      <c r="K1484" s="22" t="str">
        <f aca="false">IF($M1484="","",INDEX('Программа тренировок'!$G$6:$G$25,$M1484))</f>
        <v/>
      </c>
      <c r="L1484" s="23" t="str">
        <f aca="false">IF(OR($M1484="",$F1484="",$G1484=""),"",IF($H1484="Разминка","Разминка",IF($F1484&lt;INDEX('Программа тренировок'!$E$6:$E$25,$M1484),"Ниже диапазона",IF(AND($F1484&gt;=INDEX('Программа тренировок'!$F$6:$F$25,$M1484),$G1484&gt;=INDEX('Программа тренировок'!$L$6:$L$25,$M1484)),"Верх диапазона: пора добавлять вес",IF($G1484&lt;INDEX('Программа тренировок'!$L$6:$L$25,$M1484),"RIR ниже цели","В диапазоне")))))</f>
        <v/>
      </c>
      <c r="M1484" s="23" t="str">
        <f aca="false">IF($C1484="","",IFERROR(MATCH($C1484,'Программа тренировок'!$C$6:$C$25,0),""))</f>
        <v/>
      </c>
    </row>
    <row r="1485" customFormat="false" ht="15" hidden="false" customHeight="true" outlineLevel="0" collapsed="false">
      <c r="A1485" s="20"/>
      <c r="B1485" s="21"/>
      <c r="C1485" s="19"/>
      <c r="D1485" s="18"/>
      <c r="E1485" s="17"/>
      <c r="F1485" s="18"/>
      <c r="G1485" s="18"/>
      <c r="H1485" s="21"/>
      <c r="I1485" s="19"/>
      <c r="J1485" s="8" t="str">
        <f aca="false">IF(OR(E1485="",F1485=""),"",E1485*F1485)</f>
        <v/>
      </c>
      <c r="K1485" s="22" t="str">
        <f aca="false">IF($M1485="","",INDEX('Программа тренировок'!$G$6:$G$25,$M1485))</f>
        <v/>
      </c>
      <c r="L1485" s="23" t="str">
        <f aca="false">IF(OR($M1485="",$F1485="",$G1485=""),"",IF($H1485="Разминка","Разминка",IF($F1485&lt;INDEX('Программа тренировок'!$E$6:$E$25,$M1485),"Ниже диапазона",IF(AND($F1485&gt;=INDEX('Программа тренировок'!$F$6:$F$25,$M1485),$G1485&gt;=INDEX('Программа тренировок'!$L$6:$L$25,$M1485)),"Верх диапазона: пора добавлять вес",IF($G1485&lt;INDEX('Программа тренировок'!$L$6:$L$25,$M1485),"RIR ниже цели","В диапазоне")))))</f>
        <v/>
      </c>
      <c r="M1485" s="23" t="str">
        <f aca="false">IF($C1485="","",IFERROR(MATCH($C1485,'Программа тренировок'!$C$6:$C$25,0),""))</f>
        <v/>
      </c>
    </row>
    <row r="1486" customFormat="false" ht="15" hidden="false" customHeight="true" outlineLevel="0" collapsed="false">
      <c r="A1486" s="20"/>
      <c r="B1486" s="21"/>
      <c r="C1486" s="19"/>
      <c r="D1486" s="18"/>
      <c r="E1486" s="17"/>
      <c r="F1486" s="18"/>
      <c r="G1486" s="18"/>
      <c r="H1486" s="21"/>
      <c r="I1486" s="19"/>
      <c r="J1486" s="8" t="str">
        <f aca="false">IF(OR(E1486="",F1486=""),"",E1486*F1486)</f>
        <v/>
      </c>
      <c r="K1486" s="22" t="str">
        <f aca="false">IF($M1486="","",INDEX('Программа тренировок'!$G$6:$G$25,$M1486))</f>
        <v/>
      </c>
      <c r="L1486" s="23" t="str">
        <f aca="false">IF(OR($M1486="",$F1486="",$G1486=""),"",IF($H1486="Разминка","Разминка",IF($F1486&lt;INDEX('Программа тренировок'!$E$6:$E$25,$M1486),"Ниже диапазона",IF(AND($F1486&gt;=INDEX('Программа тренировок'!$F$6:$F$25,$M1486),$G1486&gt;=INDEX('Программа тренировок'!$L$6:$L$25,$M1486)),"Верх диапазона: пора добавлять вес",IF($G1486&lt;INDEX('Программа тренировок'!$L$6:$L$25,$M1486),"RIR ниже цели","В диапазоне")))))</f>
        <v/>
      </c>
      <c r="M1486" s="23" t="str">
        <f aca="false">IF($C1486="","",IFERROR(MATCH($C1486,'Программа тренировок'!$C$6:$C$25,0),""))</f>
        <v/>
      </c>
    </row>
    <row r="1487" customFormat="false" ht="15" hidden="false" customHeight="true" outlineLevel="0" collapsed="false">
      <c r="A1487" s="20"/>
      <c r="B1487" s="21"/>
      <c r="C1487" s="19"/>
      <c r="D1487" s="18"/>
      <c r="E1487" s="17"/>
      <c r="F1487" s="18"/>
      <c r="G1487" s="18"/>
      <c r="H1487" s="21"/>
      <c r="I1487" s="19"/>
      <c r="J1487" s="8" t="str">
        <f aca="false">IF(OR(E1487="",F1487=""),"",E1487*F1487)</f>
        <v/>
      </c>
      <c r="K1487" s="22" t="str">
        <f aca="false">IF($M1487="","",INDEX('Программа тренировок'!$G$6:$G$25,$M1487))</f>
        <v/>
      </c>
      <c r="L1487" s="23" t="str">
        <f aca="false">IF(OR($M1487="",$F1487="",$G1487=""),"",IF($H1487="Разминка","Разминка",IF($F1487&lt;INDEX('Программа тренировок'!$E$6:$E$25,$M1487),"Ниже диапазона",IF(AND($F1487&gt;=INDEX('Программа тренировок'!$F$6:$F$25,$M1487),$G1487&gt;=INDEX('Программа тренировок'!$L$6:$L$25,$M1487)),"Верх диапазона: пора добавлять вес",IF($G1487&lt;INDEX('Программа тренировок'!$L$6:$L$25,$M1487),"RIR ниже цели","В диапазоне")))))</f>
        <v/>
      </c>
      <c r="M1487" s="23" t="str">
        <f aca="false">IF($C1487="","",IFERROR(MATCH($C1487,'Программа тренировок'!$C$6:$C$25,0),""))</f>
        <v/>
      </c>
    </row>
    <row r="1488" customFormat="false" ht="15" hidden="false" customHeight="true" outlineLevel="0" collapsed="false">
      <c r="A1488" s="20"/>
      <c r="B1488" s="21"/>
      <c r="C1488" s="19"/>
      <c r="D1488" s="18"/>
      <c r="E1488" s="17"/>
      <c r="F1488" s="18"/>
      <c r="G1488" s="18"/>
      <c r="H1488" s="21"/>
      <c r="I1488" s="19"/>
      <c r="J1488" s="8" t="str">
        <f aca="false">IF(OR(E1488="",F1488=""),"",E1488*F1488)</f>
        <v/>
      </c>
      <c r="K1488" s="22" t="str">
        <f aca="false">IF($M1488="","",INDEX('Программа тренировок'!$G$6:$G$25,$M1488))</f>
        <v/>
      </c>
      <c r="L1488" s="23" t="str">
        <f aca="false">IF(OR($M1488="",$F1488="",$G1488=""),"",IF($H1488="Разминка","Разминка",IF($F1488&lt;INDEX('Программа тренировок'!$E$6:$E$25,$M1488),"Ниже диапазона",IF(AND($F1488&gt;=INDEX('Программа тренировок'!$F$6:$F$25,$M1488),$G1488&gt;=INDEX('Программа тренировок'!$L$6:$L$25,$M1488)),"Верх диапазона: пора добавлять вес",IF($G1488&lt;INDEX('Программа тренировок'!$L$6:$L$25,$M1488),"RIR ниже цели","В диапазоне")))))</f>
        <v/>
      </c>
      <c r="M1488" s="23" t="str">
        <f aca="false">IF($C1488="","",IFERROR(MATCH($C1488,'Программа тренировок'!$C$6:$C$25,0),""))</f>
        <v/>
      </c>
    </row>
    <row r="1489" customFormat="false" ht="15" hidden="false" customHeight="true" outlineLevel="0" collapsed="false">
      <c r="A1489" s="20"/>
      <c r="B1489" s="21"/>
      <c r="C1489" s="19"/>
      <c r="D1489" s="18"/>
      <c r="E1489" s="17"/>
      <c r="F1489" s="18"/>
      <c r="G1489" s="18"/>
      <c r="H1489" s="21"/>
      <c r="I1489" s="19"/>
      <c r="J1489" s="8" t="str">
        <f aca="false">IF(OR(E1489="",F1489=""),"",E1489*F1489)</f>
        <v/>
      </c>
      <c r="K1489" s="22" t="str">
        <f aca="false">IF($M1489="","",INDEX('Программа тренировок'!$G$6:$G$25,$M1489))</f>
        <v/>
      </c>
      <c r="L1489" s="23" t="str">
        <f aca="false">IF(OR($M1489="",$F1489="",$G1489=""),"",IF($H1489="Разминка","Разминка",IF($F1489&lt;INDEX('Программа тренировок'!$E$6:$E$25,$M1489),"Ниже диапазона",IF(AND($F1489&gt;=INDEX('Программа тренировок'!$F$6:$F$25,$M1489),$G1489&gt;=INDEX('Программа тренировок'!$L$6:$L$25,$M1489)),"Верх диапазона: пора добавлять вес",IF($G1489&lt;INDEX('Программа тренировок'!$L$6:$L$25,$M1489),"RIR ниже цели","В диапазоне")))))</f>
        <v/>
      </c>
      <c r="M1489" s="23" t="str">
        <f aca="false">IF($C1489="","",IFERROR(MATCH($C1489,'Программа тренировок'!$C$6:$C$25,0),""))</f>
        <v/>
      </c>
    </row>
    <row r="1490" customFormat="false" ht="15" hidden="false" customHeight="true" outlineLevel="0" collapsed="false">
      <c r="A1490" s="20"/>
      <c r="B1490" s="21"/>
      <c r="C1490" s="19"/>
      <c r="D1490" s="18"/>
      <c r="E1490" s="17"/>
      <c r="F1490" s="18"/>
      <c r="G1490" s="18"/>
      <c r="H1490" s="21"/>
      <c r="I1490" s="19"/>
      <c r="J1490" s="8" t="str">
        <f aca="false">IF(OR(E1490="",F1490=""),"",E1490*F1490)</f>
        <v/>
      </c>
      <c r="K1490" s="22" t="str">
        <f aca="false">IF($M1490="","",INDEX('Программа тренировок'!$G$6:$G$25,$M1490))</f>
        <v/>
      </c>
      <c r="L1490" s="23" t="str">
        <f aca="false">IF(OR($M1490="",$F1490="",$G1490=""),"",IF($H1490="Разминка","Разминка",IF($F1490&lt;INDEX('Программа тренировок'!$E$6:$E$25,$M1490),"Ниже диапазона",IF(AND($F1490&gt;=INDEX('Программа тренировок'!$F$6:$F$25,$M1490),$G1490&gt;=INDEX('Программа тренировок'!$L$6:$L$25,$M1490)),"Верх диапазона: пора добавлять вес",IF($G1490&lt;INDEX('Программа тренировок'!$L$6:$L$25,$M1490),"RIR ниже цели","В диапазоне")))))</f>
        <v/>
      </c>
      <c r="M1490" s="23" t="str">
        <f aca="false">IF($C1490="","",IFERROR(MATCH($C1490,'Программа тренировок'!$C$6:$C$25,0),""))</f>
        <v/>
      </c>
    </row>
    <row r="1491" customFormat="false" ht="15" hidden="false" customHeight="true" outlineLevel="0" collapsed="false">
      <c r="A1491" s="20"/>
      <c r="B1491" s="21"/>
      <c r="C1491" s="19"/>
      <c r="D1491" s="18"/>
      <c r="E1491" s="17"/>
      <c r="F1491" s="18"/>
      <c r="G1491" s="18"/>
      <c r="H1491" s="21"/>
      <c r="I1491" s="19"/>
      <c r="J1491" s="8" t="str">
        <f aca="false">IF(OR(E1491="",F1491=""),"",E1491*F1491)</f>
        <v/>
      </c>
      <c r="K1491" s="22" t="str">
        <f aca="false">IF($M1491="","",INDEX('Программа тренировок'!$G$6:$G$25,$M1491))</f>
        <v/>
      </c>
      <c r="L1491" s="23" t="str">
        <f aca="false">IF(OR($M1491="",$F1491="",$G1491=""),"",IF($H1491="Разминка","Разминка",IF($F1491&lt;INDEX('Программа тренировок'!$E$6:$E$25,$M1491),"Ниже диапазона",IF(AND($F1491&gt;=INDEX('Программа тренировок'!$F$6:$F$25,$M1491),$G1491&gt;=INDEX('Программа тренировок'!$L$6:$L$25,$M1491)),"Верх диапазона: пора добавлять вес",IF($G1491&lt;INDEX('Программа тренировок'!$L$6:$L$25,$M1491),"RIR ниже цели","В диапазоне")))))</f>
        <v/>
      </c>
      <c r="M1491" s="23" t="str">
        <f aca="false">IF($C1491="","",IFERROR(MATCH($C1491,'Программа тренировок'!$C$6:$C$25,0),""))</f>
        <v/>
      </c>
    </row>
    <row r="1492" customFormat="false" ht="15" hidden="false" customHeight="true" outlineLevel="0" collapsed="false">
      <c r="A1492" s="20"/>
      <c r="B1492" s="21"/>
      <c r="C1492" s="19"/>
      <c r="D1492" s="18"/>
      <c r="E1492" s="17"/>
      <c r="F1492" s="18"/>
      <c r="G1492" s="18"/>
      <c r="H1492" s="21"/>
      <c r="I1492" s="19"/>
      <c r="J1492" s="8" t="str">
        <f aca="false">IF(OR(E1492="",F1492=""),"",E1492*F1492)</f>
        <v/>
      </c>
      <c r="K1492" s="22" t="str">
        <f aca="false">IF($M1492="","",INDEX('Программа тренировок'!$G$6:$G$25,$M1492))</f>
        <v/>
      </c>
      <c r="L1492" s="23" t="str">
        <f aca="false">IF(OR($M1492="",$F1492="",$G1492=""),"",IF($H1492="Разминка","Разминка",IF($F1492&lt;INDEX('Программа тренировок'!$E$6:$E$25,$M1492),"Ниже диапазона",IF(AND($F1492&gt;=INDEX('Программа тренировок'!$F$6:$F$25,$M1492),$G1492&gt;=INDEX('Программа тренировок'!$L$6:$L$25,$M1492)),"Верх диапазона: пора добавлять вес",IF($G1492&lt;INDEX('Программа тренировок'!$L$6:$L$25,$M1492),"RIR ниже цели","В диапазоне")))))</f>
        <v/>
      </c>
      <c r="M1492" s="23" t="str">
        <f aca="false">IF($C1492="","",IFERROR(MATCH($C1492,'Программа тренировок'!$C$6:$C$25,0),""))</f>
        <v/>
      </c>
    </row>
    <row r="1493" customFormat="false" ht="15" hidden="false" customHeight="true" outlineLevel="0" collapsed="false">
      <c r="A1493" s="20"/>
      <c r="B1493" s="21"/>
      <c r="C1493" s="19"/>
      <c r="D1493" s="18"/>
      <c r="E1493" s="17"/>
      <c r="F1493" s="18"/>
      <c r="G1493" s="18"/>
      <c r="H1493" s="21"/>
      <c r="I1493" s="19"/>
      <c r="J1493" s="8" t="str">
        <f aca="false">IF(OR(E1493="",F1493=""),"",E1493*F1493)</f>
        <v/>
      </c>
      <c r="K1493" s="22" t="str">
        <f aca="false">IF($M1493="","",INDEX('Программа тренировок'!$G$6:$G$25,$M1493))</f>
        <v/>
      </c>
      <c r="L1493" s="23" t="str">
        <f aca="false">IF(OR($M1493="",$F1493="",$G1493=""),"",IF($H1493="Разминка","Разминка",IF($F1493&lt;INDEX('Программа тренировок'!$E$6:$E$25,$M1493),"Ниже диапазона",IF(AND($F1493&gt;=INDEX('Программа тренировок'!$F$6:$F$25,$M1493),$G1493&gt;=INDEX('Программа тренировок'!$L$6:$L$25,$M1493)),"Верх диапазона: пора добавлять вес",IF($G1493&lt;INDEX('Программа тренировок'!$L$6:$L$25,$M1493),"RIR ниже цели","В диапазоне")))))</f>
        <v/>
      </c>
      <c r="M1493" s="23" t="str">
        <f aca="false">IF($C1493="","",IFERROR(MATCH($C1493,'Программа тренировок'!$C$6:$C$25,0),""))</f>
        <v/>
      </c>
    </row>
    <row r="1494" customFormat="false" ht="15" hidden="false" customHeight="true" outlineLevel="0" collapsed="false">
      <c r="A1494" s="20"/>
      <c r="B1494" s="21"/>
      <c r="C1494" s="19"/>
      <c r="D1494" s="18"/>
      <c r="E1494" s="17"/>
      <c r="F1494" s="18"/>
      <c r="G1494" s="18"/>
      <c r="H1494" s="21"/>
      <c r="I1494" s="19"/>
      <c r="J1494" s="8" t="str">
        <f aca="false">IF(OR(E1494="",F1494=""),"",E1494*F1494)</f>
        <v/>
      </c>
      <c r="K1494" s="22" t="str">
        <f aca="false">IF($M1494="","",INDEX('Программа тренировок'!$G$6:$G$25,$M1494))</f>
        <v/>
      </c>
      <c r="L1494" s="23" t="str">
        <f aca="false">IF(OR($M1494="",$F1494="",$G1494=""),"",IF($H1494="Разминка","Разминка",IF($F1494&lt;INDEX('Программа тренировок'!$E$6:$E$25,$M1494),"Ниже диапазона",IF(AND($F1494&gt;=INDEX('Программа тренировок'!$F$6:$F$25,$M1494),$G1494&gt;=INDEX('Программа тренировок'!$L$6:$L$25,$M1494)),"Верх диапазона: пора добавлять вес",IF($G1494&lt;INDEX('Программа тренировок'!$L$6:$L$25,$M1494),"RIR ниже цели","В диапазоне")))))</f>
        <v/>
      </c>
      <c r="M1494" s="23" t="str">
        <f aca="false">IF($C1494="","",IFERROR(MATCH($C1494,'Программа тренировок'!$C$6:$C$25,0),""))</f>
        <v/>
      </c>
    </row>
    <row r="1495" customFormat="false" ht="15" hidden="false" customHeight="true" outlineLevel="0" collapsed="false">
      <c r="A1495" s="20"/>
      <c r="B1495" s="21"/>
      <c r="C1495" s="19"/>
      <c r="D1495" s="18"/>
      <c r="E1495" s="17"/>
      <c r="F1495" s="18"/>
      <c r="G1495" s="18"/>
      <c r="H1495" s="21"/>
      <c r="I1495" s="19"/>
      <c r="J1495" s="8" t="str">
        <f aca="false">IF(OR(E1495="",F1495=""),"",E1495*F1495)</f>
        <v/>
      </c>
      <c r="K1495" s="22" t="str">
        <f aca="false">IF($M1495="","",INDEX('Программа тренировок'!$G$6:$G$25,$M1495))</f>
        <v/>
      </c>
      <c r="L1495" s="23" t="str">
        <f aca="false">IF(OR($M1495="",$F1495="",$G1495=""),"",IF($H1495="Разминка","Разминка",IF($F1495&lt;INDEX('Программа тренировок'!$E$6:$E$25,$M1495),"Ниже диапазона",IF(AND($F1495&gt;=INDEX('Программа тренировок'!$F$6:$F$25,$M1495),$G1495&gt;=INDEX('Программа тренировок'!$L$6:$L$25,$M1495)),"Верх диапазона: пора добавлять вес",IF($G1495&lt;INDEX('Программа тренировок'!$L$6:$L$25,$M1495),"RIR ниже цели","В диапазоне")))))</f>
        <v/>
      </c>
      <c r="M1495" s="23" t="str">
        <f aca="false">IF($C1495="","",IFERROR(MATCH($C1495,'Программа тренировок'!$C$6:$C$25,0),""))</f>
        <v/>
      </c>
    </row>
    <row r="1496" customFormat="false" ht="15" hidden="false" customHeight="true" outlineLevel="0" collapsed="false">
      <c r="A1496" s="20"/>
      <c r="B1496" s="21"/>
      <c r="C1496" s="19"/>
      <c r="D1496" s="18"/>
      <c r="E1496" s="17"/>
      <c r="F1496" s="18"/>
      <c r="G1496" s="18"/>
      <c r="H1496" s="21"/>
      <c r="I1496" s="19"/>
      <c r="J1496" s="8" t="str">
        <f aca="false">IF(OR(E1496="",F1496=""),"",E1496*F1496)</f>
        <v/>
      </c>
      <c r="K1496" s="22" t="str">
        <f aca="false">IF($M1496="","",INDEX('Программа тренировок'!$G$6:$G$25,$M1496))</f>
        <v/>
      </c>
      <c r="L1496" s="23" t="str">
        <f aca="false">IF(OR($M1496="",$F1496="",$G1496=""),"",IF($H1496="Разминка","Разминка",IF($F1496&lt;INDEX('Программа тренировок'!$E$6:$E$25,$M1496),"Ниже диапазона",IF(AND($F1496&gt;=INDEX('Программа тренировок'!$F$6:$F$25,$M1496),$G1496&gt;=INDEX('Программа тренировок'!$L$6:$L$25,$M1496)),"Верх диапазона: пора добавлять вес",IF($G1496&lt;INDEX('Программа тренировок'!$L$6:$L$25,$M1496),"RIR ниже цели","В диапазоне")))))</f>
        <v/>
      </c>
      <c r="M1496" s="23" t="str">
        <f aca="false">IF($C1496="","",IFERROR(MATCH($C1496,'Программа тренировок'!$C$6:$C$25,0),""))</f>
        <v/>
      </c>
    </row>
    <row r="1497" customFormat="false" ht="15" hidden="false" customHeight="true" outlineLevel="0" collapsed="false">
      <c r="A1497" s="20"/>
      <c r="B1497" s="21"/>
      <c r="C1497" s="19"/>
      <c r="D1497" s="18"/>
      <c r="E1497" s="17"/>
      <c r="F1497" s="18"/>
      <c r="G1497" s="18"/>
      <c r="H1497" s="21"/>
      <c r="I1497" s="19"/>
      <c r="J1497" s="8" t="str">
        <f aca="false">IF(OR(E1497="",F1497=""),"",E1497*F1497)</f>
        <v/>
      </c>
      <c r="K1497" s="22" t="str">
        <f aca="false">IF($M1497="","",INDEX('Программа тренировок'!$G$6:$G$25,$M1497))</f>
        <v/>
      </c>
      <c r="L1497" s="23" t="str">
        <f aca="false">IF(OR($M1497="",$F1497="",$G1497=""),"",IF($H1497="Разминка","Разминка",IF($F1497&lt;INDEX('Программа тренировок'!$E$6:$E$25,$M1497),"Ниже диапазона",IF(AND($F1497&gt;=INDEX('Программа тренировок'!$F$6:$F$25,$M1497),$G1497&gt;=INDEX('Программа тренировок'!$L$6:$L$25,$M1497)),"Верх диапазона: пора добавлять вес",IF($G1497&lt;INDEX('Программа тренировок'!$L$6:$L$25,$M1497),"RIR ниже цели","В диапазоне")))))</f>
        <v/>
      </c>
      <c r="M1497" s="23" t="str">
        <f aca="false">IF($C1497="","",IFERROR(MATCH($C1497,'Программа тренировок'!$C$6:$C$25,0),""))</f>
        <v/>
      </c>
    </row>
    <row r="1498" customFormat="false" ht="15" hidden="false" customHeight="true" outlineLevel="0" collapsed="false">
      <c r="A1498" s="20"/>
      <c r="B1498" s="21"/>
      <c r="C1498" s="19"/>
      <c r="D1498" s="18"/>
      <c r="E1498" s="17"/>
      <c r="F1498" s="18"/>
      <c r="G1498" s="18"/>
      <c r="H1498" s="21"/>
      <c r="I1498" s="19"/>
      <c r="J1498" s="8" t="str">
        <f aca="false">IF(OR(E1498="",F1498=""),"",E1498*F1498)</f>
        <v/>
      </c>
      <c r="K1498" s="22" t="str">
        <f aca="false">IF($M1498="","",INDEX('Программа тренировок'!$G$6:$G$25,$M1498))</f>
        <v/>
      </c>
      <c r="L1498" s="23" t="str">
        <f aca="false">IF(OR($M1498="",$F1498="",$G1498=""),"",IF($H1498="Разминка","Разминка",IF($F1498&lt;INDEX('Программа тренировок'!$E$6:$E$25,$M1498),"Ниже диапазона",IF(AND($F1498&gt;=INDEX('Программа тренировок'!$F$6:$F$25,$M1498),$G1498&gt;=INDEX('Программа тренировок'!$L$6:$L$25,$M1498)),"Верх диапазона: пора добавлять вес",IF($G1498&lt;INDEX('Программа тренировок'!$L$6:$L$25,$M1498),"RIR ниже цели","В диапазоне")))))</f>
        <v/>
      </c>
      <c r="M1498" s="23" t="str">
        <f aca="false">IF($C1498="","",IFERROR(MATCH($C1498,'Программа тренировок'!$C$6:$C$25,0),""))</f>
        <v/>
      </c>
    </row>
    <row r="1499" customFormat="false" ht="15" hidden="false" customHeight="true" outlineLevel="0" collapsed="false">
      <c r="A1499" s="20"/>
      <c r="B1499" s="21"/>
      <c r="C1499" s="19"/>
      <c r="D1499" s="18"/>
      <c r="E1499" s="17"/>
      <c r="F1499" s="18"/>
      <c r="G1499" s="18"/>
      <c r="H1499" s="21"/>
      <c r="I1499" s="19"/>
      <c r="J1499" s="8" t="str">
        <f aca="false">IF(OR(E1499="",F1499=""),"",E1499*F1499)</f>
        <v/>
      </c>
      <c r="K1499" s="22" t="str">
        <f aca="false">IF($M1499="","",INDEX('Программа тренировок'!$G$6:$G$25,$M1499))</f>
        <v/>
      </c>
      <c r="L1499" s="23" t="str">
        <f aca="false">IF(OR($M1499="",$F1499="",$G1499=""),"",IF($H1499="Разминка","Разминка",IF($F1499&lt;INDEX('Программа тренировок'!$E$6:$E$25,$M1499),"Ниже диапазона",IF(AND($F1499&gt;=INDEX('Программа тренировок'!$F$6:$F$25,$M1499),$G1499&gt;=INDEX('Программа тренировок'!$L$6:$L$25,$M1499)),"Верх диапазона: пора добавлять вес",IF($G1499&lt;INDEX('Программа тренировок'!$L$6:$L$25,$M1499),"RIR ниже цели","В диапазоне")))))</f>
        <v/>
      </c>
      <c r="M1499" s="23" t="str">
        <f aca="false">IF($C1499="","",IFERROR(MATCH($C1499,'Программа тренировок'!$C$6:$C$25,0),""))</f>
        <v/>
      </c>
    </row>
    <row r="1500" customFormat="false" ht="15" hidden="false" customHeight="true" outlineLevel="0" collapsed="false">
      <c r="A1500" s="20"/>
      <c r="B1500" s="21"/>
      <c r="C1500" s="19"/>
      <c r="D1500" s="18"/>
      <c r="E1500" s="17"/>
      <c r="F1500" s="18"/>
      <c r="G1500" s="18"/>
      <c r="H1500" s="21"/>
      <c r="I1500" s="19"/>
      <c r="J1500" s="8" t="str">
        <f aca="false">IF(OR(E1500="",F1500=""),"",E1500*F1500)</f>
        <v/>
      </c>
      <c r="K1500" s="22" t="str">
        <f aca="false">IF($M1500="","",INDEX('Программа тренировок'!$G$6:$G$25,$M1500))</f>
        <v/>
      </c>
      <c r="L1500" s="23" t="str">
        <f aca="false">IF(OR($M1500="",$F1500="",$G1500=""),"",IF($H1500="Разминка","Разминка",IF($F1500&lt;INDEX('Программа тренировок'!$E$6:$E$25,$M1500),"Ниже диапазона",IF(AND($F1500&gt;=INDEX('Программа тренировок'!$F$6:$F$25,$M1500),$G1500&gt;=INDEX('Программа тренировок'!$L$6:$L$25,$M1500)),"Верх диапазона: пора добавлять вес",IF($G1500&lt;INDEX('Программа тренировок'!$L$6:$L$25,$M1500),"RIR ниже цели","В диапазоне")))))</f>
        <v/>
      </c>
      <c r="M1500" s="23" t="str">
        <f aca="false">IF($C1500="","",IFERROR(MATCH($C1500,'Программа тренировок'!$C$6:$C$25,0),""))</f>
        <v/>
      </c>
    </row>
    <row r="1501" customFormat="false" ht="15" hidden="false" customHeight="true" outlineLevel="0" collapsed="false">
      <c r="A1501" s="20"/>
      <c r="B1501" s="21"/>
      <c r="C1501" s="19"/>
      <c r="D1501" s="18"/>
      <c r="E1501" s="17"/>
      <c r="F1501" s="18"/>
      <c r="G1501" s="18"/>
      <c r="H1501" s="21"/>
      <c r="I1501" s="19"/>
      <c r="J1501" s="8" t="str">
        <f aca="false">IF(OR(E1501="",F1501=""),"",E1501*F1501)</f>
        <v/>
      </c>
      <c r="K1501" s="22" t="str">
        <f aca="false">IF($M1501="","",INDEX('Программа тренировок'!$G$6:$G$25,$M1501))</f>
        <v/>
      </c>
      <c r="L1501" s="23" t="str">
        <f aca="false">IF(OR($M1501="",$F1501="",$G1501=""),"",IF($H1501="Разминка","Разминка",IF($F1501&lt;INDEX('Программа тренировок'!$E$6:$E$25,$M1501),"Ниже диапазона",IF(AND($F1501&gt;=INDEX('Программа тренировок'!$F$6:$F$25,$M1501),$G1501&gt;=INDEX('Программа тренировок'!$L$6:$L$25,$M1501)),"Верх диапазона: пора добавлять вес",IF($G1501&lt;INDEX('Программа тренировок'!$L$6:$L$25,$M1501),"RIR ниже цели","В диапазоне")))))</f>
        <v/>
      </c>
      <c r="M1501" s="23" t="str">
        <f aca="false">IF($C1501="","",IFERROR(MATCH($C1501,'Программа тренировок'!$C$6:$C$25,0),""))</f>
        <v/>
      </c>
    </row>
    <row r="1502" customFormat="false" ht="15" hidden="false" customHeight="true" outlineLevel="0" collapsed="false">
      <c r="A1502" s="20"/>
      <c r="B1502" s="21"/>
      <c r="C1502" s="19"/>
      <c r="D1502" s="18"/>
      <c r="E1502" s="17"/>
      <c r="F1502" s="18"/>
      <c r="G1502" s="18"/>
      <c r="H1502" s="21"/>
      <c r="I1502" s="19"/>
      <c r="J1502" s="8" t="str">
        <f aca="false">IF(OR(E1502="",F1502=""),"",E1502*F1502)</f>
        <v/>
      </c>
      <c r="K1502" s="22" t="str">
        <f aca="false">IF($M1502="","",INDEX('Программа тренировок'!$G$6:$G$25,$M1502))</f>
        <v/>
      </c>
      <c r="L1502" s="23" t="str">
        <f aca="false">IF(OR($M1502="",$F1502="",$G1502=""),"",IF($H1502="Разминка","Разминка",IF($F1502&lt;INDEX('Программа тренировок'!$E$6:$E$25,$M1502),"Ниже диапазона",IF(AND($F1502&gt;=INDEX('Программа тренировок'!$F$6:$F$25,$M1502),$G1502&gt;=INDEX('Программа тренировок'!$L$6:$L$25,$M1502)),"Верх диапазона: пора добавлять вес",IF($G1502&lt;INDEX('Программа тренировок'!$L$6:$L$25,$M1502),"RIR ниже цели","В диапазоне")))))</f>
        <v/>
      </c>
      <c r="M1502" s="23" t="str">
        <f aca="false">IF($C1502="","",IFERROR(MATCH($C1502,'Программа тренировок'!$C$6:$C$25,0),""))</f>
        <v/>
      </c>
    </row>
    <row r="1503" customFormat="false" ht="15" hidden="false" customHeight="true" outlineLevel="0" collapsed="false">
      <c r="A1503" s="20"/>
      <c r="B1503" s="21"/>
      <c r="C1503" s="19"/>
      <c r="D1503" s="18"/>
      <c r="E1503" s="17"/>
      <c r="F1503" s="18"/>
      <c r="G1503" s="18"/>
      <c r="H1503" s="21"/>
      <c r="I1503" s="19"/>
      <c r="J1503" s="8" t="str">
        <f aca="false">IF(OR(E1503="",F1503=""),"",E1503*F1503)</f>
        <v/>
      </c>
      <c r="K1503" s="22" t="str">
        <f aca="false">IF($M1503="","",INDEX('Программа тренировок'!$G$6:$G$25,$M1503))</f>
        <v/>
      </c>
      <c r="L1503" s="23" t="str">
        <f aca="false">IF(OR($M1503="",$F1503="",$G1503=""),"",IF($H1503="Разминка","Разминка",IF($F1503&lt;INDEX('Программа тренировок'!$E$6:$E$25,$M1503),"Ниже диапазона",IF(AND($F1503&gt;=INDEX('Программа тренировок'!$F$6:$F$25,$M1503),$G1503&gt;=INDEX('Программа тренировок'!$L$6:$L$25,$M1503)),"Верх диапазона: пора добавлять вес",IF($G1503&lt;INDEX('Программа тренировок'!$L$6:$L$25,$M1503),"RIR ниже цели","В диапазоне")))))</f>
        <v/>
      </c>
      <c r="M1503" s="23" t="str">
        <f aca="false">IF($C1503="","",IFERROR(MATCH($C1503,'Программа тренировок'!$C$6:$C$25,0),""))</f>
        <v/>
      </c>
    </row>
    <row r="1504" customFormat="false" ht="15" hidden="false" customHeight="true" outlineLevel="0" collapsed="false">
      <c r="A1504" s="20"/>
      <c r="B1504" s="21"/>
      <c r="C1504" s="19"/>
      <c r="D1504" s="18"/>
      <c r="E1504" s="17"/>
      <c r="F1504" s="18"/>
      <c r="G1504" s="18"/>
      <c r="H1504" s="21"/>
      <c r="I1504" s="19"/>
      <c r="J1504" s="8" t="str">
        <f aca="false">IF(OR(E1504="",F1504=""),"",E1504*F1504)</f>
        <v/>
      </c>
      <c r="K1504" s="22" t="str">
        <f aca="false">IF($M1504="","",INDEX('Программа тренировок'!$G$6:$G$25,$M1504))</f>
        <v/>
      </c>
      <c r="L1504" s="23" t="str">
        <f aca="false">IF(OR($M1504="",$F1504="",$G1504=""),"",IF($H1504="Разминка","Разминка",IF($F1504&lt;INDEX('Программа тренировок'!$E$6:$E$25,$M1504),"Ниже диапазона",IF(AND($F1504&gt;=INDEX('Программа тренировок'!$F$6:$F$25,$M1504),$G1504&gt;=INDEX('Программа тренировок'!$L$6:$L$25,$M1504)),"Верх диапазона: пора добавлять вес",IF($G1504&lt;INDEX('Программа тренировок'!$L$6:$L$25,$M1504),"RIR ниже цели","В диапазоне")))))</f>
        <v/>
      </c>
      <c r="M1504" s="23" t="str">
        <f aca="false">IF($C1504="","",IFERROR(MATCH($C1504,'Программа тренировок'!$C$6:$C$25,0),""))</f>
        <v/>
      </c>
    </row>
    <row r="1505" customFormat="false" ht="15" hidden="false" customHeight="true" outlineLevel="0" collapsed="false">
      <c r="A1505" s="20"/>
      <c r="B1505" s="21"/>
      <c r="C1505" s="19"/>
      <c r="D1505" s="18"/>
      <c r="E1505" s="17"/>
      <c r="F1505" s="18"/>
      <c r="G1505" s="18"/>
      <c r="H1505" s="21"/>
      <c r="I1505" s="19"/>
      <c r="J1505" s="8" t="str">
        <f aca="false">IF(OR(E1505="",F1505=""),"",E1505*F1505)</f>
        <v/>
      </c>
      <c r="K1505" s="22" t="str">
        <f aca="false">IF($M1505="","",INDEX('Программа тренировок'!$G$6:$G$25,$M1505))</f>
        <v/>
      </c>
      <c r="L1505" s="23" t="str">
        <f aca="false">IF(OR($M1505="",$F1505="",$G1505=""),"",IF($H1505="Разминка","Разминка",IF($F1505&lt;INDEX('Программа тренировок'!$E$6:$E$25,$M1505),"Ниже диапазона",IF(AND($F1505&gt;=INDEX('Программа тренировок'!$F$6:$F$25,$M1505),$G1505&gt;=INDEX('Программа тренировок'!$L$6:$L$25,$M1505)),"Верх диапазона: пора добавлять вес",IF($G1505&lt;INDEX('Программа тренировок'!$L$6:$L$25,$M1505),"RIR ниже цели","В диапазоне")))))</f>
        <v/>
      </c>
      <c r="M1505" s="23" t="str">
        <f aca="false">IF($C1505="","",IFERROR(MATCH($C1505,'Программа тренировок'!$C$6:$C$25,0),""))</f>
        <v/>
      </c>
    </row>
    <row r="1506" customFormat="false" ht="15" hidden="false" customHeight="true" outlineLevel="0" collapsed="false">
      <c r="A1506" s="20"/>
      <c r="B1506" s="21"/>
      <c r="C1506" s="19"/>
      <c r="D1506" s="18"/>
      <c r="E1506" s="17"/>
      <c r="F1506" s="18"/>
      <c r="G1506" s="18"/>
      <c r="H1506" s="21"/>
      <c r="I1506" s="19"/>
      <c r="J1506" s="8" t="str">
        <f aca="false">IF(OR(E1506="",F1506=""),"",E1506*F1506)</f>
        <v/>
      </c>
      <c r="K1506" s="22" t="str">
        <f aca="false">IF($M1506="","",INDEX('Программа тренировок'!$G$6:$G$25,$M1506))</f>
        <v/>
      </c>
      <c r="L1506" s="23" t="str">
        <f aca="false">IF(OR($M1506="",$F1506="",$G1506=""),"",IF($H1506="Разминка","Разминка",IF($F1506&lt;INDEX('Программа тренировок'!$E$6:$E$25,$M1506),"Ниже диапазона",IF(AND($F1506&gt;=INDEX('Программа тренировок'!$F$6:$F$25,$M1506),$G1506&gt;=INDEX('Программа тренировок'!$L$6:$L$25,$M1506)),"Верх диапазона: пора добавлять вес",IF($G1506&lt;INDEX('Программа тренировок'!$L$6:$L$25,$M1506),"RIR ниже цели","В диапазоне")))))</f>
        <v/>
      </c>
      <c r="M1506" s="23" t="str">
        <f aca="false">IF($C1506="","",IFERROR(MATCH($C1506,'Программа тренировок'!$C$6:$C$25,0),""))</f>
        <v/>
      </c>
    </row>
    <row r="1507" customFormat="false" ht="15" hidden="false" customHeight="true" outlineLevel="0" collapsed="false">
      <c r="A1507" s="20"/>
      <c r="B1507" s="21"/>
      <c r="C1507" s="19"/>
      <c r="D1507" s="18"/>
      <c r="E1507" s="17"/>
      <c r="F1507" s="18"/>
      <c r="G1507" s="18"/>
      <c r="H1507" s="21"/>
      <c r="I1507" s="19"/>
      <c r="J1507" s="8" t="str">
        <f aca="false">IF(OR(E1507="",F1507=""),"",E1507*F1507)</f>
        <v/>
      </c>
      <c r="K1507" s="22" t="str">
        <f aca="false">IF($M1507="","",INDEX('Программа тренировок'!$G$6:$G$25,$M1507))</f>
        <v/>
      </c>
      <c r="L1507" s="23" t="str">
        <f aca="false">IF(OR($M1507="",$F1507="",$G1507=""),"",IF($H1507="Разминка","Разминка",IF($F1507&lt;INDEX('Программа тренировок'!$E$6:$E$25,$M1507),"Ниже диапазона",IF(AND($F1507&gt;=INDEX('Программа тренировок'!$F$6:$F$25,$M1507),$G1507&gt;=INDEX('Программа тренировок'!$L$6:$L$25,$M1507)),"Верх диапазона: пора добавлять вес",IF($G1507&lt;INDEX('Программа тренировок'!$L$6:$L$25,$M1507),"RIR ниже цели","В диапазоне")))))</f>
        <v/>
      </c>
      <c r="M1507" s="23" t="str">
        <f aca="false">IF($C1507="","",IFERROR(MATCH($C1507,'Программа тренировок'!$C$6:$C$25,0),""))</f>
        <v/>
      </c>
    </row>
    <row r="1508" customFormat="false" ht="15" hidden="false" customHeight="true" outlineLevel="0" collapsed="false">
      <c r="A1508" s="20"/>
      <c r="B1508" s="21"/>
      <c r="C1508" s="19"/>
      <c r="D1508" s="18"/>
      <c r="E1508" s="17"/>
      <c r="F1508" s="18"/>
      <c r="G1508" s="18"/>
      <c r="H1508" s="21"/>
      <c r="I1508" s="19"/>
      <c r="J1508" s="8" t="str">
        <f aca="false">IF(OR(E1508="",F1508=""),"",E1508*F1508)</f>
        <v/>
      </c>
      <c r="K1508" s="22" t="str">
        <f aca="false">IF($M1508="","",INDEX('Программа тренировок'!$G$6:$G$25,$M1508))</f>
        <v/>
      </c>
      <c r="L1508" s="23" t="str">
        <f aca="false">IF(OR($M1508="",$F1508="",$G1508=""),"",IF($H1508="Разминка","Разминка",IF($F1508&lt;INDEX('Программа тренировок'!$E$6:$E$25,$M1508),"Ниже диапазона",IF(AND($F1508&gt;=INDEX('Программа тренировок'!$F$6:$F$25,$M1508),$G1508&gt;=INDEX('Программа тренировок'!$L$6:$L$25,$M1508)),"Верх диапазона: пора добавлять вес",IF($G1508&lt;INDEX('Программа тренировок'!$L$6:$L$25,$M1508),"RIR ниже цели","В диапазоне")))))</f>
        <v/>
      </c>
      <c r="M1508" s="23" t="str">
        <f aca="false">IF($C1508="","",IFERROR(MATCH($C1508,'Программа тренировок'!$C$6:$C$25,0),""))</f>
        <v/>
      </c>
    </row>
    <row r="1509" customFormat="false" ht="15" hidden="false" customHeight="true" outlineLevel="0" collapsed="false">
      <c r="A1509" s="20"/>
      <c r="B1509" s="21"/>
      <c r="C1509" s="19"/>
      <c r="D1509" s="18"/>
      <c r="E1509" s="17"/>
      <c r="F1509" s="18"/>
      <c r="G1509" s="18"/>
      <c r="H1509" s="21"/>
      <c r="I1509" s="19"/>
      <c r="J1509" s="8" t="str">
        <f aca="false">IF(OR(E1509="",F1509=""),"",E1509*F1509)</f>
        <v/>
      </c>
      <c r="K1509" s="22" t="str">
        <f aca="false">IF($M1509="","",INDEX('Программа тренировок'!$G$6:$G$25,$M1509))</f>
        <v/>
      </c>
      <c r="L1509" s="23" t="str">
        <f aca="false">IF(OR($M1509="",$F1509="",$G1509=""),"",IF($H1509="Разминка","Разминка",IF($F1509&lt;INDEX('Программа тренировок'!$E$6:$E$25,$M1509),"Ниже диапазона",IF(AND($F1509&gt;=INDEX('Программа тренировок'!$F$6:$F$25,$M1509),$G1509&gt;=INDEX('Программа тренировок'!$L$6:$L$25,$M1509)),"Верх диапазона: пора добавлять вес",IF($G1509&lt;INDEX('Программа тренировок'!$L$6:$L$25,$M1509),"RIR ниже цели","В диапазоне")))))</f>
        <v/>
      </c>
      <c r="M1509" s="23" t="str">
        <f aca="false">IF($C1509="","",IFERROR(MATCH($C1509,'Программа тренировок'!$C$6:$C$25,0),""))</f>
        <v/>
      </c>
    </row>
    <row r="1510" customFormat="false" ht="15" hidden="false" customHeight="true" outlineLevel="0" collapsed="false">
      <c r="A1510" s="20"/>
      <c r="B1510" s="21"/>
      <c r="C1510" s="19"/>
      <c r="D1510" s="18"/>
      <c r="E1510" s="17"/>
      <c r="F1510" s="18"/>
      <c r="G1510" s="18"/>
      <c r="H1510" s="21"/>
      <c r="I1510" s="19"/>
      <c r="J1510" s="8" t="str">
        <f aca="false">IF(OR(E1510="",F1510=""),"",E1510*F1510)</f>
        <v/>
      </c>
      <c r="K1510" s="22" t="str">
        <f aca="false">IF($M1510="","",INDEX('Программа тренировок'!$G$6:$G$25,$M1510))</f>
        <v/>
      </c>
      <c r="L1510" s="23" t="str">
        <f aca="false">IF(OR($M1510="",$F1510="",$G1510=""),"",IF($H1510="Разминка","Разминка",IF($F1510&lt;INDEX('Программа тренировок'!$E$6:$E$25,$M1510),"Ниже диапазона",IF(AND($F1510&gt;=INDEX('Программа тренировок'!$F$6:$F$25,$M1510),$G1510&gt;=INDEX('Программа тренировок'!$L$6:$L$25,$M1510)),"Верх диапазона: пора добавлять вес",IF($G1510&lt;INDEX('Программа тренировок'!$L$6:$L$25,$M1510),"RIR ниже цели","В диапазоне")))))</f>
        <v/>
      </c>
      <c r="M1510" s="23" t="str">
        <f aca="false">IF($C1510="","",IFERROR(MATCH($C1510,'Программа тренировок'!$C$6:$C$25,0),""))</f>
        <v/>
      </c>
    </row>
    <row r="1511" customFormat="false" ht="15" hidden="false" customHeight="true" outlineLevel="0" collapsed="false">
      <c r="A1511" s="20"/>
      <c r="B1511" s="21"/>
      <c r="C1511" s="19"/>
      <c r="D1511" s="18"/>
      <c r="E1511" s="17"/>
      <c r="F1511" s="18"/>
      <c r="G1511" s="18"/>
      <c r="H1511" s="21"/>
      <c r="I1511" s="19"/>
      <c r="J1511" s="8" t="str">
        <f aca="false">IF(OR(E1511="",F1511=""),"",E1511*F1511)</f>
        <v/>
      </c>
      <c r="K1511" s="22" t="str">
        <f aca="false">IF($M1511="","",INDEX('Программа тренировок'!$G$6:$G$25,$M1511))</f>
        <v/>
      </c>
      <c r="L1511" s="23" t="str">
        <f aca="false">IF(OR($M1511="",$F1511="",$G1511=""),"",IF($H1511="Разминка","Разминка",IF($F1511&lt;INDEX('Программа тренировок'!$E$6:$E$25,$M1511),"Ниже диапазона",IF(AND($F1511&gt;=INDEX('Программа тренировок'!$F$6:$F$25,$M1511),$G1511&gt;=INDEX('Программа тренировок'!$L$6:$L$25,$M1511)),"Верх диапазона: пора добавлять вес",IF($G1511&lt;INDEX('Программа тренировок'!$L$6:$L$25,$M1511),"RIR ниже цели","В диапазоне")))))</f>
        <v/>
      </c>
      <c r="M1511" s="23" t="str">
        <f aca="false">IF($C1511="","",IFERROR(MATCH($C1511,'Программа тренировок'!$C$6:$C$25,0),""))</f>
        <v/>
      </c>
    </row>
    <row r="1512" customFormat="false" ht="15" hidden="false" customHeight="true" outlineLevel="0" collapsed="false">
      <c r="A1512" s="20"/>
      <c r="B1512" s="21"/>
      <c r="C1512" s="19"/>
      <c r="D1512" s="18"/>
      <c r="E1512" s="17"/>
      <c r="F1512" s="18"/>
      <c r="G1512" s="18"/>
      <c r="H1512" s="21"/>
      <c r="I1512" s="19"/>
      <c r="J1512" s="8" t="str">
        <f aca="false">IF(OR(E1512="",F1512=""),"",E1512*F1512)</f>
        <v/>
      </c>
      <c r="K1512" s="22" t="str">
        <f aca="false">IF($M1512="","",INDEX('Программа тренировок'!$G$6:$G$25,$M1512))</f>
        <v/>
      </c>
      <c r="L1512" s="23" t="str">
        <f aca="false">IF(OR($M1512="",$F1512="",$G1512=""),"",IF($H1512="Разминка","Разминка",IF($F1512&lt;INDEX('Программа тренировок'!$E$6:$E$25,$M1512),"Ниже диапазона",IF(AND($F1512&gt;=INDEX('Программа тренировок'!$F$6:$F$25,$M1512),$G1512&gt;=INDEX('Программа тренировок'!$L$6:$L$25,$M1512)),"Верх диапазона: пора добавлять вес",IF($G1512&lt;INDEX('Программа тренировок'!$L$6:$L$25,$M1512),"RIR ниже цели","В диапазоне")))))</f>
        <v/>
      </c>
      <c r="M1512" s="23" t="str">
        <f aca="false">IF($C1512="","",IFERROR(MATCH($C1512,'Программа тренировок'!$C$6:$C$25,0),""))</f>
        <v/>
      </c>
    </row>
    <row r="1513" customFormat="false" ht="15" hidden="false" customHeight="true" outlineLevel="0" collapsed="false">
      <c r="A1513" s="20"/>
      <c r="B1513" s="21"/>
      <c r="C1513" s="19"/>
      <c r="D1513" s="18"/>
      <c r="E1513" s="17"/>
      <c r="F1513" s="18"/>
      <c r="G1513" s="18"/>
      <c r="H1513" s="21"/>
      <c r="I1513" s="19"/>
      <c r="J1513" s="8" t="str">
        <f aca="false">IF(OR(E1513="",F1513=""),"",E1513*F1513)</f>
        <v/>
      </c>
      <c r="K1513" s="22" t="str">
        <f aca="false">IF($M1513="","",INDEX('Программа тренировок'!$G$6:$G$25,$M1513))</f>
        <v/>
      </c>
      <c r="L1513" s="23" t="str">
        <f aca="false">IF(OR($M1513="",$F1513="",$G1513=""),"",IF($H1513="Разминка","Разминка",IF($F1513&lt;INDEX('Программа тренировок'!$E$6:$E$25,$M1513),"Ниже диапазона",IF(AND($F1513&gt;=INDEX('Программа тренировок'!$F$6:$F$25,$M1513),$G1513&gt;=INDEX('Программа тренировок'!$L$6:$L$25,$M1513)),"Верх диапазона: пора добавлять вес",IF($G1513&lt;INDEX('Программа тренировок'!$L$6:$L$25,$M1513),"RIR ниже цели","В диапазоне")))))</f>
        <v/>
      </c>
      <c r="M1513" s="23" t="str">
        <f aca="false">IF($C1513="","",IFERROR(MATCH($C1513,'Программа тренировок'!$C$6:$C$25,0),""))</f>
        <v/>
      </c>
    </row>
    <row r="1514" customFormat="false" ht="15" hidden="false" customHeight="true" outlineLevel="0" collapsed="false">
      <c r="A1514" s="20"/>
      <c r="B1514" s="21"/>
      <c r="C1514" s="19"/>
      <c r="D1514" s="18"/>
      <c r="E1514" s="17"/>
      <c r="F1514" s="18"/>
      <c r="G1514" s="18"/>
      <c r="H1514" s="21"/>
      <c r="I1514" s="19"/>
      <c r="J1514" s="8" t="str">
        <f aca="false">IF(OR(E1514="",F1514=""),"",E1514*F1514)</f>
        <v/>
      </c>
      <c r="K1514" s="22" t="str">
        <f aca="false">IF($M1514="","",INDEX('Программа тренировок'!$G$6:$G$25,$M1514))</f>
        <v/>
      </c>
      <c r="L1514" s="23" t="str">
        <f aca="false">IF(OR($M1514="",$F1514="",$G1514=""),"",IF($H1514="Разминка","Разминка",IF($F1514&lt;INDEX('Программа тренировок'!$E$6:$E$25,$M1514),"Ниже диапазона",IF(AND($F1514&gt;=INDEX('Программа тренировок'!$F$6:$F$25,$M1514),$G1514&gt;=INDEX('Программа тренировок'!$L$6:$L$25,$M1514)),"Верх диапазона: пора добавлять вес",IF($G1514&lt;INDEX('Программа тренировок'!$L$6:$L$25,$M1514),"RIR ниже цели","В диапазоне")))))</f>
        <v/>
      </c>
      <c r="M1514" s="23" t="str">
        <f aca="false">IF($C1514="","",IFERROR(MATCH($C1514,'Программа тренировок'!$C$6:$C$25,0),""))</f>
        <v/>
      </c>
    </row>
    <row r="1515" customFormat="false" ht="15" hidden="false" customHeight="true" outlineLevel="0" collapsed="false">
      <c r="A1515" s="20"/>
      <c r="B1515" s="21"/>
      <c r="C1515" s="19"/>
      <c r="D1515" s="18"/>
      <c r="E1515" s="17"/>
      <c r="F1515" s="18"/>
      <c r="G1515" s="18"/>
      <c r="H1515" s="21"/>
      <c r="I1515" s="19"/>
      <c r="J1515" s="8" t="str">
        <f aca="false">IF(OR(E1515="",F1515=""),"",E1515*F1515)</f>
        <v/>
      </c>
      <c r="K1515" s="22" t="str">
        <f aca="false">IF($M1515="","",INDEX('Программа тренировок'!$G$6:$G$25,$M1515))</f>
        <v/>
      </c>
      <c r="L1515" s="23" t="str">
        <f aca="false">IF(OR($M1515="",$F1515="",$G1515=""),"",IF($H1515="Разминка","Разминка",IF($F1515&lt;INDEX('Программа тренировок'!$E$6:$E$25,$M1515),"Ниже диапазона",IF(AND($F1515&gt;=INDEX('Программа тренировок'!$F$6:$F$25,$M1515),$G1515&gt;=INDEX('Программа тренировок'!$L$6:$L$25,$M1515)),"Верх диапазона: пора добавлять вес",IF($G1515&lt;INDEX('Программа тренировок'!$L$6:$L$25,$M1515),"RIR ниже цели","В диапазоне")))))</f>
        <v/>
      </c>
      <c r="M1515" s="23" t="str">
        <f aca="false">IF($C1515="","",IFERROR(MATCH($C1515,'Программа тренировок'!$C$6:$C$25,0),""))</f>
        <v/>
      </c>
    </row>
    <row r="1516" customFormat="false" ht="15" hidden="false" customHeight="true" outlineLevel="0" collapsed="false">
      <c r="A1516" s="20"/>
      <c r="B1516" s="21"/>
      <c r="C1516" s="19"/>
      <c r="D1516" s="18"/>
      <c r="E1516" s="17"/>
      <c r="F1516" s="18"/>
      <c r="G1516" s="18"/>
      <c r="H1516" s="21"/>
      <c r="I1516" s="19"/>
      <c r="J1516" s="8" t="str">
        <f aca="false">IF(OR(E1516="",F1516=""),"",E1516*F1516)</f>
        <v/>
      </c>
      <c r="K1516" s="22" t="str">
        <f aca="false">IF($M1516="","",INDEX('Программа тренировок'!$G$6:$G$25,$M1516))</f>
        <v/>
      </c>
      <c r="L1516" s="23" t="str">
        <f aca="false">IF(OR($M1516="",$F1516="",$G1516=""),"",IF($H1516="Разминка","Разминка",IF($F1516&lt;INDEX('Программа тренировок'!$E$6:$E$25,$M1516),"Ниже диапазона",IF(AND($F1516&gt;=INDEX('Программа тренировок'!$F$6:$F$25,$M1516),$G1516&gt;=INDEX('Программа тренировок'!$L$6:$L$25,$M1516)),"Верх диапазона: пора добавлять вес",IF($G1516&lt;INDEX('Программа тренировок'!$L$6:$L$25,$M1516),"RIR ниже цели","В диапазоне")))))</f>
        <v/>
      </c>
      <c r="M1516" s="23" t="str">
        <f aca="false">IF($C1516="","",IFERROR(MATCH($C1516,'Программа тренировок'!$C$6:$C$25,0),""))</f>
        <v/>
      </c>
    </row>
    <row r="1517" customFormat="false" ht="15" hidden="false" customHeight="true" outlineLevel="0" collapsed="false">
      <c r="A1517" s="20"/>
      <c r="B1517" s="21"/>
      <c r="C1517" s="19"/>
      <c r="D1517" s="18"/>
      <c r="E1517" s="17"/>
      <c r="F1517" s="18"/>
      <c r="G1517" s="18"/>
      <c r="H1517" s="21"/>
      <c r="I1517" s="19"/>
      <c r="J1517" s="8" t="str">
        <f aca="false">IF(OR(E1517="",F1517=""),"",E1517*F1517)</f>
        <v/>
      </c>
      <c r="K1517" s="22" t="str">
        <f aca="false">IF($M1517="","",INDEX('Программа тренировок'!$G$6:$G$25,$M1517))</f>
        <v/>
      </c>
      <c r="L1517" s="23" t="str">
        <f aca="false">IF(OR($M1517="",$F1517="",$G1517=""),"",IF($H1517="Разминка","Разминка",IF($F1517&lt;INDEX('Программа тренировок'!$E$6:$E$25,$M1517),"Ниже диапазона",IF(AND($F1517&gt;=INDEX('Программа тренировок'!$F$6:$F$25,$M1517),$G1517&gt;=INDEX('Программа тренировок'!$L$6:$L$25,$M1517)),"Верх диапазона: пора добавлять вес",IF($G1517&lt;INDEX('Программа тренировок'!$L$6:$L$25,$M1517),"RIR ниже цели","В диапазоне")))))</f>
        <v/>
      </c>
      <c r="M1517" s="23" t="str">
        <f aca="false">IF($C1517="","",IFERROR(MATCH($C1517,'Программа тренировок'!$C$6:$C$25,0),""))</f>
        <v/>
      </c>
    </row>
    <row r="1518" customFormat="false" ht="15" hidden="false" customHeight="true" outlineLevel="0" collapsed="false">
      <c r="A1518" s="20"/>
      <c r="B1518" s="21"/>
      <c r="C1518" s="19"/>
      <c r="D1518" s="18"/>
      <c r="E1518" s="17"/>
      <c r="F1518" s="18"/>
      <c r="G1518" s="18"/>
      <c r="H1518" s="21"/>
      <c r="I1518" s="19"/>
      <c r="J1518" s="8" t="str">
        <f aca="false">IF(OR(E1518="",F1518=""),"",E1518*F1518)</f>
        <v/>
      </c>
      <c r="K1518" s="22" t="str">
        <f aca="false">IF($M1518="","",INDEX('Программа тренировок'!$G$6:$G$25,$M1518))</f>
        <v/>
      </c>
      <c r="L1518" s="23" t="str">
        <f aca="false">IF(OR($M1518="",$F1518="",$G1518=""),"",IF($H1518="Разминка","Разминка",IF($F1518&lt;INDEX('Программа тренировок'!$E$6:$E$25,$M1518),"Ниже диапазона",IF(AND($F1518&gt;=INDEX('Программа тренировок'!$F$6:$F$25,$M1518),$G1518&gt;=INDEX('Программа тренировок'!$L$6:$L$25,$M1518)),"Верх диапазона: пора добавлять вес",IF($G1518&lt;INDEX('Программа тренировок'!$L$6:$L$25,$M1518),"RIR ниже цели","В диапазоне")))))</f>
        <v/>
      </c>
      <c r="M1518" s="23" t="str">
        <f aca="false">IF($C1518="","",IFERROR(MATCH($C1518,'Программа тренировок'!$C$6:$C$25,0),""))</f>
        <v/>
      </c>
    </row>
    <row r="1519" customFormat="false" ht="15" hidden="false" customHeight="true" outlineLevel="0" collapsed="false">
      <c r="A1519" s="20"/>
      <c r="B1519" s="21"/>
      <c r="C1519" s="19"/>
      <c r="D1519" s="18"/>
      <c r="E1519" s="17"/>
      <c r="F1519" s="18"/>
      <c r="G1519" s="18"/>
      <c r="H1519" s="21"/>
      <c r="I1519" s="19"/>
      <c r="J1519" s="8" t="str">
        <f aca="false">IF(OR(E1519="",F1519=""),"",E1519*F1519)</f>
        <v/>
      </c>
      <c r="K1519" s="22" t="str">
        <f aca="false">IF($M1519="","",INDEX('Программа тренировок'!$G$6:$G$25,$M1519))</f>
        <v/>
      </c>
      <c r="L1519" s="23" t="str">
        <f aca="false">IF(OR($M1519="",$F1519="",$G1519=""),"",IF($H1519="Разминка","Разминка",IF($F1519&lt;INDEX('Программа тренировок'!$E$6:$E$25,$M1519),"Ниже диапазона",IF(AND($F1519&gt;=INDEX('Программа тренировок'!$F$6:$F$25,$M1519),$G1519&gt;=INDEX('Программа тренировок'!$L$6:$L$25,$M1519)),"Верх диапазона: пора добавлять вес",IF($G1519&lt;INDEX('Программа тренировок'!$L$6:$L$25,$M1519),"RIR ниже цели","В диапазоне")))))</f>
        <v/>
      </c>
      <c r="M1519" s="23" t="str">
        <f aca="false">IF($C1519="","",IFERROR(MATCH($C1519,'Программа тренировок'!$C$6:$C$25,0),""))</f>
        <v/>
      </c>
    </row>
    <row r="1520" customFormat="false" ht="15" hidden="false" customHeight="true" outlineLevel="0" collapsed="false">
      <c r="A1520" s="20"/>
      <c r="B1520" s="21"/>
      <c r="C1520" s="19"/>
      <c r="D1520" s="18"/>
      <c r="E1520" s="17"/>
      <c r="F1520" s="18"/>
      <c r="G1520" s="18"/>
      <c r="H1520" s="21"/>
      <c r="I1520" s="19"/>
      <c r="J1520" s="8" t="str">
        <f aca="false">IF(OR(E1520="",F1520=""),"",E1520*F1520)</f>
        <v/>
      </c>
      <c r="K1520" s="22" t="str">
        <f aca="false">IF($M1520="","",INDEX('Программа тренировок'!$G$6:$G$25,$M1520))</f>
        <v/>
      </c>
      <c r="L1520" s="23" t="str">
        <f aca="false">IF(OR($M1520="",$F1520="",$G1520=""),"",IF($H1520="Разминка","Разминка",IF($F1520&lt;INDEX('Программа тренировок'!$E$6:$E$25,$M1520),"Ниже диапазона",IF(AND($F1520&gt;=INDEX('Программа тренировок'!$F$6:$F$25,$M1520),$G1520&gt;=INDEX('Программа тренировок'!$L$6:$L$25,$M1520)),"Верх диапазона: пора добавлять вес",IF($G1520&lt;INDEX('Программа тренировок'!$L$6:$L$25,$M1520),"RIR ниже цели","В диапазоне")))))</f>
        <v/>
      </c>
      <c r="M1520" s="23" t="str">
        <f aca="false">IF($C1520="","",IFERROR(MATCH($C1520,'Программа тренировок'!$C$6:$C$25,0),""))</f>
        <v/>
      </c>
    </row>
    <row r="1521" customFormat="false" ht="15" hidden="false" customHeight="true" outlineLevel="0" collapsed="false">
      <c r="A1521" s="20"/>
      <c r="B1521" s="21"/>
      <c r="C1521" s="19"/>
      <c r="D1521" s="18"/>
      <c r="E1521" s="17"/>
      <c r="F1521" s="18"/>
      <c r="G1521" s="18"/>
      <c r="H1521" s="21"/>
      <c r="I1521" s="19"/>
      <c r="J1521" s="8" t="str">
        <f aca="false">IF(OR(E1521="",F1521=""),"",E1521*F1521)</f>
        <v/>
      </c>
      <c r="K1521" s="22" t="str">
        <f aca="false">IF($M1521="","",INDEX('Программа тренировок'!$G$6:$G$25,$M1521))</f>
        <v/>
      </c>
      <c r="L1521" s="23" t="str">
        <f aca="false">IF(OR($M1521="",$F1521="",$G1521=""),"",IF($H1521="Разминка","Разминка",IF($F1521&lt;INDEX('Программа тренировок'!$E$6:$E$25,$M1521),"Ниже диапазона",IF(AND($F1521&gt;=INDEX('Программа тренировок'!$F$6:$F$25,$M1521),$G1521&gt;=INDEX('Программа тренировок'!$L$6:$L$25,$M1521)),"Верх диапазона: пора добавлять вес",IF($G1521&lt;INDEX('Программа тренировок'!$L$6:$L$25,$M1521),"RIR ниже цели","В диапазоне")))))</f>
        <v/>
      </c>
      <c r="M1521" s="23" t="str">
        <f aca="false">IF($C1521="","",IFERROR(MATCH($C1521,'Программа тренировок'!$C$6:$C$25,0),""))</f>
        <v/>
      </c>
    </row>
    <row r="1522" customFormat="false" ht="15" hidden="false" customHeight="true" outlineLevel="0" collapsed="false">
      <c r="A1522" s="20"/>
      <c r="B1522" s="21"/>
      <c r="C1522" s="19"/>
      <c r="D1522" s="18"/>
      <c r="E1522" s="17"/>
      <c r="F1522" s="18"/>
      <c r="G1522" s="18"/>
      <c r="H1522" s="21"/>
      <c r="I1522" s="19"/>
      <c r="J1522" s="8" t="str">
        <f aca="false">IF(OR(E1522="",F1522=""),"",E1522*F1522)</f>
        <v/>
      </c>
      <c r="K1522" s="22" t="str">
        <f aca="false">IF($M1522="","",INDEX('Программа тренировок'!$G$6:$G$25,$M1522))</f>
        <v/>
      </c>
      <c r="L1522" s="23" t="str">
        <f aca="false">IF(OR($M1522="",$F1522="",$G1522=""),"",IF($H1522="Разминка","Разминка",IF($F1522&lt;INDEX('Программа тренировок'!$E$6:$E$25,$M1522),"Ниже диапазона",IF(AND($F1522&gt;=INDEX('Программа тренировок'!$F$6:$F$25,$M1522),$G1522&gt;=INDEX('Программа тренировок'!$L$6:$L$25,$M1522)),"Верх диапазона: пора добавлять вес",IF($G1522&lt;INDEX('Программа тренировок'!$L$6:$L$25,$M1522),"RIR ниже цели","В диапазоне")))))</f>
        <v/>
      </c>
      <c r="M1522" s="23" t="str">
        <f aca="false">IF($C1522="","",IFERROR(MATCH($C1522,'Программа тренировок'!$C$6:$C$25,0),""))</f>
        <v/>
      </c>
    </row>
    <row r="1523" customFormat="false" ht="15" hidden="false" customHeight="true" outlineLevel="0" collapsed="false">
      <c r="A1523" s="20"/>
      <c r="B1523" s="21"/>
      <c r="C1523" s="19"/>
      <c r="D1523" s="18"/>
      <c r="E1523" s="17"/>
      <c r="F1523" s="18"/>
      <c r="G1523" s="18"/>
      <c r="H1523" s="21"/>
      <c r="I1523" s="19"/>
      <c r="J1523" s="8" t="str">
        <f aca="false">IF(OR(E1523="",F1523=""),"",E1523*F1523)</f>
        <v/>
      </c>
      <c r="K1523" s="22" t="str">
        <f aca="false">IF($M1523="","",INDEX('Программа тренировок'!$G$6:$G$25,$M1523))</f>
        <v/>
      </c>
      <c r="L1523" s="23" t="str">
        <f aca="false">IF(OR($M1523="",$F1523="",$G1523=""),"",IF($H1523="Разминка","Разминка",IF($F1523&lt;INDEX('Программа тренировок'!$E$6:$E$25,$M1523),"Ниже диапазона",IF(AND($F1523&gt;=INDEX('Программа тренировок'!$F$6:$F$25,$M1523),$G1523&gt;=INDEX('Программа тренировок'!$L$6:$L$25,$M1523)),"Верх диапазона: пора добавлять вес",IF($G1523&lt;INDEX('Программа тренировок'!$L$6:$L$25,$M1523),"RIR ниже цели","В диапазоне")))))</f>
        <v/>
      </c>
      <c r="M1523" s="23" t="str">
        <f aca="false">IF($C1523="","",IFERROR(MATCH($C1523,'Программа тренировок'!$C$6:$C$25,0),""))</f>
        <v/>
      </c>
    </row>
    <row r="1524" customFormat="false" ht="15" hidden="false" customHeight="true" outlineLevel="0" collapsed="false">
      <c r="A1524" s="20"/>
      <c r="B1524" s="21"/>
      <c r="C1524" s="19"/>
      <c r="D1524" s="18"/>
      <c r="E1524" s="17"/>
      <c r="F1524" s="18"/>
      <c r="G1524" s="18"/>
      <c r="H1524" s="21"/>
      <c r="I1524" s="19"/>
      <c r="J1524" s="8" t="str">
        <f aca="false">IF(OR(E1524="",F1524=""),"",E1524*F1524)</f>
        <v/>
      </c>
      <c r="K1524" s="22" t="str">
        <f aca="false">IF($M1524="","",INDEX('Программа тренировок'!$G$6:$G$25,$M1524))</f>
        <v/>
      </c>
      <c r="L1524" s="23" t="str">
        <f aca="false">IF(OR($M1524="",$F1524="",$G1524=""),"",IF($H1524="Разминка","Разминка",IF($F1524&lt;INDEX('Программа тренировок'!$E$6:$E$25,$M1524),"Ниже диапазона",IF(AND($F1524&gt;=INDEX('Программа тренировок'!$F$6:$F$25,$M1524),$G1524&gt;=INDEX('Программа тренировок'!$L$6:$L$25,$M1524)),"Верх диапазона: пора добавлять вес",IF($G1524&lt;INDEX('Программа тренировок'!$L$6:$L$25,$M1524),"RIR ниже цели","В диапазоне")))))</f>
        <v/>
      </c>
      <c r="M1524" s="23" t="str">
        <f aca="false">IF($C1524="","",IFERROR(MATCH($C1524,'Программа тренировок'!$C$6:$C$25,0),""))</f>
        <v/>
      </c>
    </row>
    <row r="1525" customFormat="false" ht="15" hidden="false" customHeight="true" outlineLevel="0" collapsed="false">
      <c r="A1525" s="20"/>
      <c r="B1525" s="21"/>
      <c r="C1525" s="19"/>
      <c r="D1525" s="18"/>
      <c r="E1525" s="17"/>
      <c r="F1525" s="18"/>
      <c r="G1525" s="18"/>
      <c r="H1525" s="21"/>
      <c r="I1525" s="19"/>
      <c r="J1525" s="8" t="str">
        <f aca="false">IF(OR(E1525="",F1525=""),"",E1525*F1525)</f>
        <v/>
      </c>
      <c r="K1525" s="22" t="str">
        <f aca="false">IF($M1525="","",INDEX('Программа тренировок'!$G$6:$G$25,$M1525))</f>
        <v/>
      </c>
      <c r="L1525" s="23" t="str">
        <f aca="false">IF(OR($M1525="",$F1525="",$G1525=""),"",IF($H1525="Разминка","Разминка",IF($F1525&lt;INDEX('Программа тренировок'!$E$6:$E$25,$M1525),"Ниже диапазона",IF(AND($F1525&gt;=INDEX('Программа тренировок'!$F$6:$F$25,$M1525),$G1525&gt;=INDEX('Программа тренировок'!$L$6:$L$25,$M1525)),"Верх диапазона: пора добавлять вес",IF($G1525&lt;INDEX('Программа тренировок'!$L$6:$L$25,$M1525),"RIR ниже цели","В диапазоне")))))</f>
        <v/>
      </c>
      <c r="M1525" s="23" t="str">
        <f aca="false">IF($C1525="","",IFERROR(MATCH($C1525,'Программа тренировок'!$C$6:$C$25,0),""))</f>
        <v/>
      </c>
    </row>
    <row r="1526" customFormat="false" ht="15" hidden="false" customHeight="true" outlineLevel="0" collapsed="false">
      <c r="A1526" s="20"/>
      <c r="B1526" s="21"/>
      <c r="C1526" s="19"/>
      <c r="D1526" s="18"/>
      <c r="E1526" s="17"/>
      <c r="F1526" s="18"/>
      <c r="G1526" s="18"/>
      <c r="H1526" s="21"/>
      <c r="I1526" s="19"/>
      <c r="J1526" s="8" t="str">
        <f aca="false">IF(OR(E1526="",F1526=""),"",E1526*F1526)</f>
        <v/>
      </c>
      <c r="K1526" s="22" t="str">
        <f aca="false">IF($M1526="","",INDEX('Программа тренировок'!$G$6:$G$25,$M1526))</f>
        <v/>
      </c>
      <c r="L1526" s="23" t="str">
        <f aca="false">IF(OR($M1526="",$F1526="",$G1526=""),"",IF($H1526="Разминка","Разминка",IF($F1526&lt;INDEX('Программа тренировок'!$E$6:$E$25,$M1526),"Ниже диапазона",IF(AND($F1526&gt;=INDEX('Программа тренировок'!$F$6:$F$25,$M1526),$G1526&gt;=INDEX('Программа тренировок'!$L$6:$L$25,$M1526)),"Верх диапазона: пора добавлять вес",IF($G1526&lt;INDEX('Программа тренировок'!$L$6:$L$25,$M1526),"RIR ниже цели","В диапазоне")))))</f>
        <v/>
      </c>
      <c r="M1526" s="23" t="str">
        <f aca="false">IF($C1526="","",IFERROR(MATCH($C1526,'Программа тренировок'!$C$6:$C$25,0),""))</f>
        <v/>
      </c>
    </row>
    <row r="1527" customFormat="false" ht="15" hidden="false" customHeight="true" outlineLevel="0" collapsed="false">
      <c r="A1527" s="20"/>
      <c r="B1527" s="21"/>
      <c r="C1527" s="19"/>
      <c r="D1527" s="18"/>
      <c r="E1527" s="17"/>
      <c r="F1527" s="18"/>
      <c r="G1527" s="18"/>
      <c r="H1527" s="21"/>
      <c r="I1527" s="19"/>
      <c r="J1527" s="8" t="str">
        <f aca="false">IF(OR(E1527="",F1527=""),"",E1527*F1527)</f>
        <v/>
      </c>
      <c r="K1527" s="22" t="str">
        <f aca="false">IF($M1527="","",INDEX('Программа тренировок'!$G$6:$G$25,$M1527))</f>
        <v/>
      </c>
      <c r="L1527" s="23" t="str">
        <f aca="false">IF(OR($M1527="",$F1527="",$G1527=""),"",IF($H1527="Разминка","Разминка",IF($F1527&lt;INDEX('Программа тренировок'!$E$6:$E$25,$M1527),"Ниже диапазона",IF(AND($F1527&gt;=INDEX('Программа тренировок'!$F$6:$F$25,$M1527),$G1527&gt;=INDEX('Программа тренировок'!$L$6:$L$25,$M1527)),"Верх диапазона: пора добавлять вес",IF($G1527&lt;INDEX('Программа тренировок'!$L$6:$L$25,$M1527),"RIR ниже цели","В диапазоне")))))</f>
        <v/>
      </c>
      <c r="M1527" s="23" t="str">
        <f aca="false">IF($C1527="","",IFERROR(MATCH($C1527,'Программа тренировок'!$C$6:$C$25,0),""))</f>
        <v/>
      </c>
    </row>
    <row r="1528" customFormat="false" ht="15" hidden="false" customHeight="true" outlineLevel="0" collapsed="false">
      <c r="A1528" s="20"/>
      <c r="B1528" s="21"/>
      <c r="C1528" s="19"/>
      <c r="D1528" s="18"/>
      <c r="E1528" s="17"/>
      <c r="F1528" s="18"/>
      <c r="G1528" s="18"/>
      <c r="H1528" s="21"/>
      <c r="I1528" s="19"/>
      <c r="J1528" s="8" t="str">
        <f aca="false">IF(OR(E1528="",F1528=""),"",E1528*F1528)</f>
        <v/>
      </c>
      <c r="K1528" s="22" t="str">
        <f aca="false">IF($M1528="","",INDEX('Программа тренировок'!$G$6:$G$25,$M1528))</f>
        <v/>
      </c>
      <c r="L1528" s="23" t="str">
        <f aca="false">IF(OR($M1528="",$F1528="",$G1528=""),"",IF($H1528="Разминка","Разминка",IF($F1528&lt;INDEX('Программа тренировок'!$E$6:$E$25,$M1528),"Ниже диапазона",IF(AND($F1528&gt;=INDEX('Программа тренировок'!$F$6:$F$25,$M1528),$G1528&gt;=INDEX('Программа тренировок'!$L$6:$L$25,$M1528)),"Верх диапазона: пора добавлять вес",IF($G1528&lt;INDEX('Программа тренировок'!$L$6:$L$25,$M1528),"RIR ниже цели","В диапазоне")))))</f>
        <v/>
      </c>
      <c r="M1528" s="23" t="str">
        <f aca="false">IF($C1528="","",IFERROR(MATCH($C1528,'Программа тренировок'!$C$6:$C$25,0),""))</f>
        <v/>
      </c>
    </row>
    <row r="1529" customFormat="false" ht="15" hidden="false" customHeight="true" outlineLevel="0" collapsed="false">
      <c r="A1529" s="20"/>
      <c r="B1529" s="21"/>
      <c r="C1529" s="19"/>
      <c r="D1529" s="18"/>
      <c r="E1529" s="17"/>
      <c r="F1529" s="18"/>
      <c r="G1529" s="18"/>
      <c r="H1529" s="21"/>
      <c r="I1529" s="19"/>
      <c r="J1529" s="8" t="str">
        <f aca="false">IF(OR(E1529="",F1529=""),"",E1529*F1529)</f>
        <v/>
      </c>
      <c r="K1529" s="22" t="str">
        <f aca="false">IF($M1529="","",INDEX('Программа тренировок'!$G$6:$G$25,$M1529))</f>
        <v/>
      </c>
      <c r="L1529" s="23" t="str">
        <f aca="false">IF(OR($M1529="",$F1529="",$G1529=""),"",IF($H1529="Разминка","Разминка",IF($F1529&lt;INDEX('Программа тренировок'!$E$6:$E$25,$M1529),"Ниже диапазона",IF(AND($F1529&gt;=INDEX('Программа тренировок'!$F$6:$F$25,$M1529),$G1529&gt;=INDEX('Программа тренировок'!$L$6:$L$25,$M1529)),"Верх диапазона: пора добавлять вес",IF($G1529&lt;INDEX('Программа тренировок'!$L$6:$L$25,$M1529),"RIR ниже цели","В диапазоне")))))</f>
        <v/>
      </c>
      <c r="M1529" s="23" t="str">
        <f aca="false">IF($C1529="","",IFERROR(MATCH($C1529,'Программа тренировок'!$C$6:$C$25,0),""))</f>
        <v/>
      </c>
    </row>
    <row r="1530" customFormat="false" ht="15" hidden="false" customHeight="true" outlineLevel="0" collapsed="false">
      <c r="A1530" s="20"/>
      <c r="B1530" s="21"/>
      <c r="C1530" s="19"/>
      <c r="D1530" s="18"/>
      <c r="E1530" s="17"/>
      <c r="F1530" s="18"/>
      <c r="G1530" s="18"/>
      <c r="H1530" s="21"/>
      <c r="I1530" s="19"/>
      <c r="J1530" s="8" t="str">
        <f aca="false">IF(OR(E1530="",F1530=""),"",E1530*F1530)</f>
        <v/>
      </c>
      <c r="K1530" s="22" t="str">
        <f aca="false">IF($M1530="","",INDEX('Программа тренировок'!$G$6:$G$25,$M1530))</f>
        <v/>
      </c>
      <c r="L1530" s="23" t="str">
        <f aca="false">IF(OR($M1530="",$F1530="",$G1530=""),"",IF($H1530="Разминка","Разминка",IF($F1530&lt;INDEX('Программа тренировок'!$E$6:$E$25,$M1530),"Ниже диапазона",IF(AND($F1530&gt;=INDEX('Программа тренировок'!$F$6:$F$25,$M1530),$G1530&gt;=INDEX('Программа тренировок'!$L$6:$L$25,$M1530)),"Верх диапазона: пора добавлять вес",IF($G1530&lt;INDEX('Программа тренировок'!$L$6:$L$25,$M1530),"RIR ниже цели","В диапазоне")))))</f>
        <v/>
      </c>
      <c r="M1530" s="23" t="str">
        <f aca="false">IF($C1530="","",IFERROR(MATCH($C1530,'Программа тренировок'!$C$6:$C$25,0),""))</f>
        <v/>
      </c>
    </row>
    <row r="1531" customFormat="false" ht="15" hidden="false" customHeight="true" outlineLevel="0" collapsed="false">
      <c r="A1531" s="20"/>
      <c r="B1531" s="21"/>
      <c r="C1531" s="19"/>
      <c r="D1531" s="18"/>
      <c r="E1531" s="17"/>
      <c r="F1531" s="18"/>
      <c r="G1531" s="18"/>
      <c r="H1531" s="21"/>
      <c r="I1531" s="19"/>
      <c r="J1531" s="8" t="str">
        <f aca="false">IF(OR(E1531="",F1531=""),"",E1531*F1531)</f>
        <v/>
      </c>
      <c r="K1531" s="22" t="str">
        <f aca="false">IF($M1531="","",INDEX('Программа тренировок'!$G$6:$G$25,$M1531))</f>
        <v/>
      </c>
      <c r="L1531" s="23" t="str">
        <f aca="false">IF(OR($M1531="",$F1531="",$G1531=""),"",IF($H1531="Разминка","Разминка",IF($F1531&lt;INDEX('Программа тренировок'!$E$6:$E$25,$M1531),"Ниже диапазона",IF(AND($F1531&gt;=INDEX('Программа тренировок'!$F$6:$F$25,$M1531),$G1531&gt;=INDEX('Программа тренировок'!$L$6:$L$25,$M1531)),"Верх диапазона: пора добавлять вес",IF($G1531&lt;INDEX('Программа тренировок'!$L$6:$L$25,$M1531),"RIR ниже цели","В диапазоне")))))</f>
        <v/>
      </c>
      <c r="M1531" s="23" t="str">
        <f aca="false">IF($C1531="","",IFERROR(MATCH($C1531,'Программа тренировок'!$C$6:$C$25,0),""))</f>
        <v/>
      </c>
    </row>
    <row r="1532" customFormat="false" ht="15" hidden="false" customHeight="true" outlineLevel="0" collapsed="false">
      <c r="A1532" s="20"/>
      <c r="B1532" s="21"/>
      <c r="C1532" s="19"/>
      <c r="D1532" s="18"/>
      <c r="E1532" s="17"/>
      <c r="F1532" s="18"/>
      <c r="G1532" s="18"/>
      <c r="H1532" s="21"/>
      <c r="I1532" s="19"/>
      <c r="J1532" s="8" t="str">
        <f aca="false">IF(OR(E1532="",F1532=""),"",E1532*F1532)</f>
        <v/>
      </c>
      <c r="K1532" s="22" t="str">
        <f aca="false">IF($M1532="","",INDEX('Программа тренировок'!$G$6:$G$25,$M1532))</f>
        <v/>
      </c>
      <c r="L1532" s="23" t="str">
        <f aca="false">IF(OR($M1532="",$F1532="",$G1532=""),"",IF($H1532="Разминка","Разминка",IF($F1532&lt;INDEX('Программа тренировок'!$E$6:$E$25,$M1532),"Ниже диапазона",IF(AND($F1532&gt;=INDEX('Программа тренировок'!$F$6:$F$25,$M1532),$G1532&gt;=INDEX('Программа тренировок'!$L$6:$L$25,$M1532)),"Верх диапазона: пора добавлять вес",IF($G1532&lt;INDEX('Программа тренировок'!$L$6:$L$25,$M1532),"RIR ниже цели","В диапазоне")))))</f>
        <v/>
      </c>
      <c r="M1532" s="23" t="str">
        <f aca="false">IF($C1532="","",IFERROR(MATCH($C1532,'Программа тренировок'!$C$6:$C$25,0),""))</f>
        <v/>
      </c>
    </row>
    <row r="1533" customFormat="false" ht="15" hidden="false" customHeight="true" outlineLevel="0" collapsed="false">
      <c r="A1533" s="20"/>
      <c r="B1533" s="21"/>
      <c r="C1533" s="19"/>
      <c r="D1533" s="18"/>
      <c r="E1533" s="17"/>
      <c r="F1533" s="18"/>
      <c r="G1533" s="18"/>
      <c r="H1533" s="21"/>
      <c r="I1533" s="19"/>
      <c r="J1533" s="8" t="str">
        <f aca="false">IF(OR(E1533="",F1533=""),"",E1533*F1533)</f>
        <v/>
      </c>
      <c r="K1533" s="22" t="str">
        <f aca="false">IF($M1533="","",INDEX('Программа тренировок'!$G$6:$G$25,$M1533))</f>
        <v/>
      </c>
      <c r="L1533" s="23" t="str">
        <f aca="false">IF(OR($M1533="",$F1533="",$G1533=""),"",IF($H1533="Разминка","Разминка",IF($F1533&lt;INDEX('Программа тренировок'!$E$6:$E$25,$M1533),"Ниже диапазона",IF(AND($F1533&gt;=INDEX('Программа тренировок'!$F$6:$F$25,$M1533),$G1533&gt;=INDEX('Программа тренировок'!$L$6:$L$25,$M1533)),"Верх диапазона: пора добавлять вес",IF($G1533&lt;INDEX('Программа тренировок'!$L$6:$L$25,$M1533),"RIR ниже цели","В диапазоне")))))</f>
        <v/>
      </c>
      <c r="M1533" s="23" t="str">
        <f aca="false">IF($C1533="","",IFERROR(MATCH($C1533,'Программа тренировок'!$C$6:$C$25,0),""))</f>
        <v/>
      </c>
    </row>
    <row r="1534" customFormat="false" ht="15" hidden="false" customHeight="true" outlineLevel="0" collapsed="false">
      <c r="A1534" s="20"/>
      <c r="B1534" s="21"/>
      <c r="C1534" s="19"/>
      <c r="D1534" s="18"/>
      <c r="E1534" s="17"/>
      <c r="F1534" s="18"/>
      <c r="G1534" s="18"/>
      <c r="H1534" s="21"/>
      <c r="I1534" s="19"/>
      <c r="J1534" s="8" t="str">
        <f aca="false">IF(OR(E1534="",F1534=""),"",E1534*F1534)</f>
        <v/>
      </c>
      <c r="K1534" s="22" t="str">
        <f aca="false">IF($M1534="","",INDEX('Программа тренировок'!$G$6:$G$25,$M1534))</f>
        <v/>
      </c>
      <c r="L1534" s="23" t="str">
        <f aca="false">IF(OR($M1534="",$F1534="",$G1534=""),"",IF($H1534="Разминка","Разминка",IF($F1534&lt;INDEX('Программа тренировок'!$E$6:$E$25,$M1534),"Ниже диапазона",IF(AND($F1534&gt;=INDEX('Программа тренировок'!$F$6:$F$25,$M1534),$G1534&gt;=INDEX('Программа тренировок'!$L$6:$L$25,$M1534)),"Верх диапазона: пора добавлять вес",IF($G1534&lt;INDEX('Программа тренировок'!$L$6:$L$25,$M1534),"RIR ниже цели","В диапазоне")))))</f>
        <v/>
      </c>
      <c r="M1534" s="23" t="str">
        <f aca="false">IF($C1534="","",IFERROR(MATCH($C1534,'Программа тренировок'!$C$6:$C$25,0),""))</f>
        <v/>
      </c>
    </row>
    <row r="1535" customFormat="false" ht="15" hidden="false" customHeight="true" outlineLevel="0" collapsed="false">
      <c r="A1535" s="20"/>
      <c r="B1535" s="21"/>
      <c r="C1535" s="19"/>
      <c r="D1535" s="18"/>
      <c r="E1535" s="17"/>
      <c r="F1535" s="18"/>
      <c r="G1535" s="18"/>
      <c r="H1535" s="21"/>
      <c r="I1535" s="19"/>
      <c r="J1535" s="8" t="str">
        <f aca="false">IF(OR(E1535="",F1535=""),"",E1535*F1535)</f>
        <v/>
      </c>
      <c r="K1535" s="22" t="str">
        <f aca="false">IF($M1535="","",INDEX('Программа тренировок'!$G$6:$G$25,$M1535))</f>
        <v/>
      </c>
      <c r="L1535" s="23" t="str">
        <f aca="false">IF(OR($M1535="",$F1535="",$G1535=""),"",IF($H1535="Разминка","Разминка",IF($F1535&lt;INDEX('Программа тренировок'!$E$6:$E$25,$M1535),"Ниже диапазона",IF(AND($F1535&gt;=INDEX('Программа тренировок'!$F$6:$F$25,$M1535),$G1535&gt;=INDEX('Программа тренировок'!$L$6:$L$25,$M1535)),"Верх диапазона: пора добавлять вес",IF($G1535&lt;INDEX('Программа тренировок'!$L$6:$L$25,$M1535),"RIR ниже цели","В диапазоне")))))</f>
        <v/>
      </c>
      <c r="M1535" s="23" t="str">
        <f aca="false">IF($C1535="","",IFERROR(MATCH($C1535,'Программа тренировок'!$C$6:$C$25,0),""))</f>
        <v/>
      </c>
    </row>
    <row r="1536" customFormat="false" ht="15" hidden="false" customHeight="true" outlineLevel="0" collapsed="false">
      <c r="A1536" s="20"/>
      <c r="B1536" s="21"/>
      <c r="C1536" s="19"/>
      <c r="D1536" s="18"/>
      <c r="E1536" s="17"/>
      <c r="F1536" s="18"/>
      <c r="G1536" s="18"/>
      <c r="H1536" s="21"/>
      <c r="I1536" s="19"/>
      <c r="J1536" s="8" t="str">
        <f aca="false">IF(OR(E1536="",F1536=""),"",E1536*F1536)</f>
        <v/>
      </c>
      <c r="K1536" s="22" t="str">
        <f aca="false">IF($M1536="","",INDEX('Программа тренировок'!$G$6:$G$25,$M1536))</f>
        <v/>
      </c>
      <c r="L1536" s="23" t="str">
        <f aca="false">IF(OR($M1536="",$F1536="",$G1536=""),"",IF($H1536="Разминка","Разминка",IF($F1536&lt;INDEX('Программа тренировок'!$E$6:$E$25,$M1536),"Ниже диапазона",IF(AND($F1536&gt;=INDEX('Программа тренировок'!$F$6:$F$25,$M1536),$G1536&gt;=INDEX('Программа тренировок'!$L$6:$L$25,$M1536)),"Верх диапазона: пора добавлять вес",IF($G1536&lt;INDEX('Программа тренировок'!$L$6:$L$25,$M1536),"RIR ниже цели","В диапазоне")))))</f>
        <v/>
      </c>
      <c r="M1536" s="23" t="str">
        <f aca="false">IF($C1536="","",IFERROR(MATCH($C1536,'Программа тренировок'!$C$6:$C$25,0),""))</f>
        <v/>
      </c>
    </row>
    <row r="1537" customFormat="false" ht="15" hidden="false" customHeight="true" outlineLevel="0" collapsed="false">
      <c r="A1537" s="20"/>
      <c r="B1537" s="21"/>
      <c r="C1537" s="19"/>
      <c r="D1537" s="18"/>
      <c r="E1537" s="17"/>
      <c r="F1537" s="18"/>
      <c r="G1537" s="18"/>
      <c r="H1537" s="21"/>
      <c r="I1537" s="19"/>
      <c r="J1537" s="8" t="str">
        <f aca="false">IF(OR(E1537="",F1537=""),"",E1537*F1537)</f>
        <v/>
      </c>
      <c r="K1537" s="22" t="str">
        <f aca="false">IF($M1537="","",INDEX('Программа тренировок'!$G$6:$G$25,$M1537))</f>
        <v/>
      </c>
      <c r="L1537" s="23" t="str">
        <f aca="false">IF(OR($M1537="",$F1537="",$G1537=""),"",IF($H1537="Разминка","Разминка",IF($F1537&lt;INDEX('Программа тренировок'!$E$6:$E$25,$M1537),"Ниже диапазона",IF(AND($F1537&gt;=INDEX('Программа тренировок'!$F$6:$F$25,$M1537),$G1537&gt;=INDEX('Программа тренировок'!$L$6:$L$25,$M1537)),"Верх диапазона: пора добавлять вес",IF($G1537&lt;INDEX('Программа тренировок'!$L$6:$L$25,$M1537),"RIR ниже цели","В диапазоне")))))</f>
        <v/>
      </c>
      <c r="M1537" s="23" t="str">
        <f aca="false">IF($C1537="","",IFERROR(MATCH($C1537,'Программа тренировок'!$C$6:$C$25,0),""))</f>
        <v/>
      </c>
    </row>
    <row r="1538" customFormat="false" ht="15" hidden="false" customHeight="true" outlineLevel="0" collapsed="false">
      <c r="A1538" s="20"/>
      <c r="B1538" s="21"/>
      <c r="C1538" s="19"/>
      <c r="D1538" s="18"/>
      <c r="E1538" s="17"/>
      <c r="F1538" s="18"/>
      <c r="G1538" s="18"/>
      <c r="H1538" s="21"/>
      <c r="I1538" s="19"/>
      <c r="J1538" s="8" t="str">
        <f aca="false">IF(OR(E1538="",F1538=""),"",E1538*F1538)</f>
        <v/>
      </c>
      <c r="K1538" s="22" t="str">
        <f aca="false">IF($M1538="","",INDEX('Программа тренировок'!$G$6:$G$25,$M1538))</f>
        <v/>
      </c>
      <c r="L1538" s="23" t="str">
        <f aca="false">IF(OR($M1538="",$F1538="",$G1538=""),"",IF($H1538="Разминка","Разминка",IF($F1538&lt;INDEX('Программа тренировок'!$E$6:$E$25,$M1538),"Ниже диапазона",IF(AND($F1538&gt;=INDEX('Программа тренировок'!$F$6:$F$25,$M1538),$G1538&gt;=INDEX('Программа тренировок'!$L$6:$L$25,$M1538)),"Верх диапазона: пора добавлять вес",IF($G1538&lt;INDEX('Программа тренировок'!$L$6:$L$25,$M1538),"RIR ниже цели","В диапазоне")))))</f>
        <v/>
      </c>
      <c r="M1538" s="23" t="str">
        <f aca="false">IF($C1538="","",IFERROR(MATCH($C1538,'Программа тренировок'!$C$6:$C$25,0),""))</f>
        <v/>
      </c>
    </row>
    <row r="1539" customFormat="false" ht="15" hidden="false" customHeight="true" outlineLevel="0" collapsed="false">
      <c r="A1539" s="20"/>
      <c r="B1539" s="21"/>
      <c r="C1539" s="19"/>
      <c r="D1539" s="18"/>
      <c r="E1539" s="17"/>
      <c r="F1539" s="18"/>
      <c r="G1539" s="18"/>
      <c r="H1539" s="21"/>
      <c r="I1539" s="19"/>
      <c r="J1539" s="8" t="str">
        <f aca="false">IF(OR(E1539="",F1539=""),"",E1539*F1539)</f>
        <v/>
      </c>
      <c r="K1539" s="22" t="str">
        <f aca="false">IF($M1539="","",INDEX('Программа тренировок'!$G$6:$G$25,$M1539))</f>
        <v/>
      </c>
      <c r="L1539" s="23" t="str">
        <f aca="false">IF(OR($M1539="",$F1539="",$G1539=""),"",IF($H1539="Разминка","Разминка",IF($F1539&lt;INDEX('Программа тренировок'!$E$6:$E$25,$M1539),"Ниже диапазона",IF(AND($F1539&gt;=INDEX('Программа тренировок'!$F$6:$F$25,$M1539),$G1539&gt;=INDEX('Программа тренировок'!$L$6:$L$25,$M1539)),"Верх диапазона: пора добавлять вес",IF($G1539&lt;INDEX('Программа тренировок'!$L$6:$L$25,$M1539),"RIR ниже цели","В диапазоне")))))</f>
        <v/>
      </c>
      <c r="M1539" s="23" t="str">
        <f aca="false">IF($C1539="","",IFERROR(MATCH($C1539,'Программа тренировок'!$C$6:$C$25,0),""))</f>
        <v/>
      </c>
    </row>
    <row r="1540" customFormat="false" ht="15" hidden="false" customHeight="true" outlineLevel="0" collapsed="false">
      <c r="A1540" s="20"/>
      <c r="B1540" s="21"/>
      <c r="C1540" s="19"/>
      <c r="D1540" s="18"/>
      <c r="E1540" s="17"/>
      <c r="F1540" s="18"/>
      <c r="G1540" s="18"/>
      <c r="H1540" s="21"/>
      <c r="I1540" s="19"/>
      <c r="J1540" s="8" t="str">
        <f aca="false">IF(OR(E1540="",F1540=""),"",E1540*F1540)</f>
        <v/>
      </c>
      <c r="K1540" s="22" t="str">
        <f aca="false">IF($M1540="","",INDEX('Программа тренировок'!$G$6:$G$25,$M1540))</f>
        <v/>
      </c>
      <c r="L1540" s="23" t="str">
        <f aca="false">IF(OR($M1540="",$F1540="",$G1540=""),"",IF($H1540="Разминка","Разминка",IF($F1540&lt;INDEX('Программа тренировок'!$E$6:$E$25,$M1540),"Ниже диапазона",IF(AND($F1540&gt;=INDEX('Программа тренировок'!$F$6:$F$25,$M1540),$G1540&gt;=INDEX('Программа тренировок'!$L$6:$L$25,$M1540)),"Верх диапазона: пора добавлять вес",IF($G1540&lt;INDEX('Программа тренировок'!$L$6:$L$25,$M1540),"RIR ниже цели","В диапазоне")))))</f>
        <v/>
      </c>
      <c r="M1540" s="23" t="str">
        <f aca="false">IF($C1540="","",IFERROR(MATCH($C1540,'Программа тренировок'!$C$6:$C$25,0),""))</f>
        <v/>
      </c>
    </row>
    <row r="1541" customFormat="false" ht="15" hidden="false" customHeight="true" outlineLevel="0" collapsed="false">
      <c r="A1541" s="20"/>
      <c r="B1541" s="21"/>
      <c r="C1541" s="19"/>
      <c r="D1541" s="18"/>
      <c r="E1541" s="17"/>
      <c r="F1541" s="18"/>
      <c r="G1541" s="18"/>
      <c r="H1541" s="21"/>
      <c r="I1541" s="19"/>
      <c r="J1541" s="8" t="str">
        <f aca="false">IF(OR(E1541="",F1541=""),"",E1541*F1541)</f>
        <v/>
      </c>
      <c r="K1541" s="22" t="str">
        <f aca="false">IF($M1541="","",INDEX('Программа тренировок'!$G$6:$G$25,$M1541))</f>
        <v/>
      </c>
      <c r="L1541" s="23" t="str">
        <f aca="false">IF(OR($M1541="",$F1541="",$G1541=""),"",IF($H1541="Разминка","Разминка",IF($F1541&lt;INDEX('Программа тренировок'!$E$6:$E$25,$M1541),"Ниже диапазона",IF(AND($F1541&gt;=INDEX('Программа тренировок'!$F$6:$F$25,$M1541),$G1541&gt;=INDEX('Программа тренировок'!$L$6:$L$25,$M1541)),"Верх диапазона: пора добавлять вес",IF($G1541&lt;INDEX('Программа тренировок'!$L$6:$L$25,$M1541),"RIR ниже цели","В диапазоне")))))</f>
        <v/>
      </c>
      <c r="M1541" s="23" t="str">
        <f aca="false">IF($C1541="","",IFERROR(MATCH($C1541,'Программа тренировок'!$C$6:$C$25,0),""))</f>
        <v/>
      </c>
    </row>
    <row r="1542" customFormat="false" ht="15" hidden="false" customHeight="true" outlineLevel="0" collapsed="false">
      <c r="A1542" s="20"/>
      <c r="B1542" s="21"/>
      <c r="C1542" s="19"/>
      <c r="D1542" s="18"/>
      <c r="E1542" s="17"/>
      <c r="F1542" s="18"/>
      <c r="G1542" s="18"/>
      <c r="H1542" s="21"/>
      <c r="I1542" s="19"/>
      <c r="J1542" s="8" t="str">
        <f aca="false">IF(OR(E1542="",F1542=""),"",E1542*F1542)</f>
        <v/>
      </c>
      <c r="K1542" s="22" t="str">
        <f aca="false">IF($M1542="","",INDEX('Программа тренировок'!$G$6:$G$25,$M1542))</f>
        <v/>
      </c>
      <c r="L1542" s="23" t="str">
        <f aca="false">IF(OR($M1542="",$F1542="",$G1542=""),"",IF($H1542="Разминка","Разминка",IF($F1542&lt;INDEX('Программа тренировок'!$E$6:$E$25,$M1542),"Ниже диапазона",IF(AND($F1542&gt;=INDEX('Программа тренировок'!$F$6:$F$25,$M1542),$G1542&gt;=INDEX('Программа тренировок'!$L$6:$L$25,$M1542)),"Верх диапазона: пора добавлять вес",IF($G1542&lt;INDEX('Программа тренировок'!$L$6:$L$25,$M1542),"RIR ниже цели","В диапазоне")))))</f>
        <v/>
      </c>
      <c r="M1542" s="23" t="str">
        <f aca="false">IF($C1542="","",IFERROR(MATCH($C1542,'Программа тренировок'!$C$6:$C$25,0),""))</f>
        <v/>
      </c>
    </row>
    <row r="1543" customFormat="false" ht="15" hidden="false" customHeight="true" outlineLevel="0" collapsed="false">
      <c r="A1543" s="20"/>
      <c r="B1543" s="21"/>
      <c r="C1543" s="19"/>
      <c r="D1543" s="18"/>
      <c r="E1543" s="17"/>
      <c r="F1543" s="18"/>
      <c r="G1543" s="18"/>
      <c r="H1543" s="21"/>
      <c r="I1543" s="19"/>
      <c r="J1543" s="8" t="str">
        <f aca="false">IF(OR(E1543="",F1543=""),"",E1543*F1543)</f>
        <v/>
      </c>
      <c r="K1543" s="22" t="str">
        <f aca="false">IF($M1543="","",INDEX('Программа тренировок'!$G$6:$G$25,$M1543))</f>
        <v/>
      </c>
      <c r="L1543" s="23" t="str">
        <f aca="false">IF(OR($M1543="",$F1543="",$G1543=""),"",IF($H1543="Разминка","Разминка",IF($F1543&lt;INDEX('Программа тренировок'!$E$6:$E$25,$M1543),"Ниже диапазона",IF(AND($F1543&gt;=INDEX('Программа тренировок'!$F$6:$F$25,$M1543),$G1543&gt;=INDEX('Программа тренировок'!$L$6:$L$25,$M1543)),"Верх диапазона: пора добавлять вес",IF($G1543&lt;INDEX('Программа тренировок'!$L$6:$L$25,$M1543),"RIR ниже цели","В диапазоне")))))</f>
        <v/>
      </c>
      <c r="M1543" s="23" t="str">
        <f aca="false">IF($C1543="","",IFERROR(MATCH($C1543,'Программа тренировок'!$C$6:$C$25,0),""))</f>
        <v/>
      </c>
    </row>
    <row r="1544" customFormat="false" ht="15" hidden="false" customHeight="true" outlineLevel="0" collapsed="false">
      <c r="A1544" s="20"/>
      <c r="B1544" s="21"/>
      <c r="C1544" s="19"/>
      <c r="D1544" s="18"/>
      <c r="E1544" s="17"/>
      <c r="F1544" s="18"/>
      <c r="G1544" s="18"/>
      <c r="H1544" s="21"/>
      <c r="I1544" s="19"/>
      <c r="J1544" s="8" t="str">
        <f aca="false">IF(OR(E1544="",F1544=""),"",E1544*F1544)</f>
        <v/>
      </c>
      <c r="K1544" s="22" t="str">
        <f aca="false">IF($M1544="","",INDEX('Программа тренировок'!$G$6:$G$25,$M1544))</f>
        <v/>
      </c>
      <c r="L1544" s="23" t="str">
        <f aca="false">IF(OR($M1544="",$F1544="",$G1544=""),"",IF($H1544="Разминка","Разминка",IF($F1544&lt;INDEX('Программа тренировок'!$E$6:$E$25,$M1544),"Ниже диапазона",IF(AND($F1544&gt;=INDEX('Программа тренировок'!$F$6:$F$25,$M1544),$G1544&gt;=INDEX('Программа тренировок'!$L$6:$L$25,$M1544)),"Верх диапазона: пора добавлять вес",IF($G1544&lt;INDEX('Программа тренировок'!$L$6:$L$25,$M1544),"RIR ниже цели","В диапазоне")))))</f>
        <v/>
      </c>
      <c r="M1544" s="23" t="str">
        <f aca="false">IF($C1544="","",IFERROR(MATCH($C1544,'Программа тренировок'!$C$6:$C$25,0),""))</f>
        <v/>
      </c>
    </row>
    <row r="1545" customFormat="false" ht="15" hidden="false" customHeight="true" outlineLevel="0" collapsed="false">
      <c r="A1545" s="20"/>
      <c r="B1545" s="21"/>
      <c r="C1545" s="19"/>
      <c r="D1545" s="18"/>
      <c r="E1545" s="17"/>
      <c r="F1545" s="18"/>
      <c r="G1545" s="18"/>
      <c r="H1545" s="21"/>
      <c r="I1545" s="19"/>
      <c r="J1545" s="8" t="str">
        <f aca="false">IF(OR(E1545="",F1545=""),"",E1545*F1545)</f>
        <v/>
      </c>
      <c r="K1545" s="22" t="str">
        <f aca="false">IF($M1545="","",INDEX('Программа тренировок'!$G$6:$G$25,$M1545))</f>
        <v/>
      </c>
      <c r="L1545" s="23" t="str">
        <f aca="false">IF(OR($M1545="",$F1545="",$G1545=""),"",IF($H1545="Разминка","Разминка",IF($F1545&lt;INDEX('Программа тренировок'!$E$6:$E$25,$M1545),"Ниже диапазона",IF(AND($F1545&gt;=INDEX('Программа тренировок'!$F$6:$F$25,$M1545),$G1545&gt;=INDEX('Программа тренировок'!$L$6:$L$25,$M1545)),"Верх диапазона: пора добавлять вес",IF($G1545&lt;INDEX('Программа тренировок'!$L$6:$L$25,$M1545),"RIR ниже цели","В диапазоне")))))</f>
        <v/>
      </c>
      <c r="M1545" s="23" t="str">
        <f aca="false">IF($C1545="","",IFERROR(MATCH($C1545,'Программа тренировок'!$C$6:$C$25,0),""))</f>
        <v/>
      </c>
    </row>
    <row r="1546" customFormat="false" ht="15" hidden="false" customHeight="true" outlineLevel="0" collapsed="false">
      <c r="A1546" s="20"/>
      <c r="B1546" s="21"/>
      <c r="C1546" s="19"/>
      <c r="D1546" s="18"/>
      <c r="E1546" s="17"/>
      <c r="F1546" s="18"/>
      <c r="G1546" s="18"/>
      <c r="H1546" s="21"/>
      <c r="I1546" s="19"/>
      <c r="J1546" s="8" t="str">
        <f aca="false">IF(OR(E1546="",F1546=""),"",E1546*F1546)</f>
        <v/>
      </c>
      <c r="K1546" s="22" t="str">
        <f aca="false">IF($M1546="","",INDEX('Программа тренировок'!$G$6:$G$25,$M1546))</f>
        <v/>
      </c>
      <c r="L1546" s="23" t="str">
        <f aca="false">IF(OR($M1546="",$F1546="",$G1546=""),"",IF($H1546="Разминка","Разминка",IF($F1546&lt;INDEX('Программа тренировок'!$E$6:$E$25,$M1546),"Ниже диапазона",IF(AND($F1546&gt;=INDEX('Программа тренировок'!$F$6:$F$25,$M1546),$G1546&gt;=INDEX('Программа тренировок'!$L$6:$L$25,$M1546)),"Верх диапазона: пора добавлять вес",IF($G1546&lt;INDEX('Программа тренировок'!$L$6:$L$25,$M1546),"RIR ниже цели","В диапазоне")))))</f>
        <v/>
      </c>
      <c r="M1546" s="23" t="str">
        <f aca="false">IF($C1546="","",IFERROR(MATCH($C1546,'Программа тренировок'!$C$6:$C$25,0),""))</f>
        <v/>
      </c>
    </row>
    <row r="1547" customFormat="false" ht="15" hidden="false" customHeight="true" outlineLevel="0" collapsed="false">
      <c r="A1547" s="20"/>
      <c r="B1547" s="21"/>
      <c r="C1547" s="19"/>
      <c r="D1547" s="18"/>
      <c r="E1547" s="17"/>
      <c r="F1547" s="18"/>
      <c r="G1547" s="18"/>
      <c r="H1547" s="21"/>
      <c r="I1547" s="19"/>
      <c r="J1547" s="8" t="str">
        <f aca="false">IF(OR(E1547="",F1547=""),"",E1547*F1547)</f>
        <v/>
      </c>
      <c r="K1547" s="22" t="str">
        <f aca="false">IF($M1547="","",INDEX('Программа тренировок'!$G$6:$G$25,$M1547))</f>
        <v/>
      </c>
      <c r="L1547" s="23" t="str">
        <f aca="false">IF(OR($M1547="",$F1547="",$G1547=""),"",IF($H1547="Разминка","Разминка",IF($F1547&lt;INDEX('Программа тренировок'!$E$6:$E$25,$M1547),"Ниже диапазона",IF(AND($F1547&gt;=INDEX('Программа тренировок'!$F$6:$F$25,$M1547),$G1547&gt;=INDEX('Программа тренировок'!$L$6:$L$25,$M1547)),"Верх диапазона: пора добавлять вес",IF($G1547&lt;INDEX('Программа тренировок'!$L$6:$L$25,$M1547),"RIR ниже цели","В диапазоне")))))</f>
        <v/>
      </c>
      <c r="M1547" s="23" t="str">
        <f aca="false">IF($C1547="","",IFERROR(MATCH($C1547,'Программа тренировок'!$C$6:$C$25,0),""))</f>
        <v/>
      </c>
    </row>
    <row r="1548" customFormat="false" ht="15" hidden="false" customHeight="true" outlineLevel="0" collapsed="false">
      <c r="A1548" s="20"/>
      <c r="B1548" s="21"/>
      <c r="C1548" s="19"/>
      <c r="D1548" s="18"/>
      <c r="E1548" s="17"/>
      <c r="F1548" s="18"/>
      <c r="G1548" s="18"/>
      <c r="H1548" s="21"/>
      <c r="I1548" s="19"/>
      <c r="J1548" s="8" t="str">
        <f aca="false">IF(OR(E1548="",F1548=""),"",E1548*F1548)</f>
        <v/>
      </c>
      <c r="K1548" s="22" t="str">
        <f aca="false">IF($M1548="","",INDEX('Программа тренировок'!$G$6:$G$25,$M1548))</f>
        <v/>
      </c>
      <c r="L1548" s="23" t="str">
        <f aca="false">IF(OR($M1548="",$F1548="",$G1548=""),"",IF($H1548="Разминка","Разминка",IF($F1548&lt;INDEX('Программа тренировок'!$E$6:$E$25,$M1548),"Ниже диапазона",IF(AND($F1548&gt;=INDEX('Программа тренировок'!$F$6:$F$25,$M1548),$G1548&gt;=INDEX('Программа тренировок'!$L$6:$L$25,$M1548)),"Верх диапазона: пора добавлять вес",IF($G1548&lt;INDEX('Программа тренировок'!$L$6:$L$25,$M1548),"RIR ниже цели","В диапазоне")))))</f>
        <v/>
      </c>
      <c r="M1548" s="23" t="str">
        <f aca="false">IF($C1548="","",IFERROR(MATCH($C1548,'Программа тренировок'!$C$6:$C$25,0),""))</f>
        <v/>
      </c>
    </row>
    <row r="1549" customFormat="false" ht="15" hidden="false" customHeight="true" outlineLevel="0" collapsed="false">
      <c r="A1549" s="20"/>
      <c r="B1549" s="21"/>
      <c r="C1549" s="19"/>
      <c r="D1549" s="18"/>
      <c r="E1549" s="17"/>
      <c r="F1549" s="18"/>
      <c r="G1549" s="18"/>
      <c r="H1549" s="21"/>
      <c r="I1549" s="19"/>
      <c r="J1549" s="8" t="str">
        <f aca="false">IF(OR(E1549="",F1549=""),"",E1549*F1549)</f>
        <v/>
      </c>
      <c r="K1549" s="22" t="str">
        <f aca="false">IF($M1549="","",INDEX('Программа тренировок'!$G$6:$G$25,$M1549))</f>
        <v/>
      </c>
      <c r="L1549" s="23" t="str">
        <f aca="false">IF(OR($M1549="",$F1549="",$G1549=""),"",IF($H1549="Разминка","Разминка",IF($F1549&lt;INDEX('Программа тренировок'!$E$6:$E$25,$M1549),"Ниже диапазона",IF(AND($F1549&gt;=INDEX('Программа тренировок'!$F$6:$F$25,$M1549),$G1549&gt;=INDEX('Программа тренировок'!$L$6:$L$25,$M1549)),"Верх диапазона: пора добавлять вес",IF($G1549&lt;INDEX('Программа тренировок'!$L$6:$L$25,$M1549),"RIR ниже цели","В диапазоне")))))</f>
        <v/>
      </c>
      <c r="M1549" s="23" t="str">
        <f aca="false">IF($C1549="","",IFERROR(MATCH($C1549,'Программа тренировок'!$C$6:$C$25,0),""))</f>
        <v/>
      </c>
    </row>
    <row r="1550" customFormat="false" ht="15" hidden="false" customHeight="true" outlineLevel="0" collapsed="false">
      <c r="A1550" s="20"/>
      <c r="B1550" s="21"/>
      <c r="C1550" s="19"/>
      <c r="D1550" s="18"/>
      <c r="E1550" s="17"/>
      <c r="F1550" s="18"/>
      <c r="G1550" s="18"/>
      <c r="H1550" s="21"/>
      <c r="I1550" s="19"/>
      <c r="J1550" s="8" t="str">
        <f aca="false">IF(OR(E1550="",F1550=""),"",E1550*F1550)</f>
        <v/>
      </c>
      <c r="K1550" s="22" t="str">
        <f aca="false">IF($M1550="","",INDEX('Программа тренировок'!$G$6:$G$25,$M1550))</f>
        <v/>
      </c>
      <c r="L1550" s="23" t="str">
        <f aca="false">IF(OR($M1550="",$F1550="",$G1550=""),"",IF($H1550="Разминка","Разминка",IF($F1550&lt;INDEX('Программа тренировок'!$E$6:$E$25,$M1550),"Ниже диапазона",IF(AND($F1550&gt;=INDEX('Программа тренировок'!$F$6:$F$25,$M1550),$G1550&gt;=INDEX('Программа тренировок'!$L$6:$L$25,$M1550)),"Верх диапазона: пора добавлять вес",IF($G1550&lt;INDEX('Программа тренировок'!$L$6:$L$25,$M1550),"RIR ниже цели","В диапазоне")))))</f>
        <v/>
      </c>
      <c r="M1550" s="23" t="str">
        <f aca="false">IF($C1550="","",IFERROR(MATCH($C1550,'Программа тренировок'!$C$6:$C$25,0),""))</f>
        <v/>
      </c>
    </row>
    <row r="1551" customFormat="false" ht="15" hidden="false" customHeight="true" outlineLevel="0" collapsed="false">
      <c r="A1551" s="20"/>
      <c r="B1551" s="21"/>
      <c r="C1551" s="19"/>
      <c r="D1551" s="18"/>
      <c r="E1551" s="17"/>
      <c r="F1551" s="18"/>
      <c r="G1551" s="18"/>
      <c r="H1551" s="21"/>
      <c r="I1551" s="19"/>
      <c r="J1551" s="8" t="str">
        <f aca="false">IF(OR(E1551="",F1551=""),"",E1551*F1551)</f>
        <v/>
      </c>
      <c r="K1551" s="22" t="str">
        <f aca="false">IF($M1551="","",INDEX('Программа тренировок'!$G$6:$G$25,$M1551))</f>
        <v/>
      </c>
      <c r="L1551" s="23" t="str">
        <f aca="false">IF(OR($M1551="",$F1551="",$G1551=""),"",IF($H1551="Разминка","Разминка",IF($F1551&lt;INDEX('Программа тренировок'!$E$6:$E$25,$M1551),"Ниже диапазона",IF(AND($F1551&gt;=INDEX('Программа тренировок'!$F$6:$F$25,$M1551),$G1551&gt;=INDEX('Программа тренировок'!$L$6:$L$25,$M1551)),"Верх диапазона: пора добавлять вес",IF($G1551&lt;INDEX('Программа тренировок'!$L$6:$L$25,$M1551),"RIR ниже цели","В диапазоне")))))</f>
        <v/>
      </c>
      <c r="M1551" s="23" t="str">
        <f aca="false">IF($C1551="","",IFERROR(MATCH($C1551,'Программа тренировок'!$C$6:$C$25,0),""))</f>
        <v/>
      </c>
    </row>
    <row r="1552" customFormat="false" ht="15" hidden="false" customHeight="true" outlineLevel="0" collapsed="false">
      <c r="A1552" s="20"/>
      <c r="B1552" s="21"/>
      <c r="C1552" s="19"/>
      <c r="D1552" s="18"/>
      <c r="E1552" s="17"/>
      <c r="F1552" s="18"/>
      <c r="G1552" s="18"/>
      <c r="H1552" s="21"/>
      <c r="I1552" s="19"/>
      <c r="J1552" s="8" t="str">
        <f aca="false">IF(OR(E1552="",F1552=""),"",E1552*F1552)</f>
        <v/>
      </c>
      <c r="K1552" s="22" t="str">
        <f aca="false">IF($M1552="","",INDEX('Программа тренировок'!$G$6:$G$25,$M1552))</f>
        <v/>
      </c>
      <c r="L1552" s="23" t="str">
        <f aca="false">IF(OR($M1552="",$F1552="",$G1552=""),"",IF($H1552="Разминка","Разминка",IF($F1552&lt;INDEX('Программа тренировок'!$E$6:$E$25,$M1552),"Ниже диапазона",IF(AND($F1552&gt;=INDEX('Программа тренировок'!$F$6:$F$25,$M1552),$G1552&gt;=INDEX('Программа тренировок'!$L$6:$L$25,$M1552)),"Верх диапазона: пора добавлять вес",IF($G1552&lt;INDEX('Программа тренировок'!$L$6:$L$25,$M1552),"RIR ниже цели","В диапазоне")))))</f>
        <v/>
      </c>
      <c r="M1552" s="23" t="str">
        <f aca="false">IF($C1552="","",IFERROR(MATCH($C1552,'Программа тренировок'!$C$6:$C$25,0),""))</f>
        <v/>
      </c>
    </row>
    <row r="1553" customFormat="false" ht="15" hidden="false" customHeight="true" outlineLevel="0" collapsed="false">
      <c r="A1553" s="20"/>
      <c r="B1553" s="21"/>
      <c r="C1553" s="19"/>
      <c r="D1553" s="18"/>
      <c r="E1553" s="17"/>
      <c r="F1553" s="18"/>
      <c r="G1553" s="18"/>
      <c r="H1553" s="21"/>
      <c r="I1553" s="19"/>
      <c r="J1553" s="8" t="str">
        <f aca="false">IF(OR(E1553="",F1553=""),"",E1553*F1553)</f>
        <v/>
      </c>
      <c r="K1553" s="22" t="str">
        <f aca="false">IF($M1553="","",INDEX('Программа тренировок'!$G$6:$G$25,$M1553))</f>
        <v/>
      </c>
      <c r="L1553" s="23" t="str">
        <f aca="false">IF(OR($M1553="",$F1553="",$G1553=""),"",IF($H1553="Разминка","Разминка",IF($F1553&lt;INDEX('Программа тренировок'!$E$6:$E$25,$M1553),"Ниже диапазона",IF(AND($F1553&gt;=INDEX('Программа тренировок'!$F$6:$F$25,$M1553),$G1553&gt;=INDEX('Программа тренировок'!$L$6:$L$25,$M1553)),"Верх диапазона: пора добавлять вес",IF($G1553&lt;INDEX('Программа тренировок'!$L$6:$L$25,$M1553),"RIR ниже цели","В диапазоне")))))</f>
        <v/>
      </c>
      <c r="M1553" s="23" t="str">
        <f aca="false">IF($C1553="","",IFERROR(MATCH($C1553,'Программа тренировок'!$C$6:$C$25,0),""))</f>
        <v/>
      </c>
    </row>
    <row r="1554" customFormat="false" ht="15" hidden="false" customHeight="true" outlineLevel="0" collapsed="false">
      <c r="A1554" s="20"/>
      <c r="B1554" s="21"/>
      <c r="C1554" s="19"/>
      <c r="D1554" s="18"/>
      <c r="E1554" s="17"/>
      <c r="F1554" s="18"/>
      <c r="G1554" s="18"/>
      <c r="H1554" s="21"/>
      <c r="I1554" s="19"/>
      <c r="J1554" s="8" t="str">
        <f aca="false">IF(OR(E1554="",F1554=""),"",E1554*F1554)</f>
        <v/>
      </c>
      <c r="K1554" s="22" t="str">
        <f aca="false">IF($M1554="","",INDEX('Программа тренировок'!$G$6:$G$25,$M1554))</f>
        <v/>
      </c>
      <c r="L1554" s="23" t="str">
        <f aca="false">IF(OR($M1554="",$F1554="",$G1554=""),"",IF($H1554="Разминка","Разминка",IF($F1554&lt;INDEX('Программа тренировок'!$E$6:$E$25,$M1554),"Ниже диапазона",IF(AND($F1554&gt;=INDEX('Программа тренировок'!$F$6:$F$25,$M1554),$G1554&gt;=INDEX('Программа тренировок'!$L$6:$L$25,$M1554)),"Верх диапазона: пора добавлять вес",IF($G1554&lt;INDEX('Программа тренировок'!$L$6:$L$25,$M1554),"RIR ниже цели","В диапазоне")))))</f>
        <v/>
      </c>
      <c r="M1554" s="23" t="str">
        <f aca="false">IF($C1554="","",IFERROR(MATCH($C1554,'Программа тренировок'!$C$6:$C$25,0),""))</f>
        <v/>
      </c>
    </row>
    <row r="1555" customFormat="false" ht="15" hidden="false" customHeight="true" outlineLevel="0" collapsed="false">
      <c r="A1555" s="20"/>
      <c r="B1555" s="21"/>
      <c r="C1555" s="19"/>
      <c r="D1555" s="18"/>
      <c r="E1555" s="17"/>
      <c r="F1555" s="18"/>
      <c r="G1555" s="18"/>
      <c r="H1555" s="21"/>
      <c r="I1555" s="19"/>
      <c r="J1555" s="8" t="str">
        <f aca="false">IF(OR(E1555="",F1555=""),"",E1555*F1555)</f>
        <v/>
      </c>
      <c r="K1555" s="22" t="str">
        <f aca="false">IF($M1555="","",INDEX('Программа тренировок'!$G$6:$G$25,$M1555))</f>
        <v/>
      </c>
      <c r="L1555" s="23" t="str">
        <f aca="false">IF(OR($M1555="",$F1555="",$G1555=""),"",IF($H1555="Разминка","Разминка",IF($F1555&lt;INDEX('Программа тренировок'!$E$6:$E$25,$M1555),"Ниже диапазона",IF(AND($F1555&gt;=INDEX('Программа тренировок'!$F$6:$F$25,$M1555),$G1555&gt;=INDEX('Программа тренировок'!$L$6:$L$25,$M1555)),"Верх диапазона: пора добавлять вес",IF($G1555&lt;INDEX('Программа тренировок'!$L$6:$L$25,$M1555),"RIR ниже цели","В диапазоне")))))</f>
        <v/>
      </c>
      <c r="M1555" s="23" t="str">
        <f aca="false">IF($C1555="","",IFERROR(MATCH($C1555,'Программа тренировок'!$C$6:$C$25,0),""))</f>
        <v/>
      </c>
    </row>
    <row r="1556" customFormat="false" ht="15" hidden="false" customHeight="true" outlineLevel="0" collapsed="false">
      <c r="A1556" s="20"/>
      <c r="B1556" s="21"/>
      <c r="C1556" s="19"/>
      <c r="D1556" s="18"/>
      <c r="E1556" s="17"/>
      <c r="F1556" s="18"/>
      <c r="G1556" s="18"/>
      <c r="H1556" s="21"/>
      <c r="I1556" s="19"/>
      <c r="J1556" s="8" t="str">
        <f aca="false">IF(OR(E1556="",F1556=""),"",E1556*F1556)</f>
        <v/>
      </c>
      <c r="K1556" s="22" t="str">
        <f aca="false">IF($M1556="","",INDEX('Программа тренировок'!$G$6:$G$25,$M1556))</f>
        <v/>
      </c>
      <c r="L1556" s="23" t="str">
        <f aca="false">IF(OR($M1556="",$F1556="",$G1556=""),"",IF($H1556="Разминка","Разминка",IF($F1556&lt;INDEX('Программа тренировок'!$E$6:$E$25,$M1556),"Ниже диапазона",IF(AND($F1556&gt;=INDEX('Программа тренировок'!$F$6:$F$25,$M1556),$G1556&gt;=INDEX('Программа тренировок'!$L$6:$L$25,$M1556)),"Верх диапазона: пора добавлять вес",IF($G1556&lt;INDEX('Программа тренировок'!$L$6:$L$25,$M1556),"RIR ниже цели","В диапазоне")))))</f>
        <v/>
      </c>
      <c r="M1556" s="23" t="str">
        <f aca="false">IF($C1556="","",IFERROR(MATCH($C1556,'Программа тренировок'!$C$6:$C$25,0),""))</f>
        <v/>
      </c>
    </row>
    <row r="1557" customFormat="false" ht="15" hidden="false" customHeight="true" outlineLevel="0" collapsed="false">
      <c r="A1557" s="20"/>
      <c r="B1557" s="21"/>
      <c r="C1557" s="19"/>
      <c r="D1557" s="18"/>
      <c r="E1557" s="17"/>
      <c r="F1557" s="18"/>
      <c r="G1557" s="18"/>
      <c r="H1557" s="21"/>
      <c r="I1557" s="19"/>
      <c r="J1557" s="8" t="str">
        <f aca="false">IF(OR(E1557="",F1557=""),"",E1557*F1557)</f>
        <v/>
      </c>
      <c r="K1557" s="22" t="str">
        <f aca="false">IF($M1557="","",INDEX('Программа тренировок'!$G$6:$G$25,$M1557))</f>
        <v/>
      </c>
      <c r="L1557" s="23" t="str">
        <f aca="false">IF(OR($M1557="",$F1557="",$G1557=""),"",IF($H1557="Разминка","Разминка",IF($F1557&lt;INDEX('Программа тренировок'!$E$6:$E$25,$M1557),"Ниже диапазона",IF(AND($F1557&gt;=INDEX('Программа тренировок'!$F$6:$F$25,$M1557),$G1557&gt;=INDEX('Программа тренировок'!$L$6:$L$25,$M1557)),"Верх диапазона: пора добавлять вес",IF($G1557&lt;INDEX('Программа тренировок'!$L$6:$L$25,$M1557),"RIR ниже цели","В диапазоне")))))</f>
        <v/>
      </c>
      <c r="M1557" s="23" t="str">
        <f aca="false">IF($C1557="","",IFERROR(MATCH($C1557,'Программа тренировок'!$C$6:$C$25,0),""))</f>
        <v/>
      </c>
    </row>
    <row r="1558" customFormat="false" ht="15" hidden="false" customHeight="true" outlineLevel="0" collapsed="false">
      <c r="A1558" s="20"/>
      <c r="B1558" s="21"/>
      <c r="C1558" s="19"/>
      <c r="D1558" s="18"/>
      <c r="E1558" s="17"/>
      <c r="F1558" s="18"/>
      <c r="G1558" s="18"/>
      <c r="H1558" s="21"/>
      <c r="I1558" s="19"/>
      <c r="J1558" s="8" t="str">
        <f aca="false">IF(OR(E1558="",F1558=""),"",E1558*F1558)</f>
        <v/>
      </c>
      <c r="K1558" s="22" t="str">
        <f aca="false">IF($M1558="","",INDEX('Программа тренировок'!$G$6:$G$25,$M1558))</f>
        <v/>
      </c>
      <c r="L1558" s="23" t="str">
        <f aca="false">IF(OR($M1558="",$F1558="",$G1558=""),"",IF($H1558="Разминка","Разминка",IF($F1558&lt;INDEX('Программа тренировок'!$E$6:$E$25,$M1558),"Ниже диапазона",IF(AND($F1558&gt;=INDEX('Программа тренировок'!$F$6:$F$25,$M1558),$G1558&gt;=INDEX('Программа тренировок'!$L$6:$L$25,$M1558)),"Верх диапазона: пора добавлять вес",IF($G1558&lt;INDEX('Программа тренировок'!$L$6:$L$25,$M1558),"RIR ниже цели","В диапазоне")))))</f>
        <v/>
      </c>
      <c r="M1558" s="23" t="str">
        <f aca="false">IF($C1558="","",IFERROR(MATCH($C1558,'Программа тренировок'!$C$6:$C$25,0),""))</f>
        <v/>
      </c>
    </row>
    <row r="1559" customFormat="false" ht="15" hidden="false" customHeight="true" outlineLevel="0" collapsed="false">
      <c r="A1559" s="20"/>
      <c r="B1559" s="21"/>
      <c r="C1559" s="19"/>
      <c r="D1559" s="18"/>
      <c r="E1559" s="17"/>
      <c r="F1559" s="18"/>
      <c r="G1559" s="18"/>
      <c r="H1559" s="21"/>
      <c r="I1559" s="19"/>
      <c r="J1559" s="8" t="str">
        <f aca="false">IF(OR(E1559="",F1559=""),"",E1559*F1559)</f>
        <v/>
      </c>
      <c r="K1559" s="22" t="str">
        <f aca="false">IF($M1559="","",INDEX('Программа тренировок'!$G$6:$G$25,$M1559))</f>
        <v/>
      </c>
      <c r="L1559" s="23" t="str">
        <f aca="false">IF(OR($M1559="",$F1559="",$G1559=""),"",IF($H1559="Разминка","Разминка",IF($F1559&lt;INDEX('Программа тренировок'!$E$6:$E$25,$M1559),"Ниже диапазона",IF(AND($F1559&gt;=INDEX('Программа тренировок'!$F$6:$F$25,$M1559),$G1559&gt;=INDEX('Программа тренировок'!$L$6:$L$25,$M1559)),"Верх диапазона: пора добавлять вес",IF($G1559&lt;INDEX('Программа тренировок'!$L$6:$L$25,$M1559),"RIR ниже цели","В диапазоне")))))</f>
        <v/>
      </c>
      <c r="M1559" s="23" t="str">
        <f aca="false">IF($C1559="","",IFERROR(MATCH($C1559,'Программа тренировок'!$C$6:$C$25,0),""))</f>
        <v/>
      </c>
    </row>
    <row r="1560" customFormat="false" ht="15" hidden="false" customHeight="true" outlineLevel="0" collapsed="false">
      <c r="A1560" s="20"/>
      <c r="B1560" s="21"/>
      <c r="C1560" s="19"/>
      <c r="D1560" s="18"/>
      <c r="E1560" s="17"/>
      <c r="F1560" s="18"/>
      <c r="G1560" s="18"/>
      <c r="H1560" s="21"/>
      <c r="I1560" s="19"/>
      <c r="J1560" s="8" t="str">
        <f aca="false">IF(OR(E1560="",F1560=""),"",E1560*F1560)</f>
        <v/>
      </c>
      <c r="K1560" s="22" t="str">
        <f aca="false">IF($M1560="","",INDEX('Программа тренировок'!$G$6:$G$25,$M1560))</f>
        <v/>
      </c>
      <c r="L1560" s="23" t="str">
        <f aca="false">IF(OR($M1560="",$F1560="",$G1560=""),"",IF($H1560="Разминка","Разминка",IF($F1560&lt;INDEX('Программа тренировок'!$E$6:$E$25,$M1560),"Ниже диапазона",IF(AND($F1560&gt;=INDEX('Программа тренировок'!$F$6:$F$25,$M1560),$G1560&gt;=INDEX('Программа тренировок'!$L$6:$L$25,$M1560)),"Верх диапазона: пора добавлять вес",IF($G1560&lt;INDEX('Программа тренировок'!$L$6:$L$25,$M1560),"RIR ниже цели","В диапазоне")))))</f>
        <v/>
      </c>
      <c r="M1560" s="23" t="str">
        <f aca="false">IF($C1560="","",IFERROR(MATCH($C1560,'Программа тренировок'!$C$6:$C$25,0),""))</f>
        <v/>
      </c>
    </row>
    <row r="1561" customFormat="false" ht="15" hidden="false" customHeight="true" outlineLevel="0" collapsed="false">
      <c r="A1561" s="20"/>
      <c r="B1561" s="21"/>
      <c r="C1561" s="19"/>
      <c r="D1561" s="18"/>
      <c r="E1561" s="17"/>
      <c r="F1561" s="18"/>
      <c r="G1561" s="18"/>
      <c r="H1561" s="21"/>
      <c r="I1561" s="19"/>
      <c r="J1561" s="8" t="str">
        <f aca="false">IF(OR(E1561="",F1561=""),"",E1561*F1561)</f>
        <v/>
      </c>
      <c r="K1561" s="22" t="str">
        <f aca="false">IF($M1561="","",INDEX('Программа тренировок'!$G$6:$G$25,$M1561))</f>
        <v/>
      </c>
      <c r="L1561" s="23" t="str">
        <f aca="false">IF(OR($M1561="",$F1561="",$G1561=""),"",IF($H1561="Разминка","Разминка",IF($F1561&lt;INDEX('Программа тренировок'!$E$6:$E$25,$M1561),"Ниже диапазона",IF(AND($F1561&gt;=INDEX('Программа тренировок'!$F$6:$F$25,$M1561),$G1561&gt;=INDEX('Программа тренировок'!$L$6:$L$25,$M1561)),"Верх диапазона: пора добавлять вес",IF($G1561&lt;INDEX('Программа тренировок'!$L$6:$L$25,$M1561),"RIR ниже цели","В диапазоне")))))</f>
        <v/>
      </c>
      <c r="M1561" s="23" t="str">
        <f aca="false">IF($C1561="","",IFERROR(MATCH($C1561,'Программа тренировок'!$C$6:$C$25,0),""))</f>
        <v/>
      </c>
    </row>
    <row r="1562" customFormat="false" ht="15" hidden="false" customHeight="true" outlineLevel="0" collapsed="false">
      <c r="A1562" s="20"/>
      <c r="B1562" s="21"/>
      <c r="C1562" s="19"/>
      <c r="D1562" s="18"/>
      <c r="E1562" s="17"/>
      <c r="F1562" s="18"/>
      <c r="G1562" s="18"/>
      <c r="H1562" s="21"/>
      <c r="I1562" s="19"/>
      <c r="J1562" s="8" t="str">
        <f aca="false">IF(OR(E1562="",F1562=""),"",E1562*F1562)</f>
        <v/>
      </c>
      <c r="K1562" s="22" t="str">
        <f aca="false">IF($M1562="","",INDEX('Программа тренировок'!$G$6:$G$25,$M1562))</f>
        <v/>
      </c>
      <c r="L1562" s="23" t="str">
        <f aca="false">IF(OR($M1562="",$F1562="",$G1562=""),"",IF($H1562="Разминка","Разминка",IF($F1562&lt;INDEX('Программа тренировок'!$E$6:$E$25,$M1562),"Ниже диапазона",IF(AND($F1562&gt;=INDEX('Программа тренировок'!$F$6:$F$25,$M1562),$G1562&gt;=INDEX('Программа тренировок'!$L$6:$L$25,$M1562)),"Верх диапазона: пора добавлять вес",IF($G1562&lt;INDEX('Программа тренировок'!$L$6:$L$25,$M1562),"RIR ниже цели","В диапазоне")))))</f>
        <v/>
      </c>
      <c r="M1562" s="23" t="str">
        <f aca="false">IF($C1562="","",IFERROR(MATCH($C1562,'Программа тренировок'!$C$6:$C$25,0),""))</f>
        <v/>
      </c>
    </row>
    <row r="1563" customFormat="false" ht="15" hidden="false" customHeight="true" outlineLevel="0" collapsed="false">
      <c r="A1563" s="20"/>
      <c r="B1563" s="21"/>
      <c r="C1563" s="19"/>
      <c r="D1563" s="18"/>
      <c r="E1563" s="17"/>
      <c r="F1563" s="18"/>
      <c r="G1563" s="18"/>
      <c r="H1563" s="21"/>
      <c r="I1563" s="19"/>
      <c r="J1563" s="8" t="str">
        <f aca="false">IF(OR(E1563="",F1563=""),"",E1563*F1563)</f>
        <v/>
      </c>
      <c r="K1563" s="22" t="str">
        <f aca="false">IF($M1563="","",INDEX('Программа тренировок'!$G$6:$G$25,$M1563))</f>
        <v/>
      </c>
      <c r="L1563" s="23" t="str">
        <f aca="false">IF(OR($M1563="",$F1563="",$G1563=""),"",IF($H1563="Разминка","Разминка",IF($F1563&lt;INDEX('Программа тренировок'!$E$6:$E$25,$M1563),"Ниже диапазона",IF(AND($F1563&gt;=INDEX('Программа тренировок'!$F$6:$F$25,$M1563),$G1563&gt;=INDEX('Программа тренировок'!$L$6:$L$25,$M1563)),"Верх диапазона: пора добавлять вес",IF($G1563&lt;INDEX('Программа тренировок'!$L$6:$L$25,$M1563),"RIR ниже цели","В диапазоне")))))</f>
        <v/>
      </c>
      <c r="M1563" s="23" t="str">
        <f aca="false">IF($C1563="","",IFERROR(MATCH($C1563,'Программа тренировок'!$C$6:$C$25,0),""))</f>
        <v/>
      </c>
    </row>
    <row r="1564" customFormat="false" ht="15" hidden="false" customHeight="true" outlineLevel="0" collapsed="false">
      <c r="A1564" s="20"/>
      <c r="B1564" s="21"/>
      <c r="C1564" s="19"/>
      <c r="D1564" s="18"/>
      <c r="E1564" s="17"/>
      <c r="F1564" s="18"/>
      <c r="G1564" s="18"/>
      <c r="H1564" s="21"/>
      <c r="I1564" s="19"/>
      <c r="J1564" s="8" t="str">
        <f aca="false">IF(OR(E1564="",F1564=""),"",E1564*F1564)</f>
        <v/>
      </c>
      <c r="K1564" s="22" t="str">
        <f aca="false">IF($M1564="","",INDEX('Программа тренировок'!$G$6:$G$25,$M1564))</f>
        <v/>
      </c>
      <c r="L1564" s="23" t="str">
        <f aca="false">IF(OR($M1564="",$F1564="",$G1564=""),"",IF($H1564="Разминка","Разминка",IF($F1564&lt;INDEX('Программа тренировок'!$E$6:$E$25,$M1564),"Ниже диапазона",IF(AND($F1564&gt;=INDEX('Программа тренировок'!$F$6:$F$25,$M1564),$G1564&gt;=INDEX('Программа тренировок'!$L$6:$L$25,$M1564)),"Верх диапазона: пора добавлять вес",IF($G1564&lt;INDEX('Программа тренировок'!$L$6:$L$25,$M1564),"RIR ниже цели","В диапазоне")))))</f>
        <v/>
      </c>
      <c r="M1564" s="23" t="str">
        <f aca="false">IF($C1564="","",IFERROR(MATCH($C1564,'Программа тренировок'!$C$6:$C$25,0),""))</f>
        <v/>
      </c>
    </row>
    <row r="1565" customFormat="false" ht="15" hidden="false" customHeight="true" outlineLevel="0" collapsed="false">
      <c r="A1565" s="20"/>
      <c r="B1565" s="21"/>
      <c r="C1565" s="19"/>
      <c r="D1565" s="18"/>
      <c r="E1565" s="17"/>
      <c r="F1565" s="18"/>
      <c r="G1565" s="18"/>
      <c r="H1565" s="21"/>
      <c r="I1565" s="19"/>
      <c r="J1565" s="8" t="str">
        <f aca="false">IF(OR(E1565="",F1565=""),"",E1565*F1565)</f>
        <v/>
      </c>
      <c r="K1565" s="22" t="str">
        <f aca="false">IF($M1565="","",INDEX('Программа тренировок'!$G$6:$G$25,$M1565))</f>
        <v/>
      </c>
      <c r="L1565" s="23" t="str">
        <f aca="false">IF(OR($M1565="",$F1565="",$G1565=""),"",IF($H1565="Разминка","Разминка",IF($F1565&lt;INDEX('Программа тренировок'!$E$6:$E$25,$M1565),"Ниже диапазона",IF(AND($F1565&gt;=INDEX('Программа тренировок'!$F$6:$F$25,$M1565),$G1565&gt;=INDEX('Программа тренировок'!$L$6:$L$25,$M1565)),"Верх диапазона: пора добавлять вес",IF($G1565&lt;INDEX('Программа тренировок'!$L$6:$L$25,$M1565),"RIR ниже цели","В диапазоне")))))</f>
        <v/>
      </c>
      <c r="M1565" s="23" t="str">
        <f aca="false">IF($C1565="","",IFERROR(MATCH($C1565,'Программа тренировок'!$C$6:$C$25,0),""))</f>
        <v/>
      </c>
    </row>
    <row r="1566" customFormat="false" ht="15" hidden="false" customHeight="true" outlineLevel="0" collapsed="false">
      <c r="A1566" s="20"/>
      <c r="B1566" s="21"/>
      <c r="C1566" s="19"/>
      <c r="D1566" s="18"/>
      <c r="E1566" s="17"/>
      <c r="F1566" s="18"/>
      <c r="G1566" s="18"/>
      <c r="H1566" s="21"/>
      <c r="I1566" s="19"/>
      <c r="J1566" s="8" t="str">
        <f aca="false">IF(OR(E1566="",F1566=""),"",E1566*F1566)</f>
        <v/>
      </c>
      <c r="K1566" s="22" t="str">
        <f aca="false">IF($M1566="","",INDEX('Программа тренировок'!$G$6:$G$25,$M1566))</f>
        <v/>
      </c>
      <c r="L1566" s="23" t="str">
        <f aca="false">IF(OR($M1566="",$F1566="",$G1566=""),"",IF($H1566="Разминка","Разминка",IF($F1566&lt;INDEX('Программа тренировок'!$E$6:$E$25,$M1566),"Ниже диапазона",IF(AND($F1566&gt;=INDEX('Программа тренировок'!$F$6:$F$25,$M1566),$G1566&gt;=INDEX('Программа тренировок'!$L$6:$L$25,$M1566)),"Верх диапазона: пора добавлять вес",IF($G1566&lt;INDEX('Программа тренировок'!$L$6:$L$25,$M1566),"RIR ниже цели","В диапазоне")))))</f>
        <v/>
      </c>
      <c r="M1566" s="23" t="str">
        <f aca="false">IF($C1566="","",IFERROR(MATCH($C1566,'Программа тренировок'!$C$6:$C$25,0),""))</f>
        <v/>
      </c>
    </row>
    <row r="1567" customFormat="false" ht="15" hidden="false" customHeight="true" outlineLevel="0" collapsed="false">
      <c r="A1567" s="20"/>
      <c r="B1567" s="21"/>
      <c r="C1567" s="19"/>
      <c r="D1567" s="18"/>
      <c r="E1567" s="17"/>
      <c r="F1567" s="18"/>
      <c r="G1567" s="18"/>
      <c r="H1567" s="21"/>
      <c r="I1567" s="19"/>
      <c r="J1567" s="8" t="str">
        <f aca="false">IF(OR(E1567="",F1567=""),"",E1567*F1567)</f>
        <v/>
      </c>
      <c r="K1567" s="22" t="str">
        <f aca="false">IF($M1567="","",INDEX('Программа тренировок'!$G$6:$G$25,$M1567))</f>
        <v/>
      </c>
      <c r="L1567" s="23" t="str">
        <f aca="false">IF(OR($M1567="",$F1567="",$G1567=""),"",IF($H1567="Разминка","Разминка",IF($F1567&lt;INDEX('Программа тренировок'!$E$6:$E$25,$M1567),"Ниже диапазона",IF(AND($F1567&gt;=INDEX('Программа тренировок'!$F$6:$F$25,$M1567),$G1567&gt;=INDEX('Программа тренировок'!$L$6:$L$25,$M1567)),"Верх диапазона: пора добавлять вес",IF($G1567&lt;INDEX('Программа тренировок'!$L$6:$L$25,$M1567),"RIR ниже цели","В диапазоне")))))</f>
        <v/>
      </c>
      <c r="M1567" s="23" t="str">
        <f aca="false">IF($C1567="","",IFERROR(MATCH($C1567,'Программа тренировок'!$C$6:$C$25,0),""))</f>
        <v/>
      </c>
    </row>
    <row r="1568" customFormat="false" ht="15" hidden="false" customHeight="true" outlineLevel="0" collapsed="false">
      <c r="A1568" s="20"/>
      <c r="B1568" s="21"/>
      <c r="C1568" s="19"/>
      <c r="D1568" s="18"/>
      <c r="E1568" s="17"/>
      <c r="F1568" s="18"/>
      <c r="G1568" s="18"/>
      <c r="H1568" s="21"/>
      <c r="I1568" s="19"/>
      <c r="J1568" s="8" t="str">
        <f aca="false">IF(OR(E1568="",F1568=""),"",E1568*F1568)</f>
        <v/>
      </c>
      <c r="K1568" s="22" t="str">
        <f aca="false">IF($M1568="","",INDEX('Программа тренировок'!$G$6:$G$25,$M1568))</f>
        <v/>
      </c>
      <c r="L1568" s="23" t="str">
        <f aca="false">IF(OR($M1568="",$F1568="",$G1568=""),"",IF($H1568="Разминка","Разминка",IF($F1568&lt;INDEX('Программа тренировок'!$E$6:$E$25,$M1568),"Ниже диапазона",IF(AND($F1568&gt;=INDEX('Программа тренировок'!$F$6:$F$25,$M1568),$G1568&gt;=INDEX('Программа тренировок'!$L$6:$L$25,$M1568)),"Верх диапазона: пора добавлять вес",IF($G1568&lt;INDEX('Программа тренировок'!$L$6:$L$25,$M1568),"RIR ниже цели","В диапазоне")))))</f>
        <v/>
      </c>
      <c r="M1568" s="23" t="str">
        <f aca="false">IF($C1568="","",IFERROR(MATCH($C1568,'Программа тренировок'!$C$6:$C$25,0),""))</f>
        <v/>
      </c>
    </row>
    <row r="1569" customFormat="false" ht="15" hidden="false" customHeight="true" outlineLevel="0" collapsed="false">
      <c r="A1569" s="20"/>
      <c r="B1569" s="21"/>
      <c r="C1569" s="19"/>
      <c r="D1569" s="18"/>
      <c r="E1569" s="17"/>
      <c r="F1569" s="18"/>
      <c r="G1569" s="18"/>
      <c r="H1569" s="21"/>
      <c r="I1569" s="19"/>
      <c r="J1569" s="8" t="str">
        <f aca="false">IF(OR(E1569="",F1569=""),"",E1569*F1569)</f>
        <v/>
      </c>
      <c r="K1569" s="22" t="str">
        <f aca="false">IF($M1569="","",INDEX('Программа тренировок'!$G$6:$G$25,$M1569))</f>
        <v/>
      </c>
      <c r="L1569" s="23" t="str">
        <f aca="false">IF(OR($M1569="",$F1569="",$G1569=""),"",IF($H1569="Разминка","Разминка",IF($F1569&lt;INDEX('Программа тренировок'!$E$6:$E$25,$M1569),"Ниже диапазона",IF(AND($F1569&gt;=INDEX('Программа тренировок'!$F$6:$F$25,$M1569),$G1569&gt;=INDEX('Программа тренировок'!$L$6:$L$25,$M1569)),"Верх диапазона: пора добавлять вес",IF($G1569&lt;INDEX('Программа тренировок'!$L$6:$L$25,$M1569),"RIR ниже цели","В диапазоне")))))</f>
        <v/>
      </c>
      <c r="M1569" s="23" t="str">
        <f aca="false">IF($C1569="","",IFERROR(MATCH($C1569,'Программа тренировок'!$C$6:$C$25,0),""))</f>
        <v/>
      </c>
    </row>
    <row r="1570" customFormat="false" ht="15" hidden="false" customHeight="true" outlineLevel="0" collapsed="false">
      <c r="A1570" s="20"/>
      <c r="B1570" s="21"/>
      <c r="C1570" s="19"/>
      <c r="D1570" s="18"/>
      <c r="E1570" s="17"/>
      <c r="F1570" s="18"/>
      <c r="G1570" s="18"/>
      <c r="H1570" s="21"/>
      <c r="I1570" s="19"/>
      <c r="J1570" s="8" t="str">
        <f aca="false">IF(OR(E1570="",F1570=""),"",E1570*F1570)</f>
        <v/>
      </c>
      <c r="K1570" s="22" t="str">
        <f aca="false">IF($M1570="","",INDEX('Программа тренировок'!$G$6:$G$25,$M1570))</f>
        <v/>
      </c>
      <c r="L1570" s="23" t="str">
        <f aca="false">IF(OR($M1570="",$F1570="",$G1570=""),"",IF($H1570="Разминка","Разминка",IF($F1570&lt;INDEX('Программа тренировок'!$E$6:$E$25,$M1570),"Ниже диапазона",IF(AND($F1570&gt;=INDEX('Программа тренировок'!$F$6:$F$25,$M1570),$G1570&gt;=INDEX('Программа тренировок'!$L$6:$L$25,$M1570)),"Верх диапазона: пора добавлять вес",IF($G1570&lt;INDEX('Программа тренировок'!$L$6:$L$25,$M1570),"RIR ниже цели","В диапазоне")))))</f>
        <v/>
      </c>
      <c r="M1570" s="23" t="str">
        <f aca="false">IF($C1570="","",IFERROR(MATCH($C1570,'Программа тренировок'!$C$6:$C$25,0),""))</f>
        <v/>
      </c>
    </row>
    <row r="1571" customFormat="false" ht="15" hidden="false" customHeight="true" outlineLevel="0" collapsed="false">
      <c r="A1571" s="20"/>
      <c r="B1571" s="21"/>
      <c r="C1571" s="19"/>
      <c r="D1571" s="18"/>
      <c r="E1571" s="17"/>
      <c r="F1571" s="18"/>
      <c r="G1571" s="18"/>
      <c r="H1571" s="21"/>
      <c r="I1571" s="19"/>
      <c r="J1571" s="8" t="str">
        <f aca="false">IF(OR(E1571="",F1571=""),"",E1571*F1571)</f>
        <v/>
      </c>
      <c r="K1571" s="22" t="str">
        <f aca="false">IF($M1571="","",INDEX('Программа тренировок'!$G$6:$G$25,$M1571))</f>
        <v/>
      </c>
      <c r="L1571" s="23" t="str">
        <f aca="false">IF(OR($M1571="",$F1571="",$G1571=""),"",IF($H1571="Разминка","Разминка",IF($F1571&lt;INDEX('Программа тренировок'!$E$6:$E$25,$M1571),"Ниже диапазона",IF(AND($F1571&gt;=INDEX('Программа тренировок'!$F$6:$F$25,$M1571),$G1571&gt;=INDEX('Программа тренировок'!$L$6:$L$25,$M1571)),"Верх диапазона: пора добавлять вес",IF($G1571&lt;INDEX('Программа тренировок'!$L$6:$L$25,$M1571),"RIR ниже цели","В диапазоне")))))</f>
        <v/>
      </c>
      <c r="M1571" s="23" t="str">
        <f aca="false">IF($C1571="","",IFERROR(MATCH($C1571,'Программа тренировок'!$C$6:$C$25,0),""))</f>
        <v/>
      </c>
    </row>
    <row r="1572" customFormat="false" ht="15" hidden="false" customHeight="true" outlineLevel="0" collapsed="false">
      <c r="A1572" s="20"/>
      <c r="B1572" s="21"/>
      <c r="C1572" s="19"/>
      <c r="D1572" s="18"/>
      <c r="E1572" s="17"/>
      <c r="F1572" s="18"/>
      <c r="G1572" s="18"/>
      <c r="H1572" s="21"/>
      <c r="I1572" s="19"/>
      <c r="J1572" s="8" t="str">
        <f aca="false">IF(OR(E1572="",F1572=""),"",E1572*F1572)</f>
        <v/>
      </c>
      <c r="K1572" s="22" t="str">
        <f aca="false">IF($M1572="","",INDEX('Программа тренировок'!$G$6:$G$25,$M1572))</f>
        <v/>
      </c>
      <c r="L1572" s="23" t="str">
        <f aca="false">IF(OR($M1572="",$F1572="",$G1572=""),"",IF($H1572="Разминка","Разминка",IF($F1572&lt;INDEX('Программа тренировок'!$E$6:$E$25,$M1572),"Ниже диапазона",IF(AND($F1572&gt;=INDEX('Программа тренировок'!$F$6:$F$25,$M1572),$G1572&gt;=INDEX('Программа тренировок'!$L$6:$L$25,$M1572)),"Верх диапазона: пора добавлять вес",IF($G1572&lt;INDEX('Программа тренировок'!$L$6:$L$25,$M1572),"RIR ниже цели","В диапазоне")))))</f>
        <v/>
      </c>
      <c r="M1572" s="23" t="str">
        <f aca="false">IF($C1572="","",IFERROR(MATCH($C1572,'Программа тренировок'!$C$6:$C$25,0),""))</f>
        <v/>
      </c>
    </row>
    <row r="1573" customFormat="false" ht="15" hidden="false" customHeight="true" outlineLevel="0" collapsed="false">
      <c r="A1573" s="20"/>
      <c r="B1573" s="21"/>
      <c r="C1573" s="19"/>
      <c r="D1573" s="18"/>
      <c r="E1573" s="17"/>
      <c r="F1573" s="18"/>
      <c r="G1573" s="18"/>
      <c r="H1573" s="21"/>
      <c r="I1573" s="19"/>
      <c r="J1573" s="8" t="str">
        <f aca="false">IF(OR(E1573="",F1573=""),"",E1573*F1573)</f>
        <v/>
      </c>
      <c r="K1573" s="22" t="str">
        <f aca="false">IF($M1573="","",INDEX('Программа тренировок'!$G$6:$G$25,$M1573))</f>
        <v/>
      </c>
      <c r="L1573" s="23" t="str">
        <f aca="false">IF(OR($M1573="",$F1573="",$G1573=""),"",IF($H1573="Разминка","Разминка",IF($F1573&lt;INDEX('Программа тренировок'!$E$6:$E$25,$M1573),"Ниже диапазона",IF(AND($F1573&gt;=INDEX('Программа тренировок'!$F$6:$F$25,$M1573),$G1573&gt;=INDEX('Программа тренировок'!$L$6:$L$25,$M1573)),"Верх диапазона: пора добавлять вес",IF($G1573&lt;INDEX('Программа тренировок'!$L$6:$L$25,$M1573),"RIR ниже цели","В диапазоне")))))</f>
        <v/>
      </c>
      <c r="M1573" s="23" t="str">
        <f aca="false">IF($C1573="","",IFERROR(MATCH($C1573,'Программа тренировок'!$C$6:$C$25,0),""))</f>
        <v/>
      </c>
    </row>
    <row r="1574" customFormat="false" ht="15" hidden="false" customHeight="true" outlineLevel="0" collapsed="false">
      <c r="A1574" s="20"/>
      <c r="B1574" s="21"/>
      <c r="C1574" s="19"/>
      <c r="D1574" s="18"/>
      <c r="E1574" s="17"/>
      <c r="F1574" s="18"/>
      <c r="G1574" s="18"/>
      <c r="H1574" s="21"/>
      <c r="I1574" s="19"/>
      <c r="J1574" s="8" t="str">
        <f aca="false">IF(OR(E1574="",F1574=""),"",E1574*F1574)</f>
        <v/>
      </c>
      <c r="K1574" s="22" t="str">
        <f aca="false">IF($M1574="","",INDEX('Программа тренировок'!$G$6:$G$25,$M1574))</f>
        <v/>
      </c>
      <c r="L1574" s="23" t="str">
        <f aca="false">IF(OR($M1574="",$F1574="",$G1574=""),"",IF($H1574="Разминка","Разминка",IF($F1574&lt;INDEX('Программа тренировок'!$E$6:$E$25,$M1574),"Ниже диапазона",IF(AND($F1574&gt;=INDEX('Программа тренировок'!$F$6:$F$25,$M1574),$G1574&gt;=INDEX('Программа тренировок'!$L$6:$L$25,$M1574)),"Верх диапазона: пора добавлять вес",IF($G1574&lt;INDEX('Программа тренировок'!$L$6:$L$25,$M1574),"RIR ниже цели","В диапазоне")))))</f>
        <v/>
      </c>
      <c r="M1574" s="23" t="str">
        <f aca="false">IF($C1574="","",IFERROR(MATCH($C1574,'Программа тренировок'!$C$6:$C$25,0),""))</f>
        <v/>
      </c>
    </row>
    <row r="1575" customFormat="false" ht="15" hidden="false" customHeight="true" outlineLevel="0" collapsed="false">
      <c r="A1575" s="20"/>
      <c r="B1575" s="21"/>
      <c r="C1575" s="19"/>
      <c r="D1575" s="18"/>
      <c r="E1575" s="17"/>
      <c r="F1575" s="18"/>
      <c r="G1575" s="18"/>
      <c r="H1575" s="21"/>
      <c r="I1575" s="19"/>
      <c r="J1575" s="8" t="str">
        <f aca="false">IF(OR(E1575="",F1575=""),"",E1575*F1575)</f>
        <v/>
      </c>
      <c r="K1575" s="22" t="str">
        <f aca="false">IF($M1575="","",INDEX('Программа тренировок'!$G$6:$G$25,$M1575))</f>
        <v/>
      </c>
      <c r="L1575" s="23" t="str">
        <f aca="false">IF(OR($M1575="",$F1575="",$G1575=""),"",IF($H1575="Разминка","Разминка",IF($F1575&lt;INDEX('Программа тренировок'!$E$6:$E$25,$M1575),"Ниже диапазона",IF(AND($F1575&gt;=INDEX('Программа тренировок'!$F$6:$F$25,$M1575),$G1575&gt;=INDEX('Программа тренировок'!$L$6:$L$25,$M1575)),"Верх диапазона: пора добавлять вес",IF($G1575&lt;INDEX('Программа тренировок'!$L$6:$L$25,$M1575),"RIR ниже цели","В диапазоне")))))</f>
        <v/>
      </c>
      <c r="M1575" s="23" t="str">
        <f aca="false">IF($C1575="","",IFERROR(MATCH($C1575,'Программа тренировок'!$C$6:$C$25,0),""))</f>
        <v/>
      </c>
    </row>
    <row r="1576" customFormat="false" ht="15" hidden="false" customHeight="true" outlineLevel="0" collapsed="false">
      <c r="A1576" s="20"/>
      <c r="B1576" s="21"/>
      <c r="C1576" s="19"/>
      <c r="D1576" s="18"/>
      <c r="E1576" s="17"/>
      <c r="F1576" s="18"/>
      <c r="G1576" s="18"/>
      <c r="H1576" s="21"/>
      <c r="I1576" s="19"/>
      <c r="J1576" s="8" t="str">
        <f aca="false">IF(OR(E1576="",F1576=""),"",E1576*F1576)</f>
        <v/>
      </c>
      <c r="K1576" s="22" t="str">
        <f aca="false">IF($M1576="","",INDEX('Программа тренировок'!$G$6:$G$25,$M1576))</f>
        <v/>
      </c>
      <c r="L1576" s="23" t="str">
        <f aca="false">IF(OR($M1576="",$F1576="",$G1576=""),"",IF($H1576="Разминка","Разминка",IF($F1576&lt;INDEX('Программа тренировок'!$E$6:$E$25,$M1576),"Ниже диапазона",IF(AND($F1576&gt;=INDEX('Программа тренировок'!$F$6:$F$25,$M1576),$G1576&gt;=INDEX('Программа тренировок'!$L$6:$L$25,$M1576)),"Верх диапазона: пора добавлять вес",IF($G1576&lt;INDEX('Программа тренировок'!$L$6:$L$25,$M1576),"RIR ниже цели","В диапазоне")))))</f>
        <v/>
      </c>
      <c r="M1576" s="23" t="str">
        <f aca="false">IF($C1576="","",IFERROR(MATCH($C1576,'Программа тренировок'!$C$6:$C$25,0),""))</f>
        <v/>
      </c>
    </row>
    <row r="1577" customFormat="false" ht="15" hidden="false" customHeight="true" outlineLevel="0" collapsed="false">
      <c r="A1577" s="20"/>
      <c r="B1577" s="21"/>
      <c r="C1577" s="19"/>
      <c r="D1577" s="18"/>
      <c r="E1577" s="17"/>
      <c r="F1577" s="18"/>
      <c r="G1577" s="18"/>
      <c r="H1577" s="21"/>
      <c r="I1577" s="19"/>
      <c r="J1577" s="8" t="str">
        <f aca="false">IF(OR(E1577="",F1577=""),"",E1577*F1577)</f>
        <v/>
      </c>
      <c r="K1577" s="22" t="str">
        <f aca="false">IF($M1577="","",INDEX('Программа тренировок'!$G$6:$G$25,$M1577))</f>
        <v/>
      </c>
      <c r="L1577" s="23" t="str">
        <f aca="false">IF(OR($M1577="",$F1577="",$G1577=""),"",IF($H1577="Разминка","Разминка",IF($F1577&lt;INDEX('Программа тренировок'!$E$6:$E$25,$M1577),"Ниже диапазона",IF(AND($F1577&gt;=INDEX('Программа тренировок'!$F$6:$F$25,$M1577),$G1577&gt;=INDEX('Программа тренировок'!$L$6:$L$25,$M1577)),"Верх диапазона: пора добавлять вес",IF($G1577&lt;INDEX('Программа тренировок'!$L$6:$L$25,$M1577),"RIR ниже цели","В диапазоне")))))</f>
        <v/>
      </c>
      <c r="M1577" s="23" t="str">
        <f aca="false">IF($C1577="","",IFERROR(MATCH($C1577,'Программа тренировок'!$C$6:$C$25,0),""))</f>
        <v/>
      </c>
    </row>
    <row r="1578" customFormat="false" ht="15" hidden="false" customHeight="true" outlineLevel="0" collapsed="false">
      <c r="A1578" s="20"/>
      <c r="B1578" s="21"/>
      <c r="C1578" s="19"/>
      <c r="D1578" s="18"/>
      <c r="E1578" s="17"/>
      <c r="F1578" s="18"/>
      <c r="G1578" s="18"/>
      <c r="H1578" s="21"/>
      <c r="I1578" s="19"/>
      <c r="J1578" s="8" t="str">
        <f aca="false">IF(OR(E1578="",F1578=""),"",E1578*F1578)</f>
        <v/>
      </c>
      <c r="K1578" s="22" t="str">
        <f aca="false">IF($M1578="","",INDEX('Программа тренировок'!$G$6:$G$25,$M1578))</f>
        <v/>
      </c>
      <c r="L1578" s="23" t="str">
        <f aca="false">IF(OR($M1578="",$F1578="",$G1578=""),"",IF($H1578="Разминка","Разминка",IF($F1578&lt;INDEX('Программа тренировок'!$E$6:$E$25,$M1578),"Ниже диапазона",IF(AND($F1578&gt;=INDEX('Программа тренировок'!$F$6:$F$25,$M1578),$G1578&gt;=INDEX('Программа тренировок'!$L$6:$L$25,$M1578)),"Верх диапазона: пора добавлять вес",IF($G1578&lt;INDEX('Программа тренировок'!$L$6:$L$25,$M1578),"RIR ниже цели","В диапазоне")))))</f>
        <v/>
      </c>
      <c r="M1578" s="23" t="str">
        <f aca="false">IF($C1578="","",IFERROR(MATCH($C1578,'Программа тренировок'!$C$6:$C$25,0),""))</f>
        <v/>
      </c>
    </row>
    <row r="1579" customFormat="false" ht="15" hidden="false" customHeight="true" outlineLevel="0" collapsed="false">
      <c r="A1579" s="20"/>
      <c r="B1579" s="21"/>
      <c r="C1579" s="19"/>
      <c r="D1579" s="18"/>
      <c r="E1579" s="17"/>
      <c r="F1579" s="18"/>
      <c r="G1579" s="18"/>
      <c r="H1579" s="21"/>
      <c r="I1579" s="19"/>
      <c r="J1579" s="8" t="str">
        <f aca="false">IF(OR(E1579="",F1579=""),"",E1579*F1579)</f>
        <v/>
      </c>
      <c r="K1579" s="22" t="str">
        <f aca="false">IF($M1579="","",INDEX('Программа тренировок'!$G$6:$G$25,$M1579))</f>
        <v/>
      </c>
      <c r="L1579" s="23" t="str">
        <f aca="false">IF(OR($M1579="",$F1579="",$G1579=""),"",IF($H1579="Разминка","Разминка",IF($F1579&lt;INDEX('Программа тренировок'!$E$6:$E$25,$M1579),"Ниже диапазона",IF(AND($F1579&gt;=INDEX('Программа тренировок'!$F$6:$F$25,$M1579),$G1579&gt;=INDEX('Программа тренировок'!$L$6:$L$25,$M1579)),"Верх диапазона: пора добавлять вес",IF($G1579&lt;INDEX('Программа тренировок'!$L$6:$L$25,$M1579),"RIR ниже цели","В диапазоне")))))</f>
        <v/>
      </c>
      <c r="M1579" s="23" t="str">
        <f aca="false">IF($C1579="","",IFERROR(MATCH($C1579,'Программа тренировок'!$C$6:$C$25,0),""))</f>
        <v/>
      </c>
    </row>
    <row r="1580" customFormat="false" ht="15" hidden="false" customHeight="true" outlineLevel="0" collapsed="false">
      <c r="A1580" s="20"/>
      <c r="B1580" s="21"/>
      <c r="C1580" s="19"/>
      <c r="D1580" s="18"/>
      <c r="E1580" s="17"/>
      <c r="F1580" s="18"/>
      <c r="G1580" s="18"/>
      <c r="H1580" s="21"/>
      <c r="I1580" s="19"/>
      <c r="J1580" s="8" t="str">
        <f aca="false">IF(OR(E1580="",F1580=""),"",E1580*F1580)</f>
        <v/>
      </c>
      <c r="K1580" s="22" t="str">
        <f aca="false">IF($M1580="","",INDEX('Программа тренировок'!$G$6:$G$25,$M1580))</f>
        <v/>
      </c>
      <c r="L1580" s="23" t="str">
        <f aca="false">IF(OR($M1580="",$F1580="",$G1580=""),"",IF($H1580="Разминка","Разминка",IF($F1580&lt;INDEX('Программа тренировок'!$E$6:$E$25,$M1580),"Ниже диапазона",IF(AND($F1580&gt;=INDEX('Программа тренировок'!$F$6:$F$25,$M1580),$G1580&gt;=INDEX('Программа тренировок'!$L$6:$L$25,$M1580)),"Верх диапазона: пора добавлять вес",IF($G1580&lt;INDEX('Программа тренировок'!$L$6:$L$25,$M1580),"RIR ниже цели","В диапазоне")))))</f>
        <v/>
      </c>
      <c r="M1580" s="23" t="str">
        <f aca="false">IF($C1580="","",IFERROR(MATCH($C1580,'Программа тренировок'!$C$6:$C$25,0),""))</f>
        <v/>
      </c>
    </row>
    <row r="1581" customFormat="false" ht="15" hidden="false" customHeight="true" outlineLevel="0" collapsed="false">
      <c r="A1581" s="20"/>
      <c r="B1581" s="21"/>
      <c r="C1581" s="19"/>
      <c r="D1581" s="18"/>
      <c r="E1581" s="17"/>
      <c r="F1581" s="18"/>
      <c r="G1581" s="18"/>
      <c r="H1581" s="21"/>
      <c r="I1581" s="19"/>
      <c r="J1581" s="8" t="str">
        <f aca="false">IF(OR(E1581="",F1581=""),"",E1581*F1581)</f>
        <v/>
      </c>
      <c r="K1581" s="22" t="str">
        <f aca="false">IF($M1581="","",INDEX('Программа тренировок'!$G$6:$G$25,$M1581))</f>
        <v/>
      </c>
      <c r="L1581" s="23" t="str">
        <f aca="false">IF(OR($M1581="",$F1581="",$G1581=""),"",IF($H1581="Разминка","Разминка",IF($F1581&lt;INDEX('Программа тренировок'!$E$6:$E$25,$M1581),"Ниже диапазона",IF(AND($F1581&gt;=INDEX('Программа тренировок'!$F$6:$F$25,$M1581),$G1581&gt;=INDEX('Программа тренировок'!$L$6:$L$25,$M1581)),"Верх диапазона: пора добавлять вес",IF($G1581&lt;INDEX('Программа тренировок'!$L$6:$L$25,$M1581),"RIR ниже цели","В диапазоне")))))</f>
        <v/>
      </c>
      <c r="M1581" s="23" t="str">
        <f aca="false">IF($C1581="","",IFERROR(MATCH($C1581,'Программа тренировок'!$C$6:$C$25,0),""))</f>
        <v/>
      </c>
    </row>
    <row r="1582" customFormat="false" ht="15" hidden="false" customHeight="true" outlineLevel="0" collapsed="false">
      <c r="A1582" s="20"/>
      <c r="B1582" s="21"/>
      <c r="C1582" s="19"/>
      <c r="D1582" s="18"/>
      <c r="E1582" s="17"/>
      <c r="F1582" s="18"/>
      <c r="G1582" s="18"/>
      <c r="H1582" s="21"/>
      <c r="I1582" s="19"/>
      <c r="J1582" s="8" t="str">
        <f aca="false">IF(OR(E1582="",F1582=""),"",E1582*F1582)</f>
        <v/>
      </c>
      <c r="K1582" s="22" t="str">
        <f aca="false">IF($M1582="","",INDEX('Программа тренировок'!$G$6:$G$25,$M1582))</f>
        <v/>
      </c>
      <c r="L1582" s="23" t="str">
        <f aca="false">IF(OR($M1582="",$F1582="",$G1582=""),"",IF($H1582="Разминка","Разминка",IF($F1582&lt;INDEX('Программа тренировок'!$E$6:$E$25,$M1582),"Ниже диапазона",IF(AND($F1582&gt;=INDEX('Программа тренировок'!$F$6:$F$25,$M1582),$G1582&gt;=INDEX('Программа тренировок'!$L$6:$L$25,$M1582)),"Верх диапазона: пора добавлять вес",IF($G1582&lt;INDEX('Программа тренировок'!$L$6:$L$25,$M1582),"RIR ниже цели","В диапазоне")))))</f>
        <v/>
      </c>
      <c r="M1582" s="23" t="str">
        <f aca="false">IF($C1582="","",IFERROR(MATCH($C1582,'Программа тренировок'!$C$6:$C$25,0),""))</f>
        <v/>
      </c>
    </row>
    <row r="1583" customFormat="false" ht="15" hidden="false" customHeight="true" outlineLevel="0" collapsed="false">
      <c r="A1583" s="20"/>
      <c r="B1583" s="21"/>
      <c r="C1583" s="19"/>
      <c r="D1583" s="18"/>
      <c r="E1583" s="17"/>
      <c r="F1583" s="18"/>
      <c r="G1583" s="18"/>
      <c r="H1583" s="21"/>
      <c r="I1583" s="19"/>
      <c r="J1583" s="8" t="str">
        <f aca="false">IF(OR(E1583="",F1583=""),"",E1583*F1583)</f>
        <v/>
      </c>
      <c r="K1583" s="22" t="str">
        <f aca="false">IF($M1583="","",INDEX('Программа тренировок'!$G$6:$G$25,$M1583))</f>
        <v/>
      </c>
      <c r="L1583" s="23" t="str">
        <f aca="false">IF(OR($M1583="",$F1583="",$G1583=""),"",IF($H1583="Разминка","Разминка",IF($F1583&lt;INDEX('Программа тренировок'!$E$6:$E$25,$M1583),"Ниже диапазона",IF(AND($F1583&gt;=INDEX('Программа тренировок'!$F$6:$F$25,$M1583),$G1583&gt;=INDEX('Программа тренировок'!$L$6:$L$25,$M1583)),"Верх диапазона: пора добавлять вес",IF($G1583&lt;INDEX('Программа тренировок'!$L$6:$L$25,$M1583),"RIR ниже цели","В диапазоне")))))</f>
        <v/>
      </c>
      <c r="M1583" s="23" t="str">
        <f aca="false">IF($C1583="","",IFERROR(MATCH($C1583,'Программа тренировок'!$C$6:$C$25,0),""))</f>
        <v/>
      </c>
    </row>
    <row r="1584" customFormat="false" ht="15" hidden="false" customHeight="true" outlineLevel="0" collapsed="false">
      <c r="A1584" s="20"/>
      <c r="B1584" s="21"/>
      <c r="C1584" s="19"/>
      <c r="D1584" s="18"/>
      <c r="E1584" s="17"/>
      <c r="F1584" s="18"/>
      <c r="G1584" s="18"/>
      <c r="H1584" s="21"/>
      <c r="I1584" s="19"/>
      <c r="J1584" s="8" t="str">
        <f aca="false">IF(OR(E1584="",F1584=""),"",E1584*F1584)</f>
        <v/>
      </c>
      <c r="K1584" s="22" t="str">
        <f aca="false">IF($M1584="","",INDEX('Программа тренировок'!$G$6:$G$25,$M1584))</f>
        <v/>
      </c>
      <c r="L1584" s="23" t="str">
        <f aca="false">IF(OR($M1584="",$F1584="",$G1584=""),"",IF($H1584="Разминка","Разминка",IF($F1584&lt;INDEX('Программа тренировок'!$E$6:$E$25,$M1584),"Ниже диапазона",IF(AND($F1584&gt;=INDEX('Программа тренировок'!$F$6:$F$25,$M1584),$G1584&gt;=INDEX('Программа тренировок'!$L$6:$L$25,$M1584)),"Верх диапазона: пора добавлять вес",IF($G1584&lt;INDEX('Программа тренировок'!$L$6:$L$25,$M1584),"RIR ниже цели","В диапазоне")))))</f>
        <v/>
      </c>
      <c r="M1584" s="23" t="str">
        <f aca="false">IF($C1584="","",IFERROR(MATCH($C1584,'Программа тренировок'!$C$6:$C$25,0),""))</f>
        <v/>
      </c>
    </row>
    <row r="1585" customFormat="false" ht="15" hidden="false" customHeight="true" outlineLevel="0" collapsed="false">
      <c r="A1585" s="20"/>
      <c r="B1585" s="21"/>
      <c r="C1585" s="19"/>
      <c r="D1585" s="18"/>
      <c r="E1585" s="17"/>
      <c r="F1585" s="18"/>
      <c r="G1585" s="18"/>
      <c r="H1585" s="21"/>
      <c r="I1585" s="19"/>
      <c r="J1585" s="8" t="str">
        <f aca="false">IF(OR(E1585="",F1585=""),"",E1585*F1585)</f>
        <v/>
      </c>
      <c r="K1585" s="22" t="str">
        <f aca="false">IF($M1585="","",INDEX('Программа тренировок'!$G$6:$G$25,$M1585))</f>
        <v/>
      </c>
      <c r="L1585" s="23" t="str">
        <f aca="false">IF(OR($M1585="",$F1585="",$G1585=""),"",IF($H1585="Разминка","Разминка",IF($F1585&lt;INDEX('Программа тренировок'!$E$6:$E$25,$M1585),"Ниже диапазона",IF(AND($F1585&gt;=INDEX('Программа тренировок'!$F$6:$F$25,$M1585),$G1585&gt;=INDEX('Программа тренировок'!$L$6:$L$25,$M1585)),"Верх диапазона: пора добавлять вес",IF($G1585&lt;INDEX('Программа тренировок'!$L$6:$L$25,$M1585),"RIR ниже цели","В диапазоне")))))</f>
        <v/>
      </c>
      <c r="M1585" s="23" t="str">
        <f aca="false">IF($C1585="","",IFERROR(MATCH($C1585,'Программа тренировок'!$C$6:$C$25,0),""))</f>
        <v/>
      </c>
    </row>
    <row r="1586" customFormat="false" ht="15" hidden="false" customHeight="true" outlineLevel="0" collapsed="false">
      <c r="A1586" s="20"/>
      <c r="B1586" s="21"/>
      <c r="C1586" s="19"/>
      <c r="D1586" s="18"/>
      <c r="E1586" s="17"/>
      <c r="F1586" s="18"/>
      <c r="G1586" s="18"/>
      <c r="H1586" s="21"/>
      <c r="I1586" s="19"/>
      <c r="J1586" s="8" t="str">
        <f aca="false">IF(OR(E1586="",F1586=""),"",E1586*F1586)</f>
        <v/>
      </c>
      <c r="K1586" s="22" t="str">
        <f aca="false">IF($M1586="","",INDEX('Программа тренировок'!$G$6:$G$25,$M1586))</f>
        <v/>
      </c>
      <c r="L1586" s="23" t="str">
        <f aca="false">IF(OR($M1586="",$F1586="",$G1586=""),"",IF($H1586="Разминка","Разминка",IF($F1586&lt;INDEX('Программа тренировок'!$E$6:$E$25,$M1586),"Ниже диапазона",IF(AND($F1586&gt;=INDEX('Программа тренировок'!$F$6:$F$25,$M1586),$G1586&gt;=INDEX('Программа тренировок'!$L$6:$L$25,$M1586)),"Верх диапазона: пора добавлять вес",IF($G1586&lt;INDEX('Программа тренировок'!$L$6:$L$25,$M1586),"RIR ниже цели","В диапазоне")))))</f>
        <v/>
      </c>
      <c r="M1586" s="23" t="str">
        <f aca="false">IF($C1586="","",IFERROR(MATCH($C1586,'Программа тренировок'!$C$6:$C$25,0),""))</f>
        <v/>
      </c>
    </row>
    <row r="1587" customFormat="false" ht="15" hidden="false" customHeight="true" outlineLevel="0" collapsed="false">
      <c r="A1587" s="20"/>
      <c r="B1587" s="21"/>
      <c r="C1587" s="19"/>
      <c r="D1587" s="18"/>
      <c r="E1587" s="17"/>
      <c r="F1587" s="18"/>
      <c r="G1587" s="18"/>
      <c r="H1587" s="21"/>
      <c r="I1587" s="19"/>
      <c r="J1587" s="8" t="str">
        <f aca="false">IF(OR(E1587="",F1587=""),"",E1587*F1587)</f>
        <v/>
      </c>
      <c r="K1587" s="22" t="str">
        <f aca="false">IF($M1587="","",INDEX('Программа тренировок'!$G$6:$G$25,$M1587))</f>
        <v/>
      </c>
      <c r="L1587" s="23" t="str">
        <f aca="false">IF(OR($M1587="",$F1587="",$G1587=""),"",IF($H1587="Разминка","Разминка",IF($F1587&lt;INDEX('Программа тренировок'!$E$6:$E$25,$M1587),"Ниже диапазона",IF(AND($F1587&gt;=INDEX('Программа тренировок'!$F$6:$F$25,$M1587),$G1587&gt;=INDEX('Программа тренировок'!$L$6:$L$25,$M1587)),"Верх диапазона: пора добавлять вес",IF($G1587&lt;INDEX('Программа тренировок'!$L$6:$L$25,$M1587),"RIR ниже цели","В диапазоне")))))</f>
        <v/>
      </c>
      <c r="M1587" s="23" t="str">
        <f aca="false">IF($C1587="","",IFERROR(MATCH($C1587,'Программа тренировок'!$C$6:$C$25,0),""))</f>
        <v/>
      </c>
    </row>
    <row r="1588" customFormat="false" ht="15" hidden="false" customHeight="true" outlineLevel="0" collapsed="false">
      <c r="A1588" s="20"/>
      <c r="B1588" s="21"/>
      <c r="C1588" s="19"/>
      <c r="D1588" s="18"/>
      <c r="E1588" s="17"/>
      <c r="F1588" s="18"/>
      <c r="G1588" s="18"/>
      <c r="H1588" s="21"/>
      <c r="I1588" s="19"/>
      <c r="J1588" s="8" t="str">
        <f aca="false">IF(OR(E1588="",F1588=""),"",E1588*F1588)</f>
        <v/>
      </c>
      <c r="K1588" s="22" t="str">
        <f aca="false">IF($M1588="","",INDEX('Программа тренировок'!$G$6:$G$25,$M1588))</f>
        <v/>
      </c>
      <c r="L1588" s="23" t="str">
        <f aca="false">IF(OR($M1588="",$F1588="",$G1588=""),"",IF($H1588="Разминка","Разминка",IF($F1588&lt;INDEX('Программа тренировок'!$E$6:$E$25,$M1588),"Ниже диапазона",IF(AND($F1588&gt;=INDEX('Программа тренировок'!$F$6:$F$25,$M1588),$G1588&gt;=INDEX('Программа тренировок'!$L$6:$L$25,$M1588)),"Верх диапазона: пора добавлять вес",IF($G1588&lt;INDEX('Программа тренировок'!$L$6:$L$25,$M1588),"RIR ниже цели","В диапазоне")))))</f>
        <v/>
      </c>
      <c r="M1588" s="23" t="str">
        <f aca="false">IF($C1588="","",IFERROR(MATCH($C1588,'Программа тренировок'!$C$6:$C$25,0),""))</f>
        <v/>
      </c>
    </row>
    <row r="1589" customFormat="false" ht="15" hidden="false" customHeight="true" outlineLevel="0" collapsed="false">
      <c r="A1589" s="20"/>
      <c r="B1589" s="21"/>
      <c r="C1589" s="19"/>
      <c r="D1589" s="18"/>
      <c r="E1589" s="17"/>
      <c r="F1589" s="18"/>
      <c r="G1589" s="18"/>
      <c r="H1589" s="21"/>
      <c r="I1589" s="19"/>
      <c r="J1589" s="8" t="str">
        <f aca="false">IF(OR(E1589="",F1589=""),"",E1589*F1589)</f>
        <v/>
      </c>
      <c r="K1589" s="22" t="str">
        <f aca="false">IF($M1589="","",INDEX('Программа тренировок'!$G$6:$G$25,$M1589))</f>
        <v/>
      </c>
      <c r="L1589" s="23" t="str">
        <f aca="false">IF(OR($M1589="",$F1589="",$G1589=""),"",IF($H1589="Разминка","Разминка",IF($F1589&lt;INDEX('Программа тренировок'!$E$6:$E$25,$M1589),"Ниже диапазона",IF(AND($F1589&gt;=INDEX('Программа тренировок'!$F$6:$F$25,$M1589),$G1589&gt;=INDEX('Программа тренировок'!$L$6:$L$25,$M1589)),"Верх диапазона: пора добавлять вес",IF($G1589&lt;INDEX('Программа тренировок'!$L$6:$L$25,$M1589),"RIR ниже цели","В диапазоне")))))</f>
        <v/>
      </c>
      <c r="M1589" s="23" t="str">
        <f aca="false">IF($C1589="","",IFERROR(MATCH($C1589,'Программа тренировок'!$C$6:$C$25,0),""))</f>
        <v/>
      </c>
    </row>
    <row r="1590" customFormat="false" ht="15" hidden="false" customHeight="true" outlineLevel="0" collapsed="false">
      <c r="A1590" s="20"/>
      <c r="B1590" s="21"/>
      <c r="C1590" s="19"/>
      <c r="D1590" s="18"/>
      <c r="E1590" s="17"/>
      <c r="F1590" s="18"/>
      <c r="G1590" s="18"/>
      <c r="H1590" s="21"/>
      <c r="I1590" s="19"/>
      <c r="J1590" s="8" t="str">
        <f aca="false">IF(OR(E1590="",F1590=""),"",E1590*F1590)</f>
        <v/>
      </c>
      <c r="K1590" s="22" t="str">
        <f aca="false">IF($M1590="","",INDEX('Программа тренировок'!$G$6:$G$25,$M1590))</f>
        <v/>
      </c>
      <c r="L1590" s="23" t="str">
        <f aca="false">IF(OR($M1590="",$F1590="",$G1590=""),"",IF($H1590="Разминка","Разминка",IF($F1590&lt;INDEX('Программа тренировок'!$E$6:$E$25,$M1590),"Ниже диапазона",IF(AND($F1590&gt;=INDEX('Программа тренировок'!$F$6:$F$25,$M1590),$G1590&gt;=INDEX('Программа тренировок'!$L$6:$L$25,$M1590)),"Верх диапазона: пора добавлять вес",IF($G1590&lt;INDEX('Программа тренировок'!$L$6:$L$25,$M1590),"RIR ниже цели","В диапазоне")))))</f>
        <v/>
      </c>
      <c r="M1590" s="23" t="str">
        <f aca="false">IF($C1590="","",IFERROR(MATCH($C1590,'Программа тренировок'!$C$6:$C$25,0),""))</f>
        <v/>
      </c>
    </row>
    <row r="1591" customFormat="false" ht="15" hidden="false" customHeight="true" outlineLevel="0" collapsed="false">
      <c r="A1591" s="20"/>
      <c r="B1591" s="21"/>
      <c r="C1591" s="19"/>
      <c r="D1591" s="18"/>
      <c r="E1591" s="17"/>
      <c r="F1591" s="18"/>
      <c r="G1591" s="18"/>
      <c r="H1591" s="21"/>
      <c r="I1591" s="19"/>
      <c r="J1591" s="8" t="str">
        <f aca="false">IF(OR(E1591="",F1591=""),"",E1591*F1591)</f>
        <v/>
      </c>
      <c r="K1591" s="22" t="str">
        <f aca="false">IF($M1591="","",INDEX('Программа тренировок'!$G$6:$G$25,$M1591))</f>
        <v/>
      </c>
      <c r="L1591" s="23" t="str">
        <f aca="false">IF(OR($M1591="",$F1591="",$G1591=""),"",IF($H1591="Разминка","Разминка",IF($F1591&lt;INDEX('Программа тренировок'!$E$6:$E$25,$M1591),"Ниже диапазона",IF(AND($F1591&gt;=INDEX('Программа тренировок'!$F$6:$F$25,$M1591),$G1591&gt;=INDEX('Программа тренировок'!$L$6:$L$25,$M1591)),"Верх диапазона: пора добавлять вес",IF($G1591&lt;INDEX('Программа тренировок'!$L$6:$L$25,$M1591),"RIR ниже цели","В диапазоне")))))</f>
        <v/>
      </c>
      <c r="M1591" s="23" t="str">
        <f aca="false">IF($C1591="","",IFERROR(MATCH($C1591,'Программа тренировок'!$C$6:$C$25,0),""))</f>
        <v/>
      </c>
    </row>
    <row r="1592" customFormat="false" ht="15" hidden="false" customHeight="true" outlineLevel="0" collapsed="false">
      <c r="A1592" s="20"/>
      <c r="B1592" s="21"/>
      <c r="C1592" s="19"/>
      <c r="D1592" s="18"/>
      <c r="E1592" s="17"/>
      <c r="F1592" s="18"/>
      <c r="G1592" s="18"/>
      <c r="H1592" s="21"/>
      <c r="I1592" s="19"/>
      <c r="J1592" s="8" t="str">
        <f aca="false">IF(OR(E1592="",F1592=""),"",E1592*F1592)</f>
        <v/>
      </c>
      <c r="K1592" s="22" t="str">
        <f aca="false">IF($M1592="","",INDEX('Программа тренировок'!$G$6:$G$25,$M1592))</f>
        <v/>
      </c>
      <c r="L1592" s="23" t="str">
        <f aca="false">IF(OR($M1592="",$F1592="",$G1592=""),"",IF($H1592="Разминка","Разминка",IF($F1592&lt;INDEX('Программа тренировок'!$E$6:$E$25,$M1592),"Ниже диапазона",IF(AND($F1592&gt;=INDEX('Программа тренировок'!$F$6:$F$25,$M1592),$G1592&gt;=INDEX('Программа тренировок'!$L$6:$L$25,$M1592)),"Верх диапазона: пора добавлять вес",IF($G1592&lt;INDEX('Программа тренировок'!$L$6:$L$25,$M1592),"RIR ниже цели","В диапазоне")))))</f>
        <v/>
      </c>
      <c r="M1592" s="23" t="str">
        <f aca="false">IF($C1592="","",IFERROR(MATCH($C1592,'Программа тренировок'!$C$6:$C$25,0),""))</f>
        <v/>
      </c>
    </row>
    <row r="1593" customFormat="false" ht="15" hidden="false" customHeight="true" outlineLevel="0" collapsed="false">
      <c r="A1593" s="20"/>
      <c r="B1593" s="21"/>
      <c r="C1593" s="19"/>
      <c r="D1593" s="18"/>
      <c r="E1593" s="17"/>
      <c r="F1593" s="18"/>
      <c r="G1593" s="18"/>
      <c r="H1593" s="21"/>
      <c r="I1593" s="19"/>
      <c r="J1593" s="8" t="str">
        <f aca="false">IF(OR(E1593="",F1593=""),"",E1593*F1593)</f>
        <v/>
      </c>
      <c r="K1593" s="22" t="str">
        <f aca="false">IF($M1593="","",INDEX('Программа тренировок'!$G$6:$G$25,$M1593))</f>
        <v/>
      </c>
      <c r="L1593" s="23" t="str">
        <f aca="false">IF(OR($M1593="",$F1593="",$G1593=""),"",IF($H1593="Разминка","Разминка",IF($F1593&lt;INDEX('Программа тренировок'!$E$6:$E$25,$M1593),"Ниже диапазона",IF(AND($F1593&gt;=INDEX('Программа тренировок'!$F$6:$F$25,$M1593),$G1593&gt;=INDEX('Программа тренировок'!$L$6:$L$25,$M1593)),"Верх диапазона: пора добавлять вес",IF($G1593&lt;INDEX('Программа тренировок'!$L$6:$L$25,$M1593),"RIR ниже цели","В диапазоне")))))</f>
        <v/>
      </c>
      <c r="M1593" s="23" t="str">
        <f aca="false">IF($C1593="","",IFERROR(MATCH($C1593,'Программа тренировок'!$C$6:$C$25,0),""))</f>
        <v/>
      </c>
    </row>
    <row r="1594" customFormat="false" ht="15" hidden="false" customHeight="true" outlineLevel="0" collapsed="false">
      <c r="A1594" s="20"/>
      <c r="B1594" s="21"/>
      <c r="C1594" s="19"/>
      <c r="D1594" s="18"/>
      <c r="E1594" s="17"/>
      <c r="F1594" s="18"/>
      <c r="G1594" s="18"/>
      <c r="H1594" s="21"/>
      <c r="I1594" s="19"/>
      <c r="J1594" s="8" t="str">
        <f aca="false">IF(OR(E1594="",F1594=""),"",E1594*F1594)</f>
        <v/>
      </c>
      <c r="K1594" s="22" t="str">
        <f aca="false">IF($M1594="","",INDEX('Программа тренировок'!$G$6:$G$25,$M1594))</f>
        <v/>
      </c>
      <c r="L1594" s="23" t="str">
        <f aca="false">IF(OR($M1594="",$F1594="",$G1594=""),"",IF($H1594="Разминка","Разминка",IF($F1594&lt;INDEX('Программа тренировок'!$E$6:$E$25,$M1594),"Ниже диапазона",IF(AND($F1594&gt;=INDEX('Программа тренировок'!$F$6:$F$25,$M1594),$G1594&gt;=INDEX('Программа тренировок'!$L$6:$L$25,$M1594)),"Верх диапазона: пора добавлять вес",IF($G1594&lt;INDEX('Программа тренировок'!$L$6:$L$25,$M1594),"RIR ниже цели","В диапазоне")))))</f>
        <v/>
      </c>
      <c r="M1594" s="23" t="str">
        <f aca="false">IF($C1594="","",IFERROR(MATCH($C1594,'Программа тренировок'!$C$6:$C$25,0),""))</f>
        <v/>
      </c>
    </row>
    <row r="1595" customFormat="false" ht="15" hidden="false" customHeight="true" outlineLevel="0" collapsed="false">
      <c r="A1595" s="20"/>
      <c r="B1595" s="21"/>
      <c r="C1595" s="19"/>
      <c r="D1595" s="18"/>
      <c r="E1595" s="17"/>
      <c r="F1595" s="18"/>
      <c r="G1595" s="18"/>
      <c r="H1595" s="21"/>
      <c r="I1595" s="19"/>
      <c r="J1595" s="8" t="str">
        <f aca="false">IF(OR(E1595="",F1595=""),"",E1595*F1595)</f>
        <v/>
      </c>
      <c r="K1595" s="22" t="str">
        <f aca="false">IF($M1595="","",INDEX('Программа тренировок'!$G$6:$G$25,$M1595))</f>
        <v/>
      </c>
      <c r="L1595" s="23" t="str">
        <f aca="false">IF(OR($M1595="",$F1595="",$G1595=""),"",IF($H1595="Разминка","Разминка",IF($F1595&lt;INDEX('Программа тренировок'!$E$6:$E$25,$M1595),"Ниже диапазона",IF(AND($F1595&gt;=INDEX('Программа тренировок'!$F$6:$F$25,$M1595),$G1595&gt;=INDEX('Программа тренировок'!$L$6:$L$25,$M1595)),"Верх диапазона: пора добавлять вес",IF($G1595&lt;INDEX('Программа тренировок'!$L$6:$L$25,$M1595),"RIR ниже цели","В диапазоне")))))</f>
        <v/>
      </c>
      <c r="M1595" s="23" t="str">
        <f aca="false">IF($C1595="","",IFERROR(MATCH($C1595,'Программа тренировок'!$C$6:$C$25,0),""))</f>
        <v/>
      </c>
    </row>
    <row r="1596" customFormat="false" ht="15" hidden="false" customHeight="true" outlineLevel="0" collapsed="false">
      <c r="A1596" s="20"/>
      <c r="B1596" s="21"/>
      <c r="C1596" s="19"/>
      <c r="D1596" s="18"/>
      <c r="E1596" s="17"/>
      <c r="F1596" s="18"/>
      <c r="G1596" s="18"/>
      <c r="H1596" s="21"/>
      <c r="I1596" s="19"/>
      <c r="J1596" s="8" t="str">
        <f aca="false">IF(OR(E1596="",F1596=""),"",E1596*F1596)</f>
        <v/>
      </c>
      <c r="K1596" s="22" t="str">
        <f aca="false">IF($M1596="","",INDEX('Программа тренировок'!$G$6:$G$25,$M1596))</f>
        <v/>
      </c>
      <c r="L1596" s="23" t="str">
        <f aca="false">IF(OR($M1596="",$F1596="",$G1596=""),"",IF($H1596="Разминка","Разминка",IF($F1596&lt;INDEX('Программа тренировок'!$E$6:$E$25,$M1596),"Ниже диапазона",IF(AND($F1596&gt;=INDEX('Программа тренировок'!$F$6:$F$25,$M1596),$G1596&gt;=INDEX('Программа тренировок'!$L$6:$L$25,$M1596)),"Верх диапазона: пора добавлять вес",IF($G1596&lt;INDEX('Программа тренировок'!$L$6:$L$25,$M1596),"RIR ниже цели","В диапазоне")))))</f>
        <v/>
      </c>
      <c r="M1596" s="23" t="str">
        <f aca="false">IF($C1596="","",IFERROR(MATCH($C1596,'Программа тренировок'!$C$6:$C$25,0),""))</f>
        <v/>
      </c>
    </row>
    <row r="1597" customFormat="false" ht="15" hidden="false" customHeight="true" outlineLevel="0" collapsed="false">
      <c r="A1597" s="20"/>
      <c r="B1597" s="21"/>
      <c r="C1597" s="19"/>
      <c r="D1597" s="18"/>
      <c r="E1597" s="17"/>
      <c r="F1597" s="18"/>
      <c r="G1597" s="18"/>
      <c r="H1597" s="21"/>
      <c r="I1597" s="19"/>
      <c r="J1597" s="8" t="str">
        <f aca="false">IF(OR(E1597="",F1597=""),"",E1597*F1597)</f>
        <v/>
      </c>
      <c r="K1597" s="22" t="str">
        <f aca="false">IF($M1597="","",INDEX('Программа тренировок'!$G$6:$G$25,$M1597))</f>
        <v/>
      </c>
      <c r="L1597" s="23" t="str">
        <f aca="false">IF(OR($M1597="",$F1597="",$G1597=""),"",IF($H1597="Разминка","Разминка",IF($F1597&lt;INDEX('Программа тренировок'!$E$6:$E$25,$M1597),"Ниже диапазона",IF(AND($F1597&gt;=INDEX('Программа тренировок'!$F$6:$F$25,$M1597),$G1597&gt;=INDEX('Программа тренировок'!$L$6:$L$25,$M1597)),"Верх диапазона: пора добавлять вес",IF($G1597&lt;INDEX('Программа тренировок'!$L$6:$L$25,$M1597),"RIR ниже цели","В диапазоне")))))</f>
        <v/>
      </c>
      <c r="M1597" s="23" t="str">
        <f aca="false">IF($C1597="","",IFERROR(MATCH($C1597,'Программа тренировок'!$C$6:$C$25,0),""))</f>
        <v/>
      </c>
    </row>
    <row r="1598" customFormat="false" ht="15" hidden="false" customHeight="true" outlineLevel="0" collapsed="false">
      <c r="A1598" s="20"/>
      <c r="B1598" s="21"/>
      <c r="C1598" s="19"/>
      <c r="D1598" s="18"/>
      <c r="E1598" s="17"/>
      <c r="F1598" s="18"/>
      <c r="G1598" s="18"/>
      <c r="H1598" s="21"/>
      <c r="I1598" s="19"/>
      <c r="J1598" s="8" t="str">
        <f aca="false">IF(OR(E1598="",F1598=""),"",E1598*F1598)</f>
        <v/>
      </c>
      <c r="K1598" s="22" t="str">
        <f aca="false">IF($M1598="","",INDEX('Программа тренировок'!$G$6:$G$25,$M1598))</f>
        <v/>
      </c>
      <c r="L1598" s="23" t="str">
        <f aca="false">IF(OR($M1598="",$F1598="",$G1598=""),"",IF($H1598="Разминка","Разминка",IF($F1598&lt;INDEX('Программа тренировок'!$E$6:$E$25,$M1598),"Ниже диапазона",IF(AND($F1598&gt;=INDEX('Программа тренировок'!$F$6:$F$25,$M1598),$G1598&gt;=INDEX('Программа тренировок'!$L$6:$L$25,$M1598)),"Верх диапазона: пора добавлять вес",IF($G1598&lt;INDEX('Программа тренировок'!$L$6:$L$25,$M1598),"RIR ниже цели","В диапазоне")))))</f>
        <v/>
      </c>
      <c r="M1598" s="23" t="str">
        <f aca="false">IF($C1598="","",IFERROR(MATCH($C1598,'Программа тренировок'!$C$6:$C$25,0),""))</f>
        <v/>
      </c>
    </row>
    <row r="1599" customFormat="false" ht="15" hidden="false" customHeight="true" outlineLevel="0" collapsed="false">
      <c r="A1599" s="20"/>
      <c r="B1599" s="21"/>
      <c r="C1599" s="19"/>
      <c r="D1599" s="18"/>
      <c r="E1599" s="17"/>
      <c r="F1599" s="18"/>
      <c r="G1599" s="18"/>
      <c r="H1599" s="21"/>
      <c r="I1599" s="19"/>
      <c r="J1599" s="8" t="str">
        <f aca="false">IF(OR(E1599="",F1599=""),"",E1599*F1599)</f>
        <v/>
      </c>
      <c r="K1599" s="22" t="str">
        <f aca="false">IF($M1599="","",INDEX('Программа тренировок'!$G$6:$G$25,$M1599))</f>
        <v/>
      </c>
      <c r="L1599" s="23" t="str">
        <f aca="false">IF(OR($M1599="",$F1599="",$G1599=""),"",IF($H1599="Разминка","Разминка",IF($F1599&lt;INDEX('Программа тренировок'!$E$6:$E$25,$M1599),"Ниже диапазона",IF(AND($F1599&gt;=INDEX('Программа тренировок'!$F$6:$F$25,$M1599),$G1599&gt;=INDEX('Программа тренировок'!$L$6:$L$25,$M1599)),"Верх диапазона: пора добавлять вес",IF($G1599&lt;INDEX('Программа тренировок'!$L$6:$L$25,$M1599),"RIR ниже цели","В диапазоне")))))</f>
        <v/>
      </c>
      <c r="M1599" s="23" t="str">
        <f aca="false">IF($C1599="","",IFERROR(MATCH($C1599,'Программа тренировок'!$C$6:$C$25,0),""))</f>
        <v/>
      </c>
    </row>
    <row r="1600" customFormat="false" ht="15" hidden="false" customHeight="true" outlineLevel="0" collapsed="false">
      <c r="A1600" s="20"/>
      <c r="B1600" s="21"/>
      <c r="C1600" s="19"/>
      <c r="D1600" s="18"/>
      <c r="E1600" s="17"/>
      <c r="F1600" s="18"/>
      <c r="G1600" s="18"/>
      <c r="H1600" s="21"/>
      <c r="I1600" s="19"/>
      <c r="J1600" s="8" t="str">
        <f aca="false">IF(OR(E1600="",F1600=""),"",E1600*F1600)</f>
        <v/>
      </c>
      <c r="K1600" s="22" t="str">
        <f aca="false">IF($M1600="","",INDEX('Программа тренировок'!$G$6:$G$25,$M1600))</f>
        <v/>
      </c>
      <c r="L1600" s="23" t="str">
        <f aca="false">IF(OR($M1600="",$F1600="",$G1600=""),"",IF($H1600="Разминка","Разминка",IF($F1600&lt;INDEX('Программа тренировок'!$E$6:$E$25,$M1600),"Ниже диапазона",IF(AND($F1600&gt;=INDEX('Программа тренировок'!$F$6:$F$25,$M1600),$G1600&gt;=INDEX('Программа тренировок'!$L$6:$L$25,$M1600)),"Верх диапазона: пора добавлять вес",IF($G1600&lt;INDEX('Программа тренировок'!$L$6:$L$25,$M1600),"RIR ниже цели","В диапазоне")))))</f>
        <v/>
      </c>
      <c r="M1600" s="23" t="str">
        <f aca="false">IF($C1600="","",IFERROR(MATCH($C1600,'Программа тренировок'!$C$6:$C$25,0),""))</f>
        <v/>
      </c>
    </row>
    <row r="1601" customFormat="false" ht="15" hidden="false" customHeight="true" outlineLevel="0" collapsed="false">
      <c r="A1601" s="20"/>
      <c r="B1601" s="21"/>
      <c r="C1601" s="19"/>
      <c r="D1601" s="18"/>
      <c r="E1601" s="17"/>
      <c r="F1601" s="18"/>
      <c r="G1601" s="18"/>
      <c r="H1601" s="21"/>
      <c r="I1601" s="19"/>
      <c r="J1601" s="8" t="str">
        <f aca="false">IF(OR(E1601="",F1601=""),"",E1601*F1601)</f>
        <v/>
      </c>
      <c r="K1601" s="22" t="str">
        <f aca="false">IF($M1601="","",INDEX('Программа тренировок'!$G$6:$G$25,$M1601))</f>
        <v/>
      </c>
      <c r="L1601" s="23" t="str">
        <f aca="false">IF(OR($M1601="",$F1601="",$G1601=""),"",IF($H1601="Разминка","Разминка",IF($F1601&lt;INDEX('Программа тренировок'!$E$6:$E$25,$M1601),"Ниже диапазона",IF(AND($F1601&gt;=INDEX('Программа тренировок'!$F$6:$F$25,$M1601),$G1601&gt;=INDEX('Программа тренировок'!$L$6:$L$25,$M1601)),"Верх диапазона: пора добавлять вес",IF($G1601&lt;INDEX('Программа тренировок'!$L$6:$L$25,$M1601),"RIR ниже цели","В диапазоне")))))</f>
        <v/>
      </c>
      <c r="M1601" s="23" t="str">
        <f aca="false">IF($C1601="","",IFERROR(MATCH($C1601,'Программа тренировок'!$C$6:$C$25,0),""))</f>
        <v/>
      </c>
    </row>
    <row r="1602" customFormat="false" ht="15" hidden="false" customHeight="true" outlineLevel="0" collapsed="false">
      <c r="A1602" s="20"/>
      <c r="B1602" s="21"/>
      <c r="C1602" s="19"/>
      <c r="D1602" s="18"/>
      <c r="E1602" s="17"/>
      <c r="F1602" s="18"/>
      <c r="G1602" s="18"/>
      <c r="H1602" s="21"/>
      <c r="I1602" s="19"/>
      <c r="J1602" s="8" t="str">
        <f aca="false">IF(OR(E1602="",F1602=""),"",E1602*F1602)</f>
        <v/>
      </c>
      <c r="K1602" s="22" t="str">
        <f aca="false">IF($M1602="","",INDEX('Программа тренировок'!$G$6:$G$25,$M1602))</f>
        <v/>
      </c>
      <c r="L1602" s="23" t="str">
        <f aca="false">IF(OR($M1602="",$F1602="",$G1602=""),"",IF($H1602="Разминка","Разминка",IF($F1602&lt;INDEX('Программа тренировок'!$E$6:$E$25,$M1602),"Ниже диапазона",IF(AND($F1602&gt;=INDEX('Программа тренировок'!$F$6:$F$25,$M1602),$G1602&gt;=INDEX('Программа тренировок'!$L$6:$L$25,$M1602)),"Верх диапазона: пора добавлять вес",IF($G1602&lt;INDEX('Программа тренировок'!$L$6:$L$25,$M1602),"RIR ниже цели","В диапазоне")))))</f>
        <v/>
      </c>
      <c r="M1602" s="23" t="str">
        <f aca="false">IF($C1602="","",IFERROR(MATCH($C1602,'Программа тренировок'!$C$6:$C$25,0),""))</f>
        <v/>
      </c>
    </row>
    <row r="1603" customFormat="false" ht="15" hidden="false" customHeight="true" outlineLevel="0" collapsed="false">
      <c r="A1603" s="20"/>
      <c r="B1603" s="21"/>
      <c r="C1603" s="19"/>
      <c r="D1603" s="18"/>
      <c r="E1603" s="17"/>
      <c r="F1603" s="18"/>
      <c r="G1603" s="18"/>
      <c r="H1603" s="21"/>
      <c r="I1603" s="19"/>
      <c r="J1603" s="8" t="str">
        <f aca="false">IF(OR(E1603="",F1603=""),"",E1603*F1603)</f>
        <v/>
      </c>
      <c r="K1603" s="22" t="str">
        <f aca="false">IF($M1603="","",INDEX('Программа тренировок'!$G$6:$G$25,$M1603))</f>
        <v/>
      </c>
      <c r="L1603" s="23" t="str">
        <f aca="false">IF(OR($M1603="",$F1603="",$G1603=""),"",IF($H1603="Разминка","Разминка",IF($F1603&lt;INDEX('Программа тренировок'!$E$6:$E$25,$M1603),"Ниже диапазона",IF(AND($F1603&gt;=INDEX('Программа тренировок'!$F$6:$F$25,$M1603),$G1603&gt;=INDEX('Программа тренировок'!$L$6:$L$25,$M1603)),"Верх диапазона: пора добавлять вес",IF($G1603&lt;INDEX('Программа тренировок'!$L$6:$L$25,$M1603),"RIR ниже цели","В диапазоне")))))</f>
        <v/>
      </c>
      <c r="M1603" s="23" t="str">
        <f aca="false">IF($C1603="","",IFERROR(MATCH($C1603,'Программа тренировок'!$C$6:$C$25,0),""))</f>
        <v/>
      </c>
    </row>
    <row r="1604" customFormat="false" ht="15" hidden="false" customHeight="true" outlineLevel="0" collapsed="false">
      <c r="A1604" s="20"/>
      <c r="B1604" s="21"/>
      <c r="C1604" s="19"/>
      <c r="D1604" s="18"/>
      <c r="E1604" s="17"/>
      <c r="F1604" s="18"/>
      <c r="G1604" s="18"/>
      <c r="H1604" s="21"/>
      <c r="I1604" s="19"/>
      <c r="J1604" s="8" t="str">
        <f aca="false">IF(OR(E1604="",F1604=""),"",E1604*F1604)</f>
        <v/>
      </c>
      <c r="K1604" s="22" t="str">
        <f aca="false">IF($M1604="","",INDEX('Программа тренировок'!$G$6:$G$25,$M1604))</f>
        <v/>
      </c>
      <c r="L1604" s="23" t="str">
        <f aca="false">IF(OR($M1604="",$F1604="",$G1604=""),"",IF($H1604="Разминка","Разминка",IF($F1604&lt;INDEX('Программа тренировок'!$E$6:$E$25,$M1604),"Ниже диапазона",IF(AND($F1604&gt;=INDEX('Программа тренировок'!$F$6:$F$25,$M1604),$G1604&gt;=INDEX('Программа тренировок'!$L$6:$L$25,$M1604)),"Верх диапазона: пора добавлять вес",IF($G1604&lt;INDEX('Программа тренировок'!$L$6:$L$25,$M1604),"RIR ниже цели","В диапазоне")))))</f>
        <v/>
      </c>
      <c r="M1604" s="23" t="str">
        <f aca="false">IF($C1604="","",IFERROR(MATCH($C1604,'Программа тренировок'!$C$6:$C$25,0),""))</f>
        <v/>
      </c>
    </row>
    <row r="1605" customFormat="false" ht="15" hidden="false" customHeight="true" outlineLevel="0" collapsed="false">
      <c r="A1605" s="20"/>
      <c r="B1605" s="21"/>
      <c r="C1605" s="19"/>
      <c r="D1605" s="18"/>
      <c r="E1605" s="17"/>
      <c r="F1605" s="18"/>
      <c r="G1605" s="18"/>
      <c r="H1605" s="21"/>
      <c r="I1605" s="19"/>
      <c r="J1605" s="8" t="str">
        <f aca="false">IF(OR(E1605="",F1605=""),"",E1605*F1605)</f>
        <v/>
      </c>
      <c r="K1605" s="22" t="str">
        <f aca="false">IF($M1605="","",INDEX('Программа тренировок'!$G$6:$G$25,$M1605))</f>
        <v/>
      </c>
      <c r="L1605" s="23" t="str">
        <f aca="false">IF(OR($M1605="",$F1605="",$G1605=""),"",IF($H1605="Разминка","Разминка",IF($F1605&lt;INDEX('Программа тренировок'!$E$6:$E$25,$M1605),"Ниже диапазона",IF(AND($F1605&gt;=INDEX('Программа тренировок'!$F$6:$F$25,$M1605),$G1605&gt;=INDEX('Программа тренировок'!$L$6:$L$25,$M1605)),"Верх диапазона: пора добавлять вес",IF($G1605&lt;INDEX('Программа тренировок'!$L$6:$L$25,$M1605),"RIR ниже цели","В диапазоне")))))</f>
        <v/>
      </c>
      <c r="M1605" s="23" t="str">
        <f aca="false">IF($C1605="","",IFERROR(MATCH($C1605,'Программа тренировок'!$C$6:$C$25,0),""))</f>
        <v/>
      </c>
    </row>
    <row r="1606" customFormat="false" ht="15" hidden="false" customHeight="true" outlineLevel="0" collapsed="false">
      <c r="A1606" s="20"/>
      <c r="B1606" s="21"/>
      <c r="C1606" s="19"/>
      <c r="D1606" s="18"/>
      <c r="E1606" s="17"/>
      <c r="F1606" s="18"/>
      <c r="G1606" s="18"/>
      <c r="H1606" s="21"/>
      <c r="I1606" s="19"/>
      <c r="J1606" s="8" t="str">
        <f aca="false">IF(OR(E1606="",F1606=""),"",E1606*F1606)</f>
        <v/>
      </c>
      <c r="K1606" s="22" t="str">
        <f aca="false">IF($M1606="","",INDEX('Программа тренировок'!$G$6:$G$25,$M1606))</f>
        <v/>
      </c>
      <c r="L1606" s="23" t="str">
        <f aca="false">IF(OR($M1606="",$F1606="",$G1606=""),"",IF($H1606="Разминка","Разминка",IF($F1606&lt;INDEX('Программа тренировок'!$E$6:$E$25,$M1606),"Ниже диапазона",IF(AND($F1606&gt;=INDEX('Программа тренировок'!$F$6:$F$25,$M1606),$G1606&gt;=INDEX('Программа тренировок'!$L$6:$L$25,$M1606)),"Верх диапазона: пора добавлять вес",IF($G1606&lt;INDEX('Программа тренировок'!$L$6:$L$25,$M1606),"RIR ниже цели","В диапазоне")))))</f>
        <v/>
      </c>
      <c r="M1606" s="23" t="str">
        <f aca="false">IF($C1606="","",IFERROR(MATCH($C1606,'Программа тренировок'!$C$6:$C$25,0),""))</f>
        <v/>
      </c>
    </row>
    <row r="1607" customFormat="false" ht="15" hidden="false" customHeight="true" outlineLevel="0" collapsed="false">
      <c r="A1607" s="20"/>
      <c r="B1607" s="21"/>
      <c r="C1607" s="19"/>
      <c r="D1607" s="18"/>
      <c r="E1607" s="17"/>
      <c r="F1607" s="18"/>
      <c r="G1607" s="18"/>
      <c r="H1607" s="21"/>
      <c r="I1607" s="19"/>
      <c r="J1607" s="8" t="str">
        <f aca="false">IF(OR(E1607="",F1607=""),"",E1607*F1607)</f>
        <v/>
      </c>
      <c r="K1607" s="22" t="str">
        <f aca="false">IF($M1607="","",INDEX('Программа тренировок'!$G$6:$G$25,$M1607))</f>
        <v/>
      </c>
      <c r="L1607" s="23" t="str">
        <f aca="false">IF(OR($M1607="",$F1607="",$G1607=""),"",IF($H1607="Разминка","Разминка",IF($F1607&lt;INDEX('Программа тренировок'!$E$6:$E$25,$M1607),"Ниже диапазона",IF(AND($F1607&gt;=INDEX('Программа тренировок'!$F$6:$F$25,$M1607),$G1607&gt;=INDEX('Программа тренировок'!$L$6:$L$25,$M1607)),"Верх диапазона: пора добавлять вес",IF($G1607&lt;INDEX('Программа тренировок'!$L$6:$L$25,$M1607),"RIR ниже цели","В диапазоне")))))</f>
        <v/>
      </c>
      <c r="M1607" s="23" t="str">
        <f aca="false">IF($C1607="","",IFERROR(MATCH($C1607,'Программа тренировок'!$C$6:$C$25,0),""))</f>
        <v/>
      </c>
    </row>
    <row r="1608" customFormat="false" ht="15" hidden="false" customHeight="true" outlineLevel="0" collapsed="false">
      <c r="A1608" s="20"/>
      <c r="B1608" s="21"/>
      <c r="C1608" s="19"/>
      <c r="D1608" s="18"/>
      <c r="E1608" s="17"/>
      <c r="F1608" s="18"/>
      <c r="G1608" s="18"/>
      <c r="H1608" s="21"/>
      <c r="I1608" s="19"/>
      <c r="J1608" s="8" t="str">
        <f aca="false">IF(OR(E1608="",F1608=""),"",E1608*F1608)</f>
        <v/>
      </c>
      <c r="K1608" s="22" t="str">
        <f aca="false">IF($M1608="","",INDEX('Программа тренировок'!$G$6:$G$25,$M1608))</f>
        <v/>
      </c>
      <c r="L1608" s="23" t="str">
        <f aca="false">IF(OR($M1608="",$F1608="",$G1608=""),"",IF($H1608="Разминка","Разминка",IF($F1608&lt;INDEX('Программа тренировок'!$E$6:$E$25,$M1608),"Ниже диапазона",IF(AND($F1608&gt;=INDEX('Программа тренировок'!$F$6:$F$25,$M1608),$G1608&gt;=INDEX('Программа тренировок'!$L$6:$L$25,$M1608)),"Верх диапазона: пора добавлять вес",IF($G1608&lt;INDEX('Программа тренировок'!$L$6:$L$25,$M1608),"RIR ниже цели","В диапазоне")))))</f>
        <v/>
      </c>
      <c r="M1608" s="23" t="str">
        <f aca="false">IF($C1608="","",IFERROR(MATCH($C1608,'Программа тренировок'!$C$6:$C$25,0),""))</f>
        <v/>
      </c>
    </row>
    <row r="1609" customFormat="false" ht="15" hidden="false" customHeight="true" outlineLevel="0" collapsed="false">
      <c r="A1609" s="20"/>
      <c r="B1609" s="21"/>
      <c r="C1609" s="19"/>
      <c r="D1609" s="18"/>
      <c r="E1609" s="17"/>
      <c r="F1609" s="18"/>
      <c r="G1609" s="18"/>
      <c r="H1609" s="21"/>
      <c r="I1609" s="19"/>
      <c r="J1609" s="8" t="str">
        <f aca="false">IF(OR(E1609="",F1609=""),"",E1609*F1609)</f>
        <v/>
      </c>
      <c r="K1609" s="22" t="str">
        <f aca="false">IF($M1609="","",INDEX('Программа тренировок'!$G$6:$G$25,$M1609))</f>
        <v/>
      </c>
      <c r="L1609" s="23" t="str">
        <f aca="false">IF(OR($M1609="",$F1609="",$G1609=""),"",IF($H1609="Разминка","Разминка",IF($F1609&lt;INDEX('Программа тренировок'!$E$6:$E$25,$M1609),"Ниже диапазона",IF(AND($F1609&gt;=INDEX('Программа тренировок'!$F$6:$F$25,$M1609),$G1609&gt;=INDEX('Программа тренировок'!$L$6:$L$25,$M1609)),"Верх диапазона: пора добавлять вес",IF($G1609&lt;INDEX('Программа тренировок'!$L$6:$L$25,$M1609),"RIR ниже цели","В диапазоне")))))</f>
        <v/>
      </c>
      <c r="M1609" s="23" t="str">
        <f aca="false">IF($C1609="","",IFERROR(MATCH($C1609,'Программа тренировок'!$C$6:$C$25,0),""))</f>
        <v/>
      </c>
    </row>
    <row r="1610" customFormat="false" ht="15" hidden="false" customHeight="true" outlineLevel="0" collapsed="false">
      <c r="A1610" s="20"/>
      <c r="B1610" s="21"/>
      <c r="C1610" s="19"/>
      <c r="D1610" s="18"/>
      <c r="E1610" s="17"/>
      <c r="F1610" s="18"/>
      <c r="G1610" s="18"/>
      <c r="H1610" s="21"/>
      <c r="I1610" s="19"/>
      <c r="J1610" s="8" t="str">
        <f aca="false">IF(OR(E1610="",F1610=""),"",E1610*F1610)</f>
        <v/>
      </c>
      <c r="K1610" s="22" t="str">
        <f aca="false">IF($M1610="","",INDEX('Программа тренировок'!$G$6:$G$25,$M1610))</f>
        <v/>
      </c>
      <c r="L1610" s="23" t="str">
        <f aca="false">IF(OR($M1610="",$F1610="",$G1610=""),"",IF($H1610="Разминка","Разминка",IF($F1610&lt;INDEX('Программа тренировок'!$E$6:$E$25,$M1610),"Ниже диапазона",IF(AND($F1610&gt;=INDEX('Программа тренировок'!$F$6:$F$25,$M1610),$G1610&gt;=INDEX('Программа тренировок'!$L$6:$L$25,$M1610)),"Верх диапазона: пора добавлять вес",IF($G1610&lt;INDEX('Программа тренировок'!$L$6:$L$25,$M1610),"RIR ниже цели","В диапазоне")))))</f>
        <v/>
      </c>
      <c r="M1610" s="23" t="str">
        <f aca="false">IF($C1610="","",IFERROR(MATCH($C1610,'Программа тренировок'!$C$6:$C$25,0),""))</f>
        <v/>
      </c>
    </row>
    <row r="1611" customFormat="false" ht="15" hidden="false" customHeight="true" outlineLevel="0" collapsed="false">
      <c r="A1611" s="20"/>
      <c r="B1611" s="21"/>
      <c r="C1611" s="19"/>
      <c r="D1611" s="18"/>
      <c r="E1611" s="17"/>
      <c r="F1611" s="18"/>
      <c r="G1611" s="18"/>
      <c r="H1611" s="21"/>
      <c r="I1611" s="19"/>
      <c r="J1611" s="8" t="str">
        <f aca="false">IF(OR(E1611="",F1611=""),"",E1611*F1611)</f>
        <v/>
      </c>
      <c r="K1611" s="22" t="str">
        <f aca="false">IF($M1611="","",INDEX('Программа тренировок'!$G$6:$G$25,$M1611))</f>
        <v/>
      </c>
      <c r="L1611" s="23" t="str">
        <f aca="false">IF(OR($M1611="",$F1611="",$G1611=""),"",IF($H1611="Разминка","Разминка",IF($F1611&lt;INDEX('Программа тренировок'!$E$6:$E$25,$M1611),"Ниже диапазона",IF(AND($F1611&gt;=INDEX('Программа тренировок'!$F$6:$F$25,$M1611),$G1611&gt;=INDEX('Программа тренировок'!$L$6:$L$25,$M1611)),"Верх диапазона: пора добавлять вес",IF($G1611&lt;INDEX('Программа тренировок'!$L$6:$L$25,$M1611),"RIR ниже цели","В диапазоне")))))</f>
        <v/>
      </c>
      <c r="M1611" s="23" t="str">
        <f aca="false">IF($C1611="","",IFERROR(MATCH($C1611,'Программа тренировок'!$C$6:$C$25,0),""))</f>
        <v/>
      </c>
    </row>
    <row r="1612" customFormat="false" ht="15" hidden="false" customHeight="true" outlineLevel="0" collapsed="false">
      <c r="A1612" s="20"/>
      <c r="B1612" s="21"/>
      <c r="C1612" s="19"/>
      <c r="D1612" s="18"/>
      <c r="E1612" s="17"/>
      <c r="F1612" s="18"/>
      <c r="G1612" s="18"/>
      <c r="H1612" s="21"/>
      <c r="I1612" s="19"/>
      <c r="J1612" s="8" t="str">
        <f aca="false">IF(OR(E1612="",F1612=""),"",E1612*F1612)</f>
        <v/>
      </c>
      <c r="K1612" s="22" t="str">
        <f aca="false">IF($M1612="","",INDEX('Программа тренировок'!$G$6:$G$25,$M1612))</f>
        <v/>
      </c>
      <c r="L1612" s="23" t="str">
        <f aca="false">IF(OR($M1612="",$F1612="",$G1612=""),"",IF($H1612="Разминка","Разминка",IF($F1612&lt;INDEX('Программа тренировок'!$E$6:$E$25,$M1612),"Ниже диапазона",IF(AND($F1612&gt;=INDEX('Программа тренировок'!$F$6:$F$25,$M1612),$G1612&gt;=INDEX('Программа тренировок'!$L$6:$L$25,$M1612)),"Верх диапазона: пора добавлять вес",IF($G1612&lt;INDEX('Программа тренировок'!$L$6:$L$25,$M1612),"RIR ниже цели","В диапазоне")))))</f>
        <v/>
      </c>
      <c r="M1612" s="23" t="str">
        <f aca="false">IF($C1612="","",IFERROR(MATCH($C1612,'Программа тренировок'!$C$6:$C$25,0),""))</f>
        <v/>
      </c>
    </row>
    <row r="1613" customFormat="false" ht="15" hidden="false" customHeight="true" outlineLevel="0" collapsed="false">
      <c r="A1613" s="20"/>
      <c r="B1613" s="21"/>
      <c r="C1613" s="19"/>
      <c r="D1613" s="18"/>
      <c r="E1613" s="17"/>
      <c r="F1613" s="18"/>
      <c r="G1613" s="18"/>
      <c r="H1613" s="21"/>
      <c r="I1613" s="19"/>
      <c r="J1613" s="8" t="str">
        <f aca="false">IF(OR(E1613="",F1613=""),"",E1613*F1613)</f>
        <v/>
      </c>
      <c r="K1613" s="22" t="str">
        <f aca="false">IF($M1613="","",INDEX('Программа тренировок'!$G$6:$G$25,$M1613))</f>
        <v/>
      </c>
      <c r="L1613" s="23" t="str">
        <f aca="false">IF(OR($M1613="",$F1613="",$G1613=""),"",IF($H1613="Разминка","Разминка",IF($F1613&lt;INDEX('Программа тренировок'!$E$6:$E$25,$M1613),"Ниже диапазона",IF(AND($F1613&gt;=INDEX('Программа тренировок'!$F$6:$F$25,$M1613),$G1613&gt;=INDEX('Программа тренировок'!$L$6:$L$25,$M1613)),"Верх диапазона: пора добавлять вес",IF($G1613&lt;INDEX('Программа тренировок'!$L$6:$L$25,$M1613),"RIR ниже цели","В диапазоне")))))</f>
        <v/>
      </c>
      <c r="M1613" s="23" t="str">
        <f aca="false">IF($C1613="","",IFERROR(MATCH($C1613,'Программа тренировок'!$C$6:$C$25,0),""))</f>
        <v/>
      </c>
    </row>
    <row r="1614" customFormat="false" ht="15" hidden="false" customHeight="true" outlineLevel="0" collapsed="false">
      <c r="A1614" s="20"/>
      <c r="B1614" s="21"/>
      <c r="C1614" s="19"/>
      <c r="D1614" s="18"/>
      <c r="E1614" s="17"/>
      <c r="F1614" s="18"/>
      <c r="G1614" s="18"/>
      <c r="H1614" s="21"/>
      <c r="I1614" s="19"/>
      <c r="J1614" s="8" t="str">
        <f aca="false">IF(OR(E1614="",F1614=""),"",E1614*F1614)</f>
        <v/>
      </c>
      <c r="K1614" s="22" t="str">
        <f aca="false">IF($M1614="","",INDEX('Программа тренировок'!$G$6:$G$25,$M1614))</f>
        <v/>
      </c>
      <c r="L1614" s="23" t="str">
        <f aca="false">IF(OR($M1614="",$F1614="",$G1614=""),"",IF($H1614="Разминка","Разминка",IF($F1614&lt;INDEX('Программа тренировок'!$E$6:$E$25,$M1614),"Ниже диапазона",IF(AND($F1614&gt;=INDEX('Программа тренировок'!$F$6:$F$25,$M1614),$G1614&gt;=INDEX('Программа тренировок'!$L$6:$L$25,$M1614)),"Верх диапазона: пора добавлять вес",IF($G1614&lt;INDEX('Программа тренировок'!$L$6:$L$25,$M1614),"RIR ниже цели","В диапазоне")))))</f>
        <v/>
      </c>
      <c r="M1614" s="23" t="str">
        <f aca="false">IF($C1614="","",IFERROR(MATCH($C1614,'Программа тренировок'!$C$6:$C$25,0),""))</f>
        <v/>
      </c>
    </row>
    <row r="1615" customFormat="false" ht="15" hidden="false" customHeight="true" outlineLevel="0" collapsed="false">
      <c r="A1615" s="20"/>
      <c r="B1615" s="21"/>
      <c r="C1615" s="19"/>
      <c r="D1615" s="18"/>
      <c r="E1615" s="17"/>
      <c r="F1615" s="18"/>
      <c r="G1615" s="18"/>
      <c r="H1615" s="21"/>
      <c r="I1615" s="19"/>
      <c r="J1615" s="8" t="str">
        <f aca="false">IF(OR(E1615="",F1615=""),"",E1615*F1615)</f>
        <v/>
      </c>
      <c r="K1615" s="22" t="str">
        <f aca="false">IF($M1615="","",INDEX('Программа тренировок'!$G$6:$G$25,$M1615))</f>
        <v/>
      </c>
      <c r="L1615" s="23" t="str">
        <f aca="false">IF(OR($M1615="",$F1615="",$G1615=""),"",IF($H1615="Разминка","Разминка",IF($F1615&lt;INDEX('Программа тренировок'!$E$6:$E$25,$M1615),"Ниже диапазона",IF(AND($F1615&gt;=INDEX('Программа тренировок'!$F$6:$F$25,$M1615),$G1615&gt;=INDEX('Программа тренировок'!$L$6:$L$25,$M1615)),"Верх диапазона: пора добавлять вес",IF($G1615&lt;INDEX('Программа тренировок'!$L$6:$L$25,$M1615),"RIR ниже цели","В диапазоне")))))</f>
        <v/>
      </c>
      <c r="M1615" s="23" t="str">
        <f aca="false">IF($C1615="","",IFERROR(MATCH($C1615,'Программа тренировок'!$C$6:$C$25,0),""))</f>
        <v/>
      </c>
    </row>
    <row r="1616" customFormat="false" ht="15" hidden="false" customHeight="true" outlineLevel="0" collapsed="false">
      <c r="A1616" s="20"/>
      <c r="B1616" s="21"/>
      <c r="C1616" s="19"/>
      <c r="D1616" s="18"/>
      <c r="E1616" s="17"/>
      <c r="F1616" s="18"/>
      <c r="G1616" s="18"/>
      <c r="H1616" s="21"/>
      <c r="I1616" s="19"/>
      <c r="J1616" s="8" t="str">
        <f aca="false">IF(OR(E1616="",F1616=""),"",E1616*F1616)</f>
        <v/>
      </c>
      <c r="K1616" s="22" t="str">
        <f aca="false">IF($M1616="","",INDEX('Программа тренировок'!$G$6:$G$25,$M1616))</f>
        <v/>
      </c>
      <c r="L1616" s="23" t="str">
        <f aca="false">IF(OR($M1616="",$F1616="",$G1616=""),"",IF($H1616="Разминка","Разминка",IF($F1616&lt;INDEX('Программа тренировок'!$E$6:$E$25,$M1616),"Ниже диапазона",IF(AND($F1616&gt;=INDEX('Программа тренировок'!$F$6:$F$25,$M1616),$G1616&gt;=INDEX('Программа тренировок'!$L$6:$L$25,$M1616)),"Верх диапазона: пора добавлять вес",IF($G1616&lt;INDEX('Программа тренировок'!$L$6:$L$25,$M1616),"RIR ниже цели","В диапазоне")))))</f>
        <v/>
      </c>
      <c r="M1616" s="23" t="str">
        <f aca="false">IF($C1616="","",IFERROR(MATCH($C1616,'Программа тренировок'!$C$6:$C$25,0),""))</f>
        <v/>
      </c>
    </row>
    <row r="1617" customFormat="false" ht="15" hidden="false" customHeight="true" outlineLevel="0" collapsed="false">
      <c r="A1617" s="20"/>
      <c r="B1617" s="21"/>
      <c r="C1617" s="19"/>
      <c r="D1617" s="18"/>
      <c r="E1617" s="17"/>
      <c r="F1617" s="18"/>
      <c r="G1617" s="18"/>
      <c r="H1617" s="21"/>
      <c r="I1617" s="19"/>
      <c r="J1617" s="8" t="str">
        <f aca="false">IF(OR(E1617="",F1617=""),"",E1617*F1617)</f>
        <v/>
      </c>
      <c r="K1617" s="22" t="str">
        <f aca="false">IF($M1617="","",INDEX('Программа тренировок'!$G$6:$G$25,$M1617))</f>
        <v/>
      </c>
      <c r="L1617" s="23" t="str">
        <f aca="false">IF(OR($M1617="",$F1617="",$G1617=""),"",IF($H1617="Разминка","Разминка",IF($F1617&lt;INDEX('Программа тренировок'!$E$6:$E$25,$M1617),"Ниже диапазона",IF(AND($F1617&gt;=INDEX('Программа тренировок'!$F$6:$F$25,$M1617),$G1617&gt;=INDEX('Программа тренировок'!$L$6:$L$25,$M1617)),"Верх диапазона: пора добавлять вес",IF($G1617&lt;INDEX('Программа тренировок'!$L$6:$L$25,$M1617),"RIR ниже цели","В диапазоне")))))</f>
        <v/>
      </c>
      <c r="M1617" s="23" t="str">
        <f aca="false">IF($C1617="","",IFERROR(MATCH($C1617,'Программа тренировок'!$C$6:$C$25,0),""))</f>
        <v/>
      </c>
    </row>
    <row r="1618" customFormat="false" ht="15" hidden="false" customHeight="true" outlineLevel="0" collapsed="false">
      <c r="A1618" s="20"/>
      <c r="B1618" s="21"/>
      <c r="C1618" s="19"/>
      <c r="D1618" s="18"/>
      <c r="E1618" s="17"/>
      <c r="F1618" s="18"/>
      <c r="G1618" s="18"/>
      <c r="H1618" s="21"/>
      <c r="I1618" s="19"/>
      <c r="J1618" s="8" t="str">
        <f aca="false">IF(OR(E1618="",F1618=""),"",E1618*F1618)</f>
        <v/>
      </c>
      <c r="K1618" s="22" t="str">
        <f aca="false">IF($M1618="","",INDEX('Программа тренировок'!$G$6:$G$25,$M1618))</f>
        <v/>
      </c>
      <c r="L1618" s="23" t="str">
        <f aca="false">IF(OR($M1618="",$F1618="",$G1618=""),"",IF($H1618="Разминка","Разминка",IF($F1618&lt;INDEX('Программа тренировок'!$E$6:$E$25,$M1618),"Ниже диапазона",IF(AND($F1618&gt;=INDEX('Программа тренировок'!$F$6:$F$25,$M1618),$G1618&gt;=INDEX('Программа тренировок'!$L$6:$L$25,$M1618)),"Верх диапазона: пора добавлять вес",IF($G1618&lt;INDEX('Программа тренировок'!$L$6:$L$25,$M1618),"RIR ниже цели","В диапазоне")))))</f>
        <v/>
      </c>
      <c r="M1618" s="23" t="str">
        <f aca="false">IF($C1618="","",IFERROR(MATCH($C1618,'Программа тренировок'!$C$6:$C$25,0),""))</f>
        <v/>
      </c>
    </row>
    <row r="1619" customFormat="false" ht="15" hidden="false" customHeight="true" outlineLevel="0" collapsed="false">
      <c r="A1619" s="20"/>
      <c r="B1619" s="21"/>
      <c r="C1619" s="19"/>
      <c r="D1619" s="18"/>
      <c r="E1619" s="17"/>
      <c r="F1619" s="18"/>
      <c r="G1619" s="18"/>
      <c r="H1619" s="21"/>
      <c r="I1619" s="19"/>
      <c r="J1619" s="8" t="str">
        <f aca="false">IF(OR(E1619="",F1619=""),"",E1619*F1619)</f>
        <v/>
      </c>
      <c r="K1619" s="22" t="str">
        <f aca="false">IF($M1619="","",INDEX('Программа тренировок'!$G$6:$G$25,$M1619))</f>
        <v/>
      </c>
      <c r="L1619" s="23" t="str">
        <f aca="false">IF(OR($M1619="",$F1619="",$G1619=""),"",IF($H1619="Разминка","Разминка",IF($F1619&lt;INDEX('Программа тренировок'!$E$6:$E$25,$M1619),"Ниже диапазона",IF(AND($F1619&gt;=INDEX('Программа тренировок'!$F$6:$F$25,$M1619),$G1619&gt;=INDEX('Программа тренировок'!$L$6:$L$25,$M1619)),"Верх диапазона: пора добавлять вес",IF($G1619&lt;INDEX('Программа тренировок'!$L$6:$L$25,$M1619),"RIR ниже цели","В диапазоне")))))</f>
        <v/>
      </c>
      <c r="M1619" s="23" t="str">
        <f aca="false">IF($C1619="","",IFERROR(MATCH($C1619,'Программа тренировок'!$C$6:$C$25,0),""))</f>
        <v/>
      </c>
    </row>
    <row r="1620" customFormat="false" ht="15" hidden="false" customHeight="true" outlineLevel="0" collapsed="false">
      <c r="A1620" s="20"/>
      <c r="B1620" s="21"/>
      <c r="C1620" s="19"/>
      <c r="D1620" s="18"/>
      <c r="E1620" s="17"/>
      <c r="F1620" s="18"/>
      <c r="G1620" s="18"/>
      <c r="H1620" s="21"/>
      <c r="I1620" s="19"/>
      <c r="J1620" s="8" t="str">
        <f aca="false">IF(OR(E1620="",F1620=""),"",E1620*F1620)</f>
        <v/>
      </c>
      <c r="K1620" s="22" t="str">
        <f aca="false">IF($M1620="","",INDEX('Программа тренировок'!$G$6:$G$25,$M1620))</f>
        <v/>
      </c>
      <c r="L1620" s="23" t="str">
        <f aca="false">IF(OR($M1620="",$F1620="",$G1620=""),"",IF($H1620="Разминка","Разминка",IF($F1620&lt;INDEX('Программа тренировок'!$E$6:$E$25,$M1620),"Ниже диапазона",IF(AND($F1620&gt;=INDEX('Программа тренировок'!$F$6:$F$25,$M1620),$G1620&gt;=INDEX('Программа тренировок'!$L$6:$L$25,$M1620)),"Верх диапазона: пора добавлять вес",IF($G1620&lt;INDEX('Программа тренировок'!$L$6:$L$25,$M1620),"RIR ниже цели","В диапазоне")))))</f>
        <v/>
      </c>
      <c r="M1620" s="23" t="str">
        <f aca="false">IF($C1620="","",IFERROR(MATCH($C1620,'Программа тренировок'!$C$6:$C$25,0),""))</f>
        <v/>
      </c>
    </row>
    <row r="1621" customFormat="false" ht="15" hidden="false" customHeight="true" outlineLevel="0" collapsed="false">
      <c r="A1621" s="20"/>
      <c r="B1621" s="21"/>
      <c r="C1621" s="19"/>
      <c r="D1621" s="18"/>
      <c r="E1621" s="17"/>
      <c r="F1621" s="18"/>
      <c r="G1621" s="18"/>
      <c r="H1621" s="21"/>
      <c r="I1621" s="19"/>
      <c r="J1621" s="8" t="str">
        <f aca="false">IF(OR(E1621="",F1621=""),"",E1621*F1621)</f>
        <v/>
      </c>
      <c r="K1621" s="22" t="str">
        <f aca="false">IF($M1621="","",INDEX('Программа тренировок'!$G$6:$G$25,$M1621))</f>
        <v/>
      </c>
      <c r="L1621" s="23" t="str">
        <f aca="false">IF(OR($M1621="",$F1621="",$G1621=""),"",IF($H1621="Разминка","Разминка",IF($F1621&lt;INDEX('Программа тренировок'!$E$6:$E$25,$M1621),"Ниже диапазона",IF(AND($F1621&gt;=INDEX('Программа тренировок'!$F$6:$F$25,$M1621),$G1621&gt;=INDEX('Программа тренировок'!$L$6:$L$25,$M1621)),"Верх диапазона: пора добавлять вес",IF($G1621&lt;INDEX('Программа тренировок'!$L$6:$L$25,$M1621),"RIR ниже цели","В диапазоне")))))</f>
        <v/>
      </c>
      <c r="M1621" s="23" t="str">
        <f aca="false">IF($C1621="","",IFERROR(MATCH($C1621,'Программа тренировок'!$C$6:$C$25,0),""))</f>
        <v/>
      </c>
    </row>
    <row r="1622" customFormat="false" ht="15" hidden="false" customHeight="true" outlineLevel="0" collapsed="false">
      <c r="A1622" s="20"/>
      <c r="B1622" s="21"/>
      <c r="C1622" s="19"/>
      <c r="D1622" s="18"/>
      <c r="E1622" s="17"/>
      <c r="F1622" s="18"/>
      <c r="G1622" s="18"/>
      <c r="H1622" s="21"/>
      <c r="I1622" s="19"/>
      <c r="J1622" s="8" t="str">
        <f aca="false">IF(OR(E1622="",F1622=""),"",E1622*F1622)</f>
        <v/>
      </c>
      <c r="K1622" s="22" t="str">
        <f aca="false">IF($M1622="","",INDEX('Программа тренировок'!$G$6:$G$25,$M1622))</f>
        <v/>
      </c>
      <c r="L1622" s="23" t="str">
        <f aca="false">IF(OR($M1622="",$F1622="",$G1622=""),"",IF($H1622="Разминка","Разминка",IF($F1622&lt;INDEX('Программа тренировок'!$E$6:$E$25,$M1622),"Ниже диапазона",IF(AND($F1622&gt;=INDEX('Программа тренировок'!$F$6:$F$25,$M1622),$G1622&gt;=INDEX('Программа тренировок'!$L$6:$L$25,$M1622)),"Верх диапазона: пора добавлять вес",IF($G1622&lt;INDEX('Программа тренировок'!$L$6:$L$25,$M1622),"RIR ниже цели","В диапазоне")))))</f>
        <v/>
      </c>
      <c r="M1622" s="23" t="str">
        <f aca="false">IF($C1622="","",IFERROR(MATCH($C1622,'Программа тренировок'!$C$6:$C$25,0),""))</f>
        <v/>
      </c>
    </row>
    <row r="1623" customFormat="false" ht="15" hidden="false" customHeight="true" outlineLevel="0" collapsed="false">
      <c r="A1623" s="20"/>
      <c r="B1623" s="21"/>
      <c r="C1623" s="19"/>
      <c r="D1623" s="18"/>
      <c r="E1623" s="17"/>
      <c r="F1623" s="18"/>
      <c r="G1623" s="18"/>
      <c r="H1623" s="21"/>
      <c r="I1623" s="19"/>
      <c r="J1623" s="8" t="str">
        <f aca="false">IF(OR(E1623="",F1623=""),"",E1623*F1623)</f>
        <v/>
      </c>
      <c r="K1623" s="22" t="str">
        <f aca="false">IF($M1623="","",INDEX('Программа тренировок'!$G$6:$G$25,$M1623))</f>
        <v/>
      </c>
      <c r="L1623" s="23" t="str">
        <f aca="false">IF(OR($M1623="",$F1623="",$G1623=""),"",IF($H1623="Разминка","Разминка",IF($F1623&lt;INDEX('Программа тренировок'!$E$6:$E$25,$M1623),"Ниже диапазона",IF(AND($F1623&gt;=INDEX('Программа тренировок'!$F$6:$F$25,$M1623),$G1623&gt;=INDEX('Программа тренировок'!$L$6:$L$25,$M1623)),"Верх диапазона: пора добавлять вес",IF($G1623&lt;INDEX('Программа тренировок'!$L$6:$L$25,$M1623),"RIR ниже цели","В диапазоне")))))</f>
        <v/>
      </c>
      <c r="M1623" s="23" t="str">
        <f aca="false">IF($C1623="","",IFERROR(MATCH($C1623,'Программа тренировок'!$C$6:$C$25,0),""))</f>
        <v/>
      </c>
    </row>
    <row r="1624" customFormat="false" ht="15" hidden="false" customHeight="true" outlineLevel="0" collapsed="false">
      <c r="A1624" s="20"/>
      <c r="B1624" s="21"/>
      <c r="C1624" s="19"/>
      <c r="D1624" s="18"/>
      <c r="E1624" s="17"/>
      <c r="F1624" s="18"/>
      <c r="G1624" s="18"/>
      <c r="H1624" s="21"/>
      <c r="I1624" s="19"/>
      <c r="J1624" s="8" t="str">
        <f aca="false">IF(OR(E1624="",F1624=""),"",E1624*F1624)</f>
        <v/>
      </c>
      <c r="K1624" s="22" t="str">
        <f aca="false">IF($M1624="","",INDEX('Программа тренировок'!$G$6:$G$25,$M1624))</f>
        <v/>
      </c>
      <c r="L1624" s="23" t="str">
        <f aca="false">IF(OR($M1624="",$F1624="",$G1624=""),"",IF($H1624="Разминка","Разминка",IF($F1624&lt;INDEX('Программа тренировок'!$E$6:$E$25,$M1624),"Ниже диапазона",IF(AND($F1624&gt;=INDEX('Программа тренировок'!$F$6:$F$25,$M1624),$G1624&gt;=INDEX('Программа тренировок'!$L$6:$L$25,$M1624)),"Верх диапазона: пора добавлять вес",IF($G1624&lt;INDEX('Программа тренировок'!$L$6:$L$25,$M1624),"RIR ниже цели","В диапазоне")))))</f>
        <v/>
      </c>
      <c r="M1624" s="23" t="str">
        <f aca="false">IF($C1624="","",IFERROR(MATCH($C1624,'Программа тренировок'!$C$6:$C$25,0),""))</f>
        <v/>
      </c>
    </row>
    <row r="1625" customFormat="false" ht="15" hidden="false" customHeight="true" outlineLevel="0" collapsed="false">
      <c r="A1625" s="20"/>
      <c r="B1625" s="21"/>
      <c r="C1625" s="19"/>
      <c r="D1625" s="18"/>
      <c r="E1625" s="17"/>
      <c r="F1625" s="18"/>
      <c r="G1625" s="18"/>
      <c r="H1625" s="21"/>
      <c r="I1625" s="19"/>
      <c r="J1625" s="8" t="str">
        <f aca="false">IF(OR(E1625="",F1625=""),"",E1625*F1625)</f>
        <v/>
      </c>
      <c r="K1625" s="22" t="str">
        <f aca="false">IF($M1625="","",INDEX('Программа тренировок'!$G$6:$G$25,$M1625))</f>
        <v/>
      </c>
      <c r="L1625" s="23" t="str">
        <f aca="false">IF(OR($M1625="",$F1625="",$G1625=""),"",IF($H1625="Разминка","Разминка",IF($F1625&lt;INDEX('Программа тренировок'!$E$6:$E$25,$M1625),"Ниже диапазона",IF(AND($F1625&gt;=INDEX('Программа тренировок'!$F$6:$F$25,$M1625),$G1625&gt;=INDEX('Программа тренировок'!$L$6:$L$25,$M1625)),"Верх диапазона: пора добавлять вес",IF($G1625&lt;INDEX('Программа тренировок'!$L$6:$L$25,$M1625),"RIR ниже цели","В диапазоне")))))</f>
        <v/>
      </c>
      <c r="M1625" s="23" t="str">
        <f aca="false">IF($C1625="","",IFERROR(MATCH($C1625,'Программа тренировок'!$C$6:$C$25,0),""))</f>
        <v/>
      </c>
    </row>
    <row r="1626" customFormat="false" ht="15" hidden="false" customHeight="true" outlineLevel="0" collapsed="false">
      <c r="A1626" s="20"/>
      <c r="B1626" s="21"/>
      <c r="C1626" s="19"/>
      <c r="D1626" s="18"/>
      <c r="E1626" s="17"/>
      <c r="F1626" s="18"/>
      <c r="G1626" s="18"/>
      <c r="H1626" s="21"/>
      <c r="I1626" s="19"/>
      <c r="J1626" s="8" t="str">
        <f aca="false">IF(OR(E1626="",F1626=""),"",E1626*F1626)</f>
        <v/>
      </c>
      <c r="K1626" s="22" t="str">
        <f aca="false">IF($M1626="","",INDEX('Программа тренировок'!$G$6:$G$25,$M1626))</f>
        <v/>
      </c>
      <c r="L1626" s="23" t="str">
        <f aca="false">IF(OR($M1626="",$F1626="",$G1626=""),"",IF($H1626="Разминка","Разминка",IF($F1626&lt;INDEX('Программа тренировок'!$E$6:$E$25,$M1626),"Ниже диапазона",IF(AND($F1626&gt;=INDEX('Программа тренировок'!$F$6:$F$25,$M1626),$G1626&gt;=INDEX('Программа тренировок'!$L$6:$L$25,$M1626)),"Верх диапазона: пора добавлять вес",IF($G1626&lt;INDEX('Программа тренировок'!$L$6:$L$25,$M1626),"RIR ниже цели","В диапазоне")))))</f>
        <v/>
      </c>
      <c r="M1626" s="23" t="str">
        <f aca="false">IF($C1626="","",IFERROR(MATCH($C1626,'Программа тренировок'!$C$6:$C$25,0),""))</f>
        <v/>
      </c>
    </row>
    <row r="1627" customFormat="false" ht="15" hidden="false" customHeight="true" outlineLevel="0" collapsed="false">
      <c r="A1627" s="20"/>
      <c r="B1627" s="21"/>
      <c r="C1627" s="19"/>
      <c r="D1627" s="18"/>
      <c r="E1627" s="17"/>
      <c r="F1627" s="18"/>
      <c r="G1627" s="18"/>
      <c r="H1627" s="21"/>
      <c r="I1627" s="19"/>
      <c r="J1627" s="8" t="str">
        <f aca="false">IF(OR(E1627="",F1627=""),"",E1627*F1627)</f>
        <v/>
      </c>
      <c r="K1627" s="22" t="str">
        <f aca="false">IF($M1627="","",INDEX('Программа тренировок'!$G$6:$G$25,$M1627))</f>
        <v/>
      </c>
      <c r="L1627" s="23" t="str">
        <f aca="false">IF(OR($M1627="",$F1627="",$G1627=""),"",IF($H1627="Разминка","Разминка",IF($F1627&lt;INDEX('Программа тренировок'!$E$6:$E$25,$M1627),"Ниже диапазона",IF(AND($F1627&gt;=INDEX('Программа тренировок'!$F$6:$F$25,$M1627),$G1627&gt;=INDEX('Программа тренировок'!$L$6:$L$25,$M1627)),"Верх диапазона: пора добавлять вес",IF($G1627&lt;INDEX('Программа тренировок'!$L$6:$L$25,$M1627),"RIR ниже цели","В диапазоне")))))</f>
        <v/>
      </c>
      <c r="M1627" s="23" t="str">
        <f aca="false">IF($C1627="","",IFERROR(MATCH($C1627,'Программа тренировок'!$C$6:$C$25,0),""))</f>
        <v/>
      </c>
    </row>
    <row r="1628" customFormat="false" ht="15" hidden="false" customHeight="true" outlineLevel="0" collapsed="false">
      <c r="A1628" s="20"/>
      <c r="B1628" s="21"/>
      <c r="C1628" s="19"/>
      <c r="D1628" s="18"/>
      <c r="E1628" s="17"/>
      <c r="F1628" s="18"/>
      <c r="G1628" s="18"/>
      <c r="H1628" s="21"/>
      <c r="I1628" s="19"/>
      <c r="J1628" s="8" t="str">
        <f aca="false">IF(OR(E1628="",F1628=""),"",E1628*F1628)</f>
        <v/>
      </c>
      <c r="K1628" s="22" t="str">
        <f aca="false">IF($M1628="","",INDEX('Программа тренировок'!$G$6:$G$25,$M1628))</f>
        <v/>
      </c>
      <c r="L1628" s="23" t="str">
        <f aca="false">IF(OR($M1628="",$F1628="",$G1628=""),"",IF($H1628="Разминка","Разминка",IF($F1628&lt;INDEX('Программа тренировок'!$E$6:$E$25,$M1628),"Ниже диапазона",IF(AND($F1628&gt;=INDEX('Программа тренировок'!$F$6:$F$25,$M1628),$G1628&gt;=INDEX('Программа тренировок'!$L$6:$L$25,$M1628)),"Верх диапазона: пора добавлять вес",IF($G1628&lt;INDEX('Программа тренировок'!$L$6:$L$25,$M1628),"RIR ниже цели","В диапазоне")))))</f>
        <v/>
      </c>
      <c r="M1628" s="23" t="str">
        <f aca="false">IF($C1628="","",IFERROR(MATCH($C1628,'Программа тренировок'!$C$6:$C$25,0),""))</f>
        <v/>
      </c>
    </row>
    <row r="1629" customFormat="false" ht="15" hidden="false" customHeight="true" outlineLevel="0" collapsed="false">
      <c r="A1629" s="20"/>
      <c r="B1629" s="21"/>
      <c r="C1629" s="19"/>
      <c r="D1629" s="18"/>
      <c r="E1629" s="17"/>
      <c r="F1629" s="18"/>
      <c r="G1629" s="18"/>
      <c r="H1629" s="21"/>
      <c r="I1629" s="19"/>
      <c r="J1629" s="8" t="str">
        <f aca="false">IF(OR(E1629="",F1629=""),"",E1629*F1629)</f>
        <v/>
      </c>
      <c r="K1629" s="22" t="str">
        <f aca="false">IF($M1629="","",INDEX('Программа тренировок'!$G$6:$G$25,$M1629))</f>
        <v/>
      </c>
      <c r="L1629" s="23" t="str">
        <f aca="false">IF(OR($M1629="",$F1629="",$G1629=""),"",IF($H1629="Разминка","Разминка",IF($F1629&lt;INDEX('Программа тренировок'!$E$6:$E$25,$M1629),"Ниже диапазона",IF(AND($F1629&gt;=INDEX('Программа тренировок'!$F$6:$F$25,$M1629),$G1629&gt;=INDEX('Программа тренировок'!$L$6:$L$25,$M1629)),"Верх диапазона: пора добавлять вес",IF($G1629&lt;INDEX('Программа тренировок'!$L$6:$L$25,$M1629),"RIR ниже цели","В диапазоне")))))</f>
        <v/>
      </c>
      <c r="M1629" s="23" t="str">
        <f aca="false">IF($C1629="","",IFERROR(MATCH($C1629,'Программа тренировок'!$C$6:$C$25,0),""))</f>
        <v/>
      </c>
    </row>
    <row r="1630" customFormat="false" ht="15" hidden="false" customHeight="true" outlineLevel="0" collapsed="false">
      <c r="A1630" s="20"/>
      <c r="B1630" s="21"/>
      <c r="C1630" s="19"/>
      <c r="D1630" s="18"/>
      <c r="E1630" s="17"/>
      <c r="F1630" s="18"/>
      <c r="G1630" s="18"/>
      <c r="H1630" s="21"/>
      <c r="I1630" s="19"/>
      <c r="J1630" s="8" t="str">
        <f aca="false">IF(OR(E1630="",F1630=""),"",E1630*F1630)</f>
        <v/>
      </c>
      <c r="K1630" s="22" t="str">
        <f aca="false">IF($M1630="","",INDEX('Программа тренировок'!$G$6:$G$25,$M1630))</f>
        <v/>
      </c>
      <c r="L1630" s="23" t="str">
        <f aca="false">IF(OR($M1630="",$F1630="",$G1630=""),"",IF($H1630="Разминка","Разминка",IF($F1630&lt;INDEX('Программа тренировок'!$E$6:$E$25,$M1630),"Ниже диапазона",IF(AND($F1630&gt;=INDEX('Программа тренировок'!$F$6:$F$25,$M1630),$G1630&gt;=INDEX('Программа тренировок'!$L$6:$L$25,$M1630)),"Верх диапазона: пора добавлять вес",IF($G1630&lt;INDEX('Программа тренировок'!$L$6:$L$25,$M1630),"RIR ниже цели","В диапазоне")))))</f>
        <v/>
      </c>
      <c r="M1630" s="23" t="str">
        <f aca="false">IF($C1630="","",IFERROR(MATCH($C1630,'Программа тренировок'!$C$6:$C$25,0),""))</f>
        <v/>
      </c>
    </row>
    <row r="1631" customFormat="false" ht="15" hidden="false" customHeight="true" outlineLevel="0" collapsed="false">
      <c r="A1631" s="20"/>
      <c r="B1631" s="21"/>
      <c r="C1631" s="19"/>
      <c r="D1631" s="18"/>
      <c r="E1631" s="17"/>
      <c r="F1631" s="18"/>
      <c r="G1631" s="18"/>
      <c r="H1631" s="21"/>
      <c r="I1631" s="19"/>
      <c r="J1631" s="8" t="str">
        <f aca="false">IF(OR(E1631="",F1631=""),"",E1631*F1631)</f>
        <v/>
      </c>
      <c r="K1631" s="22" t="str">
        <f aca="false">IF($M1631="","",INDEX('Программа тренировок'!$G$6:$G$25,$M1631))</f>
        <v/>
      </c>
      <c r="L1631" s="23" t="str">
        <f aca="false">IF(OR($M1631="",$F1631="",$G1631=""),"",IF($H1631="Разминка","Разминка",IF($F1631&lt;INDEX('Программа тренировок'!$E$6:$E$25,$M1631),"Ниже диапазона",IF(AND($F1631&gt;=INDEX('Программа тренировок'!$F$6:$F$25,$M1631),$G1631&gt;=INDEX('Программа тренировок'!$L$6:$L$25,$M1631)),"Верх диапазона: пора добавлять вес",IF($G1631&lt;INDEX('Программа тренировок'!$L$6:$L$25,$M1631),"RIR ниже цели","В диапазоне")))))</f>
        <v/>
      </c>
      <c r="M1631" s="23" t="str">
        <f aca="false">IF($C1631="","",IFERROR(MATCH($C1631,'Программа тренировок'!$C$6:$C$25,0),""))</f>
        <v/>
      </c>
    </row>
    <row r="1632" customFormat="false" ht="15" hidden="false" customHeight="true" outlineLevel="0" collapsed="false">
      <c r="A1632" s="20"/>
      <c r="B1632" s="21"/>
      <c r="C1632" s="19"/>
      <c r="D1632" s="18"/>
      <c r="E1632" s="17"/>
      <c r="F1632" s="18"/>
      <c r="G1632" s="18"/>
      <c r="H1632" s="21"/>
      <c r="I1632" s="19"/>
      <c r="J1632" s="8" t="str">
        <f aca="false">IF(OR(E1632="",F1632=""),"",E1632*F1632)</f>
        <v/>
      </c>
      <c r="K1632" s="22" t="str">
        <f aca="false">IF($M1632="","",INDEX('Программа тренировок'!$G$6:$G$25,$M1632))</f>
        <v/>
      </c>
      <c r="L1632" s="23" t="str">
        <f aca="false">IF(OR($M1632="",$F1632="",$G1632=""),"",IF($H1632="Разминка","Разминка",IF($F1632&lt;INDEX('Программа тренировок'!$E$6:$E$25,$M1632),"Ниже диапазона",IF(AND($F1632&gt;=INDEX('Программа тренировок'!$F$6:$F$25,$M1632),$G1632&gt;=INDEX('Программа тренировок'!$L$6:$L$25,$M1632)),"Верх диапазона: пора добавлять вес",IF($G1632&lt;INDEX('Программа тренировок'!$L$6:$L$25,$M1632),"RIR ниже цели","В диапазоне")))))</f>
        <v/>
      </c>
      <c r="M1632" s="23" t="str">
        <f aca="false">IF($C1632="","",IFERROR(MATCH($C1632,'Программа тренировок'!$C$6:$C$25,0),""))</f>
        <v/>
      </c>
    </row>
    <row r="1633" customFormat="false" ht="15" hidden="false" customHeight="true" outlineLevel="0" collapsed="false">
      <c r="A1633" s="20"/>
      <c r="B1633" s="21"/>
      <c r="C1633" s="19"/>
      <c r="D1633" s="18"/>
      <c r="E1633" s="17"/>
      <c r="F1633" s="18"/>
      <c r="G1633" s="18"/>
      <c r="H1633" s="21"/>
      <c r="I1633" s="19"/>
      <c r="J1633" s="8" t="str">
        <f aca="false">IF(OR(E1633="",F1633=""),"",E1633*F1633)</f>
        <v/>
      </c>
      <c r="K1633" s="22" t="str">
        <f aca="false">IF($M1633="","",INDEX('Программа тренировок'!$G$6:$G$25,$M1633))</f>
        <v/>
      </c>
      <c r="L1633" s="23" t="str">
        <f aca="false">IF(OR($M1633="",$F1633="",$G1633=""),"",IF($H1633="Разминка","Разминка",IF($F1633&lt;INDEX('Программа тренировок'!$E$6:$E$25,$M1633),"Ниже диапазона",IF(AND($F1633&gt;=INDEX('Программа тренировок'!$F$6:$F$25,$M1633),$G1633&gt;=INDEX('Программа тренировок'!$L$6:$L$25,$M1633)),"Верх диапазона: пора добавлять вес",IF($G1633&lt;INDEX('Программа тренировок'!$L$6:$L$25,$M1633),"RIR ниже цели","В диапазоне")))))</f>
        <v/>
      </c>
      <c r="M1633" s="23" t="str">
        <f aca="false">IF($C1633="","",IFERROR(MATCH($C1633,'Программа тренировок'!$C$6:$C$25,0),""))</f>
        <v/>
      </c>
    </row>
    <row r="1634" customFormat="false" ht="15" hidden="false" customHeight="true" outlineLevel="0" collapsed="false">
      <c r="A1634" s="20"/>
      <c r="B1634" s="21"/>
      <c r="C1634" s="19"/>
      <c r="D1634" s="18"/>
      <c r="E1634" s="17"/>
      <c r="F1634" s="18"/>
      <c r="G1634" s="18"/>
      <c r="H1634" s="21"/>
      <c r="I1634" s="19"/>
      <c r="J1634" s="8" t="str">
        <f aca="false">IF(OR(E1634="",F1634=""),"",E1634*F1634)</f>
        <v/>
      </c>
      <c r="K1634" s="22" t="str">
        <f aca="false">IF($M1634="","",INDEX('Программа тренировок'!$G$6:$G$25,$M1634))</f>
        <v/>
      </c>
      <c r="L1634" s="23" t="str">
        <f aca="false">IF(OR($M1634="",$F1634="",$G1634=""),"",IF($H1634="Разминка","Разминка",IF($F1634&lt;INDEX('Программа тренировок'!$E$6:$E$25,$M1634),"Ниже диапазона",IF(AND($F1634&gt;=INDEX('Программа тренировок'!$F$6:$F$25,$M1634),$G1634&gt;=INDEX('Программа тренировок'!$L$6:$L$25,$M1634)),"Верх диапазона: пора добавлять вес",IF($G1634&lt;INDEX('Программа тренировок'!$L$6:$L$25,$M1634),"RIR ниже цели","В диапазоне")))))</f>
        <v/>
      </c>
      <c r="M1634" s="23" t="str">
        <f aca="false">IF($C1634="","",IFERROR(MATCH($C1634,'Программа тренировок'!$C$6:$C$25,0),""))</f>
        <v/>
      </c>
    </row>
    <row r="1635" customFormat="false" ht="15" hidden="false" customHeight="true" outlineLevel="0" collapsed="false">
      <c r="A1635" s="20"/>
      <c r="B1635" s="21"/>
      <c r="C1635" s="19"/>
      <c r="D1635" s="18"/>
      <c r="E1635" s="17"/>
      <c r="F1635" s="18"/>
      <c r="G1635" s="18"/>
      <c r="H1635" s="21"/>
      <c r="I1635" s="19"/>
      <c r="J1635" s="8" t="str">
        <f aca="false">IF(OR(E1635="",F1635=""),"",E1635*F1635)</f>
        <v/>
      </c>
      <c r="K1635" s="22" t="str">
        <f aca="false">IF($M1635="","",INDEX('Программа тренировок'!$G$6:$G$25,$M1635))</f>
        <v/>
      </c>
      <c r="L1635" s="23" t="str">
        <f aca="false">IF(OR($M1635="",$F1635="",$G1635=""),"",IF($H1635="Разминка","Разминка",IF($F1635&lt;INDEX('Программа тренировок'!$E$6:$E$25,$M1635),"Ниже диапазона",IF(AND($F1635&gt;=INDEX('Программа тренировок'!$F$6:$F$25,$M1635),$G1635&gt;=INDEX('Программа тренировок'!$L$6:$L$25,$M1635)),"Верх диапазона: пора добавлять вес",IF($G1635&lt;INDEX('Программа тренировок'!$L$6:$L$25,$M1635),"RIR ниже цели","В диапазоне")))))</f>
        <v/>
      </c>
      <c r="M1635" s="23" t="str">
        <f aca="false">IF($C1635="","",IFERROR(MATCH($C1635,'Программа тренировок'!$C$6:$C$25,0),""))</f>
        <v/>
      </c>
    </row>
    <row r="1636" customFormat="false" ht="15" hidden="false" customHeight="true" outlineLevel="0" collapsed="false">
      <c r="A1636" s="20"/>
      <c r="B1636" s="21"/>
      <c r="C1636" s="19"/>
      <c r="D1636" s="18"/>
      <c r="E1636" s="17"/>
      <c r="F1636" s="18"/>
      <c r="G1636" s="18"/>
      <c r="H1636" s="21"/>
      <c r="I1636" s="19"/>
      <c r="J1636" s="8" t="str">
        <f aca="false">IF(OR(E1636="",F1636=""),"",E1636*F1636)</f>
        <v/>
      </c>
      <c r="K1636" s="22" t="str">
        <f aca="false">IF($M1636="","",INDEX('Программа тренировок'!$G$6:$G$25,$M1636))</f>
        <v/>
      </c>
      <c r="L1636" s="23" t="str">
        <f aca="false">IF(OR($M1636="",$F1636="",$G1636=""),"",IF($H1636="Разминка","Разминка",IF($F1636&lt;INDEX('Программа тренировок'!$E$6:$E$25,$M1636),"Ниже диапазона",IF(AND($F1636&gt;=INDEX('Программа тренировок'!$F$6:$F$25,$M1636),$G1636&gt;=INDEX('Программа тренировок'!$L$6:$L$25,$M1636)),"Верх диапазона: пора добавлять вес",IF($G1636&lt;INDEX('Программа тренировок'!$L$6:$L$25,$M1636),"RIR ниже цели","В диапазоне")))))</f>
        <v/>
      </c>
      <c r="M1636" s="23" t="str">
        <f aca="false">IF($C1636="","",IFERROR(MATCH($C1636,'Программа тренировок'!$C$6:$C$25,0),""))</f>
        <v/>
      </c>
    </row>
    <row r="1637" customFormat="false" ht="15" hidden="false" customHeight="true" outlineLevel="0" collapsed="false">
      <c r="A1637" s="20"/>
      <c r="B1637" s="21"/>
      <c r="C1637" s="19"/>
      <c r="D1637" s="18"/>
      <c r="E1637" s="17"/>
      <c r="F1637" s="18"/>
      <c r="G1637" s="18"/>
      <c r="H1637" s="21"/>
      <c r="I1637" s="19"/>
      <c r="J1637" s="8" t="str">
        <f aca="false">IF(OR(E1637="",F1637=""),"",E1637*F1637)</f>
        <v/>
      </c>
      <c r="K1637" s="22" t="str">
        <f aca="false">IF($M1637="","",INDEX('Программа тренировок'!$G$6:$G$25,$M1637))</f>
        <v/>
      </c>
      <c r="L1637" s="23" t="str">
        <f aca="false">IF(OR($M1637="",$F1637="",$G1637=""),"",IF($H1637="Разминка","Разминка",IF($F1637&lt;INDEX('Программа тренировок'!$E$6:$E$25,$M1637),"Ниже диапазона",IF(AND($F1637&gt;=INDEX('Программа тренировок'!$F$6:$F$25,$M1637),$G1637&gt;=INDEX('Программа тренировок'!$L$6:$L$25,$M1637)),"Верх диапазона: пора добавлять вес",IF($G1637&lt;INDEX('Программа тренировок'!$L$6:$L$25,$M1637),"RIR ниже цели","В диапазоне")))))</f>
        <v/>
      </c>
      <c r="M1637" s="23" t="str">
        <f aca="false">IF($C1637="","",IFERROR(MATCH($C1637,'Программа тренировок'!$C$6:$C$25,0),""))</f>
        <v/>
      </c>
    </row>
    <row r="1638" customFormat="false" ht="15" hidden="false" customHeight="true" outlineLevel="0" collapsed="false">
      <c r="A1638" s="20"/>
      <c r="B1638" s="21"/>
      <c r="C1638" s="19"/>
      <c r="D1638" s="18"/>
      <c r="E1638" s="17"/>
      <c r="F1638" s="18"/>
      <c r="G1638" s="18"/>
      <c r="H1638" s="21"/>
      <c r="I1638" s="19"/>
      <c r="J1638" s="8" t="str">
        <f aca="false">IF(OR(E1638="",F1638=""),"",E1638*F1638)</f>
        <v/>
      </c>
      <c r="K1638" s="22" t="str">
        <f aca="false">IF($M1638="","",INDEX('Программа тренировок'!$G$6:$G$25,$M1638))</f>
        <v/>
      </c>
      <c r="L1638" s="23" t="str">
        <f aca="false">IF(OR($M1638="",$F1638="",$G1638=""),"",IF($H1638="Разминка","Разминка",IF($F1638&lt;INDEX('Программа тренировок'!$E$6:$E$25,$M1638),"Ниже диапазона",IF(AND($F1638&gt;=INDEX('Программа тренировок'!$F$6:$F$25,$M1638),$G1638&gt;=INDEX('Программа тренировок'!$L$6:$L$25,$M1638)),"Верх диапазона: пора добавлять вес",IF($G1638&lt;INDEX('Программа тренировок'!$L$6:$L$25,$M1638),"RIR ниже цели","В диапазоне")))))</f>
        <v/>
      </c>
      <c r="M1638" s="23" t="str">
        <f aca="false">IF($C1638="","",IFERROR(MATCH($C1638,'Программа тренировок'!$C$6:$C$25,0),""))</f>
        <v/>
      </c>
    </row>
    <row r="1639" customFormat="false" ht="15" hidden="false" customHeight="true" outlineLevel="0" collapsed="false">
      <c r="A1639" s="20"/>
      <c r="B1639" s="21"/>
      <c r="C1639" s="19"/>
      <c r="D1639" s="18"/>
      <c r="E1639" s="17"/>
      <c r="F1639" s="18"/>
      <c r="G1639" s="18"/>
      <c r="H1639" s="21"/>
      <c r="I1639" s="19"/>
      <c r="J1639" s="8" t="str">
        <f aca="false">IF(OR(E1639="",F1639=""),"",E1639*F1639)</f>
        <v/>
      </c>
      <c r="K1639" s="22" t="str">
        <f aca="false">IF($M1639="","",INDEX('Программа тренировок'!$G$6:$G$25,$M1639))</f>
        <v/>
      </c>
      <c r="L1639" s="23" t="str">
        <f aca="false">IF(OR($M1639="",$F1639="",$G1639=""),"",IF($H1639="Разминка","Разминка",IF($F1639&lt;INDEX('Программа тренировок'!$E$6:$E$25,$M1639),"Ниже диапазона",IF(AND($F1639&gt;=INDEX('Программа тренировок'!$F$6:$F$25,$M1639),$G1639&gt;=INDEX('Программа тренировок'!$L$6:$L$25,$M1639)),"Верх диапазона: пора добавлять вес",IF($G1639&lt;INDEX('Программа тренировок'!$L$6:$L$25,$M1639),"RIR ниже цели","В диапазоне")))))</f>
        <v/>
      </c>
      <c r="M1639" s="23" t="str">
        <f aca="false">IF($C1639="","",IFERROR(MATCH($C1639,'Программа тренировок'!$C$6:$C$25,0),""))</f>
        <v/>
      </c>
    </row>
    <row r="1640" customFormat="false" ht="15" hidden="false" customHeight="true" outlineLevel="0" collapsed="false">
      <c r="A1640" s="20"/>
      <c r="B1640" s="21"/>
      <c r="C1640" s="19"/>
      <c r="D1640" s="18"/>
      <c r="E1640" s="17"/>
      <c r="F1640" s="18"/>
      <c r="G1640" s="18"/>
      <c r="H1640" s="21"/>
      <c r="I1640" s="19"/>
      <c r="J1640" s="8" t="str">
        <f aca="false">IF(OR(E1640="",F1640=""),"",E1640*F1640)</f>
        <v/>
      </c>
      <c r="K1640" s="22" t="str">
        <f aca="false">IF($M1640="","",INDEX('Программа тренировок'!$G$6:$G$25,$M1640))</f>
        <v/>
      </c>
      <c r="L1640" s="23" t="str">
        <f aca="false">IF(OR($M1640="",$F1640="",$G1640=""),"",IF($H1640="Разминка","Разминка",IF($F1640&lt;INDEX('Программа тренировок'!$E$6:$E$25,$M1640),"Ниже диапазона",IF(AND($F1640&gt;=INDEX('Программа тренировок'!$F$6:$F$25,$M1640),$G1640&gt;=INDEX('Программа тренировок'!$L$6:$L$25,$M1640)),"Верх диапазона: пора добавлять вес",IF($G1640&lt;INDEX('Программа тренировок'!$L$6:$L$25,$M1640),"RIR ниже цели","В диапазоне")))))</f>
        <v/>
      </c>
      <c r="M1640" s="23" t="str">
        <f aca="false">IF($C1640="","",IFERROR(MATCH($C1640,'Программа тренировок'!$C$6:$C$25,0),""))</f>
        <v/>
      </c>
    </row>
    <row r="1641" customFormat="false" ht="15" hidden="false" customHeight="true" outlineLevel="0" collapsed="false">
      <c r="A1641" s="20"/>
      <c r="B1641" s="21"/>
      <c r="C1641" s="19"/>
      <c r="D1641" s="18"/>
      <c r="E1641" s="17"/>
      <c r="F1641" s="18"/>
      <c r="G1641" s="18"/>
      <c r="H1641" s="21"/>
      <c r="I1641" s="19"/>
      <c r="J1641" s="8" t="str">
        <f aca="false">IF(OR(E1641="",F1641=""),"",E1641*F1641)</f>
        <v/>
      </c>
      <c r="K1641" s="22" t="str">
        <f aca="false">IF($M1641="","",INDEX('Программа тренировок'!$G$6:$G$25,$M1641))</f>
        <v/>
      </c>
      <c r="L1641" s="23" t="str">
        <f aca="false">IF(OR($M1641="",$F1641="",$G1641=""),"",IF($H1641="Разминка","Разминка",IF($F1641&lt;INDEX('Программа тренировок'!$E$6:$E$25,$M1641),"Ниже диапазона",IF(AND($F1641&gt;=INDEX('Программа тренировок'!$F$6:$F$25,$M1641),$G1641&gt;=INDEX('Программа тренировок'!$L$6:$L$25,$M1641)),"Верх диапазона: пора добавлять вес",IF($G1641&lt;INDEX('Программа тренировок'!$L$6:$L$25,$M1641),"RIR ниже цели","В диапазоне")))))</f>
        <v/>
      </c>
      <c r="M1641" s="23" t="str">
        <f aca="false">IF($C1641="","",IFERROR(MATCH($C1641,'Программа тренировок'!$C$6:$C$25,0),""))</f>
        <v/>
      </c>
    </row>
    <row r="1642" customFormat="false" ht="15" hidden="false" customHeight="true" outlineLevel="0" collapsed="false">
      <c r="A1642" s="20"/>
      <c r="B1642" s="21"/>
      <c r="C1642" s="19"/>
      <c r="D1642" s="18"/>
      <c r="E1642" s="17"/>
      <c r="F1642" s="18"/>
      <c r="G1642" s="18"/>
      <c r="H1642" s="21"/>
      <c r="I1642" s="19"/>
      <c r="J1642" s="8" t="str">
        <f aca="false">IF(OR(E1642="",F1642=""),"",E1642*F1642)</f>
        <v/>
      </c>
      <c r="K1642" s="22" t="str">
        <f aca="false">IF($M1642="","",INDEX('Программа тренировок'!$G$6:$G$25,$M1642))</f>
        <v/>
      </c>
      <c r="L1642" s="23" t="str">
        <f aca="false">IF(OR($M1642="",$F1642="",$G1642=""),"",IF($H1642="Разминка","Разминка",IF($F1642&lt;INDEX('Программа тренировок'!$E$6:$E$25,$M1642),"Ниже диапазона",IF(AND($F1642&gt;=INDEX('Программа тренировок'!$F$6:$F$25,$M1642),$G1642&gt;=INDEX('Программа тренировок'!$L$6:$L$25,$M1642)),"Верх диапазона: пора добавлять вес",IF($G1642&lt;INDEX('Программа тренировок'!$L$6:$L$25,$M1642),"RIR ниже цели","В диапазоне")))))</f>
        <v/>
      </c>
      <c r="M1642" s="23" t="str">
        <f aca="false">IF($C1642="","",IFERROR(MATCH($C1642,'Программа тренировок'!$C$6:$C$25,0),""))</f>
        <v/>
      </c>
    </row>
    <row r="1643" customFormat="false" ht="15" hidden="false" customHeight="true" outlineLevel="0" collapsed="false">
      <c r="A1643" s="20"/>
      <c r="B1643" s="21"/>
      <c r="C1643" s="19"/>
      <c r="D1643" s="18"/>
      <c r="E1643" s="17"/>
      <c r="F1643" s="18"/>
      <c r="G1643" s="18"/>
      <c r="H1643" s="21"/>
      <c r="I1643" s="19"/>
      <c r="J1643" s="8" t="str">
        <f aca="false">IF(OR(E1643="",F1643=""),"",E1643*F1643)</f>
        <v/>
      </c>
      <c r="K1643" s="22" t="str">
        <f aca="false">IF($M1643="","",INDEX('Программа тренировок'!$G$6:$G$25,$M1643))</f>
        <v/>
      </c>
      <c r="L1643" s="23" t="str">
        <f aca="false">IF(OR($M1643="",$F1643="",$G1643=""),"",IF($H1643="Разминка","Разминка",IF($F1643&lt;INDEX('Программа тренировок'!$E$6:$E$25,$M1643),"Ниже диапазона",IF(AND($F1643&gt;=INDEX('Программа тренировок'!$F$6:$F$25,$M1643),$G1643&gt;=INDEX('Программа тренировок'!$L$6:$L$25,$M1643)),"Верх диапазона: пора добавлять вес",IF($G1643&lt;INDEX('Программа тренировок'!$L$6:$L$25,$M1643),"RIR ниже цели","В диапазоне")))))</f>
        <v/>
      </c>
      <c r="M1643" s="23" t="str">
        <f aca="false">IF($C1643="","",IFERROR(MATCH($C1643,'Программа тренировок'!$C$6:$C$25,0),""))</f>
        <v/>
      </c>
    </row>
    <row r="1644" customFormat="false" ht="15" hidden="false" customHeight="true" outlineLevel="0" collapsed="false">
      <c r="A1644" s="20"/>
      <c r="B1644" s="21"/>
      <c r="C1644" s="19"/>
      <c r="D1644" s="18"/>
      <c r="E1644" s="17"/>
      <c r="F1644" s="18"/>
      <c r="G1644" s="18"/>
      <c r="H1644" s="21"/>
      <c r="I1644" s="19"/>
      <c r="J1644" s="8" t="str">
        <f aca="false">IF(OR(E1644="",F1644=""),"",E1644*F1644)</f>
        <v/>
      </c>
      <c r="K1644" s="22" t="str">
        <f aca="false">IF($M1644="","",INDEX('Программа тренировок'!$G$6:$G$25,$M1644))</f>
        <v/>
      </c>
      <c r="L1644" s="23" t="str">
        <f aca="false">IF(OR($M1644="",$F1644="",$G1644=""),"",IF($H1644="Разминка","Разминка",IF($F1644&lt;INDEX('Программа тренировок'!$E$6:$E$25,$M1644),"Ниже диапазона",IF(AND($F1644&gt;=INDEX('Программа тренировок'!$F$6:$F$25,$M1644),$G1644&gt;=INDEX('Программа тренировок'!$L$6:$L$25,$M1644)),"Верх диапазона: пора добавлять вес",IF($G1644&lt;INDEX('Программа тренировок'!$L$6:$L$25,$M1644),"RIR ниже цели","В диапазоне")))))</f>
        <v/>
      </c>
      <c r="M1644" s="23" t="str">
        <f aca="false">IF($C1644="","",IFERROR(MATCH($C1644,'Программа тренировок'!$C$6:$C$25,0),""))</f>
        <v/>
      </c>
    </row>
    <row r="1645" customFormat="false" ht="15" hidden="false" customHeight="true" outlineLevel="0" collapsed="false">
      <c r="A1645" s="20"/>
      <c r="B1645" s="21"/>
      <c r="C1645" s="19"/>
      <c r="D1645" s="18"/>
      <c r="E1645" s="17"/>
      <c r="F1645" s="18"/>
      <c r="G1645" s="18"/>
      <c r="H1645" s="21"/>
      <c r="I1645" s="19"/>
      <c r="J1645" s="8" t="str">
        <f aca="false">IF(OR(E1645="",F1645=""),"",E1645*F1645)</f>
        <v/>
      </c>
      <c r="K1645" s="22" t="str">
        <f aca="false">IF($M1645="","",INDEX('Программа тренировок'!$G$6:$G$25,$M1645))</f>
        <v/>
      </c>
      <c r="L1645" s="23" t="str">
        <f aca="false">IF(OR($M1645="",$F1645="",$G1645=""),"",IF($H1645="Разминка","Разминка",IF($F1645&lt;INDEX('Программа тренировок'!$E$6:$E$25,$M1645),"Ниже диапазона",IF(AND($F1645&gt;=INDEX('Программа тренировок'!$F$6:$F$25,$M1645),$G1645&gt;=INDEX('Программа тренировок'!$L$6:$L$25,$M1645)),"Верх диапазона: пора добавлять вес",IF($G1645&lt;INDEX('Программа тренировок'!$L$6:$L$25,$M1645),"RIR ниже цели","В диапазоне")))))</f>
        <v/>
      </c>
      <c r="M1645" s="23" t="str">
        <f aca="false">IF($C1645="","",IFERROR(MATCH($C1645,'Программа тренировок'!$C$6:$C$25,0),""))</f>
        <v/>
      </c>
    </row>
    <row r="1646" customFormat="false" ht="15" hidden="false" customHeight="true" outlineLevel="0" collapsed="false">
      <c r="A1646" s="20"/>
      <c r="B1646" s="21"/>
      <c r="C1646" s="19"/>
      <c r="D1646" s="18"/>
      <c r="E1646" s="17"/>
      <c r="F1646" s="18"/>
      <c r="G1646" s="18"/>
      <c r="H1646" s="21"/>
      <c r="I1646" s="19"/>
      <c r="J1646" s="8" t="str">
        <f aca="false">IF(OR(E1646="",F1646=""),"",E1646*F1646)</f>
        <v/>
      </c>
      <c r="K1646" s="22" t="str">
        <f aca="false">IF($M1646="","",INDEX('Программа тренировок'!$G$6:$G$25,$M1646))</f>
        <v/>
      </c>
      <c r="L1646" s="23" t="str">
        <f aca="false">IF(OR($M1646="",$F1646="",$G1646=""),"",IF($H1646="Разминка","Разминка",IF($F1646&lt;INDEX('Программа тренировок'!$E$6:$E$25,$M1646),"Ниже диапазона",IF(AND($F1646&gt;=INDEX('Программа тренировок'!$F$6:$F$25,$M1646),$G1646&gt;=INDEX('Программа тренировок'!$L$6:$L$25,$M1646)),"Верх диапазона: пора добавлять вес",IF($G1646&lt;INDEX('Программа тренировок'!$L$6:$L$25,$M1646),"RIR ниже цели","В диапазоне")))))</f>
        <v/>
      </c>
      <c r="M1646" s="23" t="str">
        <f aca="false">IF($C1646="","",IFERROR(MATCH($C1646,'Программа тренировок'!$C$6:$C$25,0),""))</f>
        <v/>
      </c>
    </row>
    <row r="1647" customFormat="false" ht="15" hidden="false" customHeight="true" outlineLevel="0" collapsed="false">
      <c r="A1647" s="20"/>
      <c r="B1647" s="21"/>
      <c r="C1647" s="19"/>
      <c r="D1647" s="18"/>
      <c r="E1647" s="17"/>
      <c r="F1647" s="18"/>
      <c r="G1647" s="18"/>
      <c r="H1647" s="21"/>
      <c r="I1647" s="19"/>
      <c r="J1647" s="8" t="str">
        <f aca="false">IF(OR(E1647="",F1647=""),"",E1647*F1647)</f>
        <v/>
      </c>
      <c r="K1647" s="22" t="str">
        <f aca="false">IF($M1647="","",INDEX('Программа тренировок'!$G$6:$G$25,$M1647))</f>
        <v/>
      </c>
      <c r="L1647" s="23" t="str">
        <f aca="false">IF(OR($M1647="",$F1647="",$G1647=""),"",IF($H1647="Разминка","Разминка",IF($F1647&lt;INDEX('Программа тренировок'!$E$6:$E$25,$M1647),"Ниже диапазона",IF(AND($F1647&gt;=INDEX('Программа тренировок'!$F$6:$F$25,$M1647),$G1647&gt;=INDEX('Программа тренировок'!$L$6:$L$25,$M1647)),"Верх диапазона: пора добавлять вес",IF($G1647&lt;INDEX('Программа тренировок'!$L$6:$L$25,$M1647),"RIR ниже цели","В диапазоне")))))</f>
        <v/>
      </c>
      <c r="M1647" s="23" t="str">
        <f aca="false">IF($C1647="","",IFERROR(MATCH($C1647,'Программа тренировок'!$C$6:$C$25,0),""))</f>
        <v/>
      </c>
    </row>
    <row r="1648" customFormat="false" ht="15" hidden="false" customHeight="true" outlineLevel="0" collapsed="false">
      <c r="A1648" s="20"/>
      <c r="B1648" s="21"/>
      <c r="C1648" s="19"/>
      <c r="D1648" s="18"/>
      <c r="E1648" s="17"/>
      <c r="F1648" s="18"/>
      <c r="G1648" s="18"/>
      <c r="H1648" s="21"/>
      <c r="I1648" s="19"/>
      <c r="J1648" s="8" t="str">
        <f aca="false">IF(OR(E1648="",F1648=""),"",E1648*F1648)</f>
        <v/>
      </c>
      <c r="K1648" s="22" t="str">
        <f aca="false">IF($M1648="","",INDEX('Программа тренировок'!$G$6:$G$25,$M1648))</f>
        <v/>
      </c>
      <c r="L1648" s="23" t="str">
        <f aca="false">IF(OR($M1648="",$F1648="",$G1648=""),"",IF($H1648="Разминка","Разминка",IF($F1648&lt;INDEX('Программа тренировок'!$E$6:$E$25,$M1648),"Ниже диапазона",IF(AND($F1648&gt;=INDEX('Программа тренировок'!$F$6:$F$25,$M1648),$G1648&gt;=INDEX('Программа тренировок'!$L$6:$L$25,$M1648)),"Верх диапазона: пора добавлять вес",IF($G1648&lt;INDEX('Программа тренировок'!$L$6:$L$25,$M1648),"RIR ниже цели","В диапазоне")))))</f>
        <v/>
      </c>
      <c r="M1648" s="23" t="str">
        <f aca="false">IF($C1648="","",IFERROR(MATCH($C1648,'Программа тренировок'!$C$6:$C$25,0),""))</f>
        <v/>
      </c>
    </row>
    <row r="1649" customFormat="false" ht="15" hidden="false" customHeight="true" outlineLevel="0" collapsed="false">
      <c r="A1649" s="20"/>
      <c r="B1649" s="21"/>
      <c r="C1649" s="19"/>
      <c r="D1649" s="18"/>
      <c r="E1649" s="17"/>
      <c r="F1649" s="18"/>
      <c r="G1649" s="18"/>
      <c r="H1649" s="21"/>
      <c r="I1649" s="19"/>
      <c r="J1649" s="8" t="str">
        <f aca="false">IF(OR(E1649="",F1649=""),"",E1649*F1649)</f>
        <v/>
      </c>
      <c r="K1649" s="22" t="str">
        <f aca="false">IF($M1649="","",INDEX('Программа тренировок'!$G$6:$G$25,$M1649))</f>
        <v/>
      </c>
      <c r="L1649" s="23" t="str">
        <f aca="false">IF(OR($M1649="",$F1649="",$G1649=""),"",IF($H1649="Разминка","Разминка",IF($F1649&lt;INDEX('Программа тренировок'!$E$6:$E$25,$M1649),"Ниже диапазона",IF(AND($F1649&gt;=INDEX('Программа тренировок'!$F$6:$F$25,$M1649),$G1649&gt;=INDEX('Программа тренировок'!$L$6:$L$25,$M1649)),"Верх диапазона: пора добавлять вес",IF($G1649&lt;INDEX('Программа тренировок'!$L$6:$L$25,$M1649),"RIR ниже цели","В диапазоне")))))</f>
        <v/>
      </c>
      <c r="M1649" s="23" t="str">
        <f aca="false">IF($C1649="","",IFERROR(MATCH($C1649,'Программа тренировок'!$C$6:$C$25,0),""))</f>
        <v/>
      </c>
    </row>
    <row r="1650" customFormat="false" ht="15" hidden="false" customHeight="true" outlineLevel="0" collapsed="false">
      <c r="A1650" s="20"/>
      <c r="B1650" s="21"/>
      <c r="C1650" s="19"/>
      <c r="D1650" s="18"/>
      <c r="E1650" s="17"/>
      <c r="F1650" s="18"/>
      <c r="G1650" s="18"/>
      <c r="H1650" s="21"/>
      <c r="I1650" s="19"/>
      <c r="J1650" s="8" t="str">
        <f aca="false">IF(OR(E1650="",F1650=""),"",E1650*F1650)</f>
        <v/>
      </c>
      <c r="K1650" s="22" t="str">
        <f aca="false">IF($M1650="","",INDEX('Программа тренировок'!$G$6:$G$25,$M1650))</f>
        <v/>
      </c>
      <c r="L1650" s="23" t="str">
        <f aca="false">IF(OR($M1650="",$F1650="",$G1650=""),"",IF($H1650="Разминка","Разминка",IF($F1650&lt;INDEX('Программа тренировок'!$E$6:$E$25,$M1650),"Ниже диапазона",IF(AND($F1650&gt;=INDEX('Программа тренировок'!$F$6:$F$25,$M1650),$G1650&gt;=INDEX('Программа тренировок'!$L$6:$L$25,$M1650)),"Верх диапазона: пора добавлять вес",IF($G1650&lt;INDEX('Программа тренировок'!$L$6:$L$25,$M1650),"RIR ниже цели","В диапазоне")))))</f>
        <v/>
      </c>
      <c r="M1650" s="23" t="str">
        <f aca="false">IF($C1650="","",IFERROR(MATCH($C1650,'Программа тренировок'!$C$6:$C$25,0),""))</f>
        <v/>
      </c>
    </row>
    <row r="1651" customFormat="false" ht="15" hidden="false" customHeight="true" outlineLevel="0" collapsed="false">
      <c r="A1651" s="20"/>
      <c r="B1651" s="21"/>
      <c r="C1651" s="19"/>
      <c r="D1651" s="18"/>
      <c r="E1651" s="17"/>
      <c r="F1651" s="18"/>
      <c r="G1651" s="18"/>
      <c r="H1651" s="21"/>
      <c r="I1651" s="19"/>
      <c r="J1651" s="8" t="str">
        <f aca="false">IF(OR(E1651="",F1651=""),"",E1651*F1651)</f>
        <v/>
      </c>
      <c r="K1651" s="22" t="str">
        <f aca="false">IF($M1651="","",INDEX('Программа тренировок'!$G$6:$G$25,$M1651))</f>
        <v/>
      </c>
      <c r="L1651" s="23" t="str">
        <f aca="false">IF(OR($M1651="",$F1651="",$G1651=""),"",IF($H1651="Разминка","Разминка",IF($F1651&lt;INDEX('Программа тренировок'!$E$6:$E$25,$M1651),"Ниже диапазона",IF(AND($F1651&gt;=INDEX('Программа тренировок'!$F$6:$F$25,$M1651),$G1651&gt;=INDEX('Программа тренировок'!$L$6:$L$25,$M1651)),"Верх диапазона: пора добавлять вес",IF($G1651&lt;INDEX('Программа тренировок'!$L$6:$L$25,$M1651),"RIR ниже цели","В диапазоне")))))</f>
        <v/>
      </c>
      <c r="M1651" s="23" t="str">
        <f aca="false">IF($C1651="","",IFERROR(MATCH($C1651,'Программа тренировок'!$C$6:$C$25,0),""))</f>
        <v/>
      </c>
    </row>
    <row r="1652" customFormat="false" ht="15" hidden="false" customHeight="true" outlineLevel="0" collapsed="false">
      <c r="A1652" s="20"/>
      <c r="B1652" s="21"/>
      <c r="C1652" s="19"/>
      <c r="D1652" s="18"/>
      <c r="E1652" s="17"/>
      <c r="F1652" s="18"/>
      <c r="G1652" s="18"/>
      <c r="H1652" s="21"/>
      <c r="I1652" s="19"/>
      <c r="J1652" s="8" t="str">
        <f aca="false">IF(OR(E1652="",F1652=""),"",E1652*F1652)</f>
        <v/>
      </c>
      <c r="K1652" s="22" t="str">
        <f aca="false">IF($M1652="","",INDEX('Программа тренировок'!$G$6:$G$25,$M1652))</f>
        <v/>
      </c>
      <c r="L1652" s="23" t="str">
        <f aca="false">IF(OR($M1652="",$F1652="",$G1652=""),"",IF($H1652="Разминка","Разминка",IF($F1652&lt;INDEX('Программа тренировок'!$E$6:$E$25,$M1652),"Ниже диапазона",IF(AND($F1652&gt;=INDEX('Программа тренировок'!$F$6:$F$25,$M1652),$G1652&gt;=INDEX('Программа тренировок'!$L$6:$L$25,$M1652)),"Верх диапазона: пора добавлять вес",IF($G1652&lt;INDEX('Программа тренировок'!$L$6:$L$25,$M1652),"RIR ниже цели","В диапазоне")))))</f>
        <v/>
      </c>
      <c r="M1652" s="23" t="str">
        <f aca="false">IF($C1652="","",IFERROR(MATCH($C1652,'Программа тренировок'!$C$6:$C$25,0),""))</f>
        <v/>
      </c>
    </row>
    <row r="1653" customFormat="false" ht="15" hidden="false" customHeight="true" outlineLevel="0" collapsed="false">
      <c r="A1653" s="20"/>
      <c r="B1653" s="21"/>
      <c r="C1653" s="19"/>
      <c r="D1653" s="18"/>
      <c r="E1653" s="17"/>
      <c r="F1653" s="18"/>
      <c r="G1653" s="18"/>
      <c r="H1653" s="21"/>
      <c r="I1653" s="19"/>
      <c r="J1653" s="8" t="str">
        <f aca="false">IF(OR(E1653="",F1653=""),"",E1653*F1653)</f>
        <v/>
      </c>
      <c r="K1653" s="22" t="str">
        <f aca="false">IF($M1653="","",INDEX('Программа тренировок'!$G$6:$G$25,$M1653))</f>
        <v/>
      </c>
      <c r="L1653" s="23" t="str">
        <f aca="false">IF(OR($M1653="",$F1653="",$G1653=""),"",IF($H1653="Разминка","Разминка",IF($F1653&lt;INDEX('Программа тренировок'!$E$6:$E$25,$M1653),"Ниже диапазона",IF(AND($F1653&gt;=INDEX('Программа тренировок'!$F$6:$F$25,$M1653),$G1653&gt;=INDEX('Программа тренировок'!$L$6:$L$25,$M1653)),"Верх диапазона: пора добавлять вес",IF($G1653&lt;INDEX('Программа тренировок'!$L$6:$L$25,$M1653),"RIR ниже цели","В диапазоне")))))</f>
        <v/>
      </c>
      <c r="M1653" s="23" t="str">
        <f aca="false">IF($C1653="","",IFERROR(MATCH($C1653,'Программа тренировок'!$C$6:$C$25,0),""))</f>
        <v/>
      </c>
    </row>
    <row r="1654" customFormat="false" ht="15" hidden="false" customHeight="true" outlineLevel="0" collapsed="false">
      <c r="A1654" s="20"/>
      <c r="B1654" s="21"/>
      <c r="C1654" s="19"/>
      <c r="D1654" s="18"/>
      <c r="E1654" s="17"/>
      <c r="F1654" s="18"/>
      <c r="G1654" s="18"/>
      <c r="H1654" s="21"/>
      <c r="I1654" s="19"/>
      <c r="J1654" s="8" t="str">
        <f aca="false">IF(OR(E1654="",F1654=""),"",E1654*F1654)</f>
        <v/>
      </c>
      <c r="K1654" s="22" t="str">
        <f aca="false">IF($M1654="","",INDEX('Программа тренировок'!$G$6:$G$25,$M1654))</f>
        <v/>
      </c>
      <c r="L1654" s="23" t="str">
        <f aca="false">IF(OR($M1654="",$F1654="",$G1654=""),"",IF($H1654="Разминка","Разминка",IF($F1654&lt;INDEX('Программа тренировок'!$E$6:$E$25,$M1654),"Ниже диапазона",IF(AND($F1654&gt;=INDEX('Программа тренировок'!$F$6:$F$25,$M1654),$G1654&gt;=INDEX('Программа тренировок'!$L$6:$L$25,$M1654)),"Верх диапазона: пора добавлять вес",IF($G1654&lt;INDEX('Программа тренировок'!$L$6:$L$25,$M1654),"RIR ниже цели","В диапазоне")))))</f>
        <v/>
      </c>
      <c r="M1654" s="23" t="str">
        <f aca="false">IF($C1654="","",IFERROR(MATCH($C1654,'Программа тренировок'!$C$6:$C$25,0),""))</f>
        <v/>
      </c>
    </row>
    <row r="1655" customFormat="false" ht="15" hidden="false" customHeight="true" outlineLevel="0" collapsed="false">
      <c r="A1655" s="20"/>
      <c r="B1655" s="21"/>
      <c r="C1655" s="19"/>
      <c r="D1655" s="18"/>
      <c r="E1655" s="17"/>
      <c r="F1655" s="18"/>
      <c r="G1655" s="18"/>
      <c r="H1655" s="21"/>
      <c r="I1655" s="19"/>
      <c r="J1655" s="8" t="str">
        <f aca="false">IF(OR(E1655="",F1655=""),"",E1655*F1655)</f>
        <v/>
      </c>
      <c r="K1655" s="22" t="str">
        <f aca="false">IF($M1655="","",INDEX('Программа тренировок'!$G$6:$G$25,$M1655))</f>
        <v/>
      </c>
      <c r="L1655" s="23" t="str">
        <f aca="false">IF(OR($M1655="",$F1655="",$G1655=""),"",IF($H1655="Разминка","Разминка",IF($F1655&lt;INDEX('Программа тренировок'!$E$6:$E$25,$M1655),"Ниже диапазона",IF(AND($F1655&gt;=INDEX('Программа тренировок'!$F$6:$F$25,$M1655),$G1655&gt;=INDEX('Программа тренировок'!$L$6:$L$25,$M1655)),"Верх диапазона: пора добавлять вес",IF($G1655&lt;INDEX('Программа тренировок'!$L$6:$L$25,$M1655),"RIR ниже цели","В диапазоне")))))</f>
        <v/>
      </c>
      <c r="M1655" s="23" t="str">
        <f aca="false">IF($C1655="","",IFERROR(MATCH($C1655,'Программа тренировок'!$C$6:$C$25,0),""))</f>
        <v/>
      </c>
    </row>
    <row r="1656" customFormat="false" ht="15" hidden="false" customHeight="true" outlineLevel="0" collapsed="false">
      <c r="A1656" s="20"/>
      <c r="B1656" s="21"/>
      <c r="C1656" s="19"/>
      <c r="D1656" s="18"/>
      <c r="E1656" s="17"/>
      <c r="F1656" s="18"/>
      <c r="G1656" s="18"/>
      <c r="H1656" s="21"/>
      <c r="I1656" s="19"/>
      <c r="J1656" s="8" t="str">
        <f aca="false">IF(OR(E1656="",F1656=""),"",E1656*F1656)</f>
        <v/>
      </c>
      <c r="K1656" s="22" t="str">
        <f aca="false">IF($M1656="","",INDEX('Программа тренировок'!$G$6:$G$25,$M1656))</f>
        <v/>
      </c>
      <c r="L1656" s="23" t="str">
        <f aca="false">IF(OR($M1656="",$F1656="",$G1656=""),"",IF($H1656="Разминка","Разминка",IF($F1656&lt;INDEX('Программа тренировок'!$E$6:$E$25,$M1656),"Ниже диапазона",IF(AND($F1656&gt;=INDEX('Программа тренировок'!$F$6:$F$25,$M1656),$G1656&gt;=INDEX('Программа тренировок'!$L$6:$L$25,$M1656)),"Верх диапазона: пора добавлять вес",IF($G1656&lt;INDEX('Программа тренировок'!$L$6:$L$25,$M1656),"RIR ниже цели","В диапазоне")))))</f>
        <v/>
      </c>
      <c r="M1656" s="23" t="str">
        <f aca="false">IF($C1656="","",IFERROR(MATCH($C1656,'Программа тренировок'!$C$6:$C$25,0),""))</f>
        <v/>
      </c>
    </row>
    <row r="1657" customFormat="false" ht="15" hidden="false" customHeight="true" outlineLevel="0" collapsed="false">
      <c r="A1657" s="20"/>
      <c r="B1657" s="21"/>
      <c r="C1657" s="19"/>
      <c r="D1657" s="18"/>
      <c r="E1657" s="17"/>
      <c r="F1657" s="18"/>
      <c r="G1657" s="18"/>
      <c r="H1657" s="21"/>
      <c r="I1657" s="19"/>
      <c r="J1657" s="8" t="str">
        <f aca="false">IF(OR(E1657="",F1657=""),"",E1657*F1657)</f>
        <v/>
      </c>
      <c r="K1657" s="22" t="str">
        <f aca="false">IF($M1657="","",INDEX('Программа тренировок'!$G$6:$G$25,$M1657))</f>
        <v/>
      </c>
      <c r="L1657" s="23" t="str">
        <f aca="false">IF(OR($M1657="",$F1657="",$G1657=""),"",IF($H1657="Разминка","Разминка",IF($F1657&lt;INDEX('Программа тренировок'!$E$6:$E$25,$M1657),"Ниже диапазона",IF(AND($F1657&gt;=INDEX('Программа тренировок'!$F$6:$F$25,$M1657),$G1657&gt;=INDEX('Программа тренировок'!$L$6:$L$25,$M1657)),"Верх диапазона: пора добавлять вес",IF($G1657&lt;INDEX('Программа тренировок'!$L$6:$L$25,$M1657),"RIR ниже цели","В диапазоне")))))</f>
        <v/>
      </c>
      <c r="M1657" s="23" t="str">
        <f aca="false">IF($C1657="","",IFERROR(MATCH($C1657,'Программа тренировок'!$C$6:$C$25,0),""))</f>
        <v/>
      </c>
    </row>
    <row r="1658" customFormat="false" ht="15" hidden="false" customHeight="true" outlineLevel="0" collapsed="false">
      <c r="A1658" s="20"/>
      <c r="B1658" s="21"/>
      <c r="C1658" s="19"/>
      <c r="D1658" s="18"/>
      <c r="E1658" s="17"/>
      <c r="F1658" s="18"/>
      <c r="G1658" s="18"/>
      <c r="H1658" s="21"/>
      <c r="I1658" s="19"/>
      <c r="J1658" s="8" t="str">
        <f aca="false">IF(OR(E1658="",F1658=""),"",E1658*F1658)</f>
        <v/>
      </c>
      <c r="K1658" s="22" t="str">
        <f aca="false">IF($M1658="","",INDEX('Программа тренировок'!$G$6:$G$25,$M1658))</f>
        <v/>
      </c>
      <c r="L1658" s="23" t="str">
        <f aca="false">IF(OR($M1658="",$F1658="",$G1658=""),"",IF($H1658="Разминка","Разминка",IF($F1658&lt;INDEX('Программа тренировок'!$E$6:$E$25,$M1658),"Ниже диапазона",IF(AND($F1658&gt;=INDEX('Программа тренировок'!$F$6:$F$25,$M1658),$G1658&gt;=INDEX('Программа тренировок'!$L$6:$L$25,$M1658)),"Верх диапазона: пора добавлять вес",IF($G1658&lt;INDEX('Программа тренировок'!$L$6:$L$25,$M1658),"RIR ниже цели","В диапазоне")))))</f>
        <v/>
      </c>
      <c r="M1658" s="23" t="str">
        <f aca="false">IF($C1658="","",IFERROR(MATCH($C1658,'Программа тренировок'!$C$6:$C$25,0),""))</f>
        <v/>
      </c>
    </row>
    <row r="1659" customFormat="false" ht="15" hidden="false" customHeight="true" outlineLevel="0" collapsed="false">
      <c r="A1659" s="20"/>
      <c r="B1659" s="21"/>
      <c r="C1659" s="19"/>
      <c r="D1659" s="18"/>
      <c r="E1659" s="17"/>
      <c r="F1659" s="18"/>
      <c r="G1659" s="18"/>
      <c r="H1659" s="21"/>
      <c r="I1659" s="19"/>
      <c r="J1659" s="8" t="str">
        <f aca="false">IF(OR(E1659="",F1659=""),"",E1659*F1659)</f>
        <v/>
      </c>
      <c r="K1659" s="22" t="str">
        <f aca="false">IF($M1659="","",INDEX('Программа тренировок'!$G$6:$G$25,$M1659))</f>
        <v/>
      </c>
      <c r="L1659" s="23" t="str">
        <f aca="false">IF(OR($M1659="",$F1659="",$G1659=""),"",IF($H1659="Разминка","Разминка",IF($F1659&lt;INDEX('Программа тренировок'!$E$6:$E$25,$M1659),"Ниже диапазона",IF(AND($F1659&gt;=INDEX('Программа тренировок'!$F$6:$F$25,$M1659),$G1659&gt;=INDEX('Программа тренировок'!$L$6:$L$25,$M1659)),"Верх диапазона: пора добавлять вес",IF($G1659&lt;INDEX('Программа тренировок'!$L$6:$L$25,$M1659),"RIR ниже цели","В диапазоне")))))</f>
        <v/>
      </c>
      <c r="M1659" s="23" t="str">
        <f aca="false">IF($C1659="","",IFERROR(MATCH($C1659,'Программа тренировок'!$C$6:$C$25,0),""))</f>
        <v/>
      </c>
    </row>
    <row r="1660" customFormat="false" ht="15" hidden="false" customHeight="true" outlineLevel="0" collapsed="false">
      <c r="A1660" s="20"/>
      <c r="B1660" s="21"/>
      <c r="C1660" s="19"/>
      <c r="D1660" s="18"/>
      <c r="E1660" s="17"/>
      <c r="F1660" s="18"/>
      <c r="G1660" s="18"/>
      <c r="H1660" s="21"/>
      <c r="I1660" s="19"/>
      <c r="J1660" s="8" t="str">
        <f aca="false">IF(OR(E1660="",F1660=""),"",E1660*F1660)</f>
        <v/>
      </c>
      <c r="K1660" s="22" t="str">
        <f aca="false">IF($M1660="","",INDEX('Программа тренировок'!$G$6:$G$25,$M1660))</f>
        <v/>
      </c>
      <c r="L1660" s="23" t="str">
        <f aca="false">IF(OR($M1660="",$F1660="",$G1660=""),"",IF($H1660="Разминка","Разминка",IF($F1660&lt;INDEX('Программа тренировок'!$E$6:$E$25,$M1660),"Ниже диапазона",IF(AND($F1660&gt;=INDEX('Программа тренировок'!$F$6:$F$25,$M1660),$G1660&gt;=INDEX('Программа тренировок'!$L$6:$L$25,$M1660)),"Верх диапазона: пора добавлять вес",IF($G1660&lt;INDEX('Программа тренировок'!$L$6:$L$25,$M1660),"RIR ниже цели","В диапазоне")))))</f>
        <v/>
      </c>
      <c r="M1660" s="23" t="str">
        <f aca="false">IF($C1660="","",IFERROR(MATCH($C1660,'Программа тренировок'!$C$6:$C$25,0),""))</f>
        <v/>
      </c>
    </row>
    <row r="1661" customFormat="false" ht="15" hidden="false" customHeight="true" outlineLevel="0" collapsed="false">
      <c r="A1661" s="20"/>
      <c r="B1661" s="21"/>
      <c r="C1661" s="19"/>
      <c r="D1661" s="18"/>
      <c r="E1661" s="17"/>
      <c r="F1661" s="18"/>
      <c r="G1661" s="18"/>
      <c r="H1661" s="21"/>
      <c r="I1661" s="19"/>
      <c r="J1661" s="8" t="str">
        <f aca="false">IF(OR(E1661="",F1661=""),"",E1661*F1661)</f>
        <v/>
      </c>
      <c r="K1661" s="22" t="str">
        <f aca="false">IF($M1661="","",INDEX('Программа тренировок'!$G$6:$G$25,$M1661))</f>
        <v/>
      </c>
      <c r="L1661" s="23" t="str">
        <f aca="false">IF(OR($M1661="",$F1661="",$G1661=""),"",IF($H1661="Разминка","Разминка",IF($F1661&lt;INDEX('Программа тренировок'!$E$6:$E$25,$M1661),"Ниже диапазона",IF(AND($F1661&gt;=INDEX('Программа тренировок'!$F$6:$F$25,$M1661),$G1661&gt;=INDEX('Программа тренировок'!$L$6:$L$25,$M1661)),"Верх диапазона: пора добавлять вес",IF($G1661&lt;INDEX('Программа тренировок'!$L$6:$L$25,$M1661),"RIR ниже цели","В диапазоне")))))</f>
        <v/>
      </c>
      <c r="M1661" s="23" t="str">
        <f aca="false">IF($C1661="","",IFERROR(MATCH($C1661,'Программа тренировок'!$C$6:$C$25,0),""))</f>
        <v/>
      </c>
    </row>
    <row r="1662" customFormat="false" ht="15" hidden="false" customHeight="true" outlineLevel="0" collapsed="false">
      <c r="A1662" s="20"/>
      <c r="B1662" s="21"/>
      <c r="C1662" s="19"/>
      <c r="D1662" s="18"/>
      <c r="E1662" s="17"/>
      <c r="F1662" s="18"/>
      <c r="G1662" s="18"/>
      <c r="H1662" s="21"/>
      <c r="I1662" s="19"/>
      <c r="J1662" s="8" t="str">
        <f aca="false">IF(OR(E1662="",F1662=""),"",E1662*F1662)</f>
        <v/>
      </c>
      <c r="K1662" s="22" t="str">
        <f aca="false">IF($M1662="","",INDEX('Программа тренировок'!$G$6:$G$25,$M1662))</f>
        <v/>
      </c>
      <c r="L1662" s="23" t="str">
        <f aca="false">IF(OR($M1662="",$F1662="",$G1662=""),"",IF($H1662="Разминка","Разминка",IF($F1662&lt;INDEX('Программа тренировок'!$E$6:$E$25,$M1662),"Ниже диапазона",IF(AND($F1662&gt;=INDEX('Программа тренировок'!$F$6:$F$25,$M1662),$G1662&gt;=INDEX('Программа тренировок'!$L$6:$L$25,$M1662)),"Верх диапазона: пора добавлять вес",IF($G1662&lt;INDEX('Программа тренировок'!$L$6:$L$25,$M1662),"RIR ниже цели","В диапазоне")))))</f>
        <v/>
      </c>
      <c r="M1662" s="23" t="str">
        <f aca="false">IF($C1662="","",IFERROR(MATCH($C1662,'Программа тренировок'!$C$6:$C$25,0),""))</f>
        <v/>
      </c>
    </row>
    <row r="1663" customFormat="false" ht="15" hidden="false" customHeight="true" outlineLevel="0" collapsed="false">
      <c r="A1663" s="20"/>
      <c r="B1663" s="21"/>
      <c r="C1663" s="19"/>
      <c r="D1663" s="18"/>
      <c r="E1663" s="17"/>
      <c r="F1663" s="18"/>
      <c r="G1663" s="18"/>
      <c r="H1663" s="21"/>
      <c r="I1663" s="19"/>
      <c r="J1663" s="8" t="str">
        <f aca="false">IF(OR(E1663="",F1663=""),"",E1663*F1663)</f>
        <v/>
      </c>
      <c r="K1663" s="22" t="str">
        <f aca="false">IF($M1663="","",INDEX('Программа тренировок'!$G$6:$G$25,$M1663))</f>
        <v/>
      </c>
      <c r="L1663" s="23" t="str">
        <f aca="false">IF(OR($M1663="",$F1663="",$G1663=""),"",IF($H1663="Разминка","Разминка",IF($F1663&lt;INDEX('Программа тренировок'!$E$6:$E$25,$M1663),"Ниже диапазона",IF(AND($F1663&gt;=INDEX('Программа тренировок'!$F$6:$F$25,$M1663),$G1663&gt;=INDEX('Программа тренировок'!$L$6:$L$25,$M1663)),"Верх диапазона: пора добавлять вес",IF($G1663&lt;INDEX('Программа тренировок'!$L$6:$L$25,$M1663),"RIR ниже цели","В диапазоне")))))</f>
        <v/>
      </c>
      <c r="M1663" s="23" t="str">
        <f aca="false">IF($C1663="","",IFERROR(MATCH($C1663,'Программа тренировок'!$C$6:$C$25,0),""))</f>
        <v/>
      </c>
    </row>
    <row r="1664" customFormat="false" ht="15" hidden="false" customHeight="true" outlineLevel="0" collapsed="false">
      <c r="A1664" s="20"/>
      <c r="B1664" s="21"/>
      <c r="C1664" s="19"/>
      <c r="D1664" s="18"/>
      <c r="E1664" s="17"/>
      <c r="F1664" s="18"/>
      <c r="G1664" s="18"/>
      <c r="H1664" s="21"/>
      <c r="I1664" s="19"/>
      <c r="J1664" s="8" t="str">
        <f aca="false">IF(OR(E1664="",F1664=""),"",E1664*F1664)</f>
        <v/>
      </c>
      <c r="K1664" s="22" t="str">
        <f aca="false">IF($M1664="","",INDEX('Программа тренировок'!$G$6:$G$25,$M1664))</f>
        <v/>
      </c>
      <c r="L1664" s="23" t="str">
        <f aca="false">IF(OR($M1664="",$F1664="",$G1664=""),"",IF($H1664="Разминка","Разминка",IF($F1664&lt;INDEX('Программа тренировок'!$E$6:$E$25,$M1664),"Ниже диапазона",IF(AND($F1664&gt;=INDEX('Программа тренировок'!$F$6:$F$25,$M1664),$G1664&gt;=INDEX('Программа тренировок'!$L$6:$L$25,$M1664)),"Верх диапазона: пора добавлять вес",IF($G1664&lt;INDEX('Программа тренировок'!$L$6:$L$25,$M1664),"RIR ниже цели","В диапазоне")))))</f>
        <v/>
      </c>
      <c r="M1664" s="23" t="str">
        <f aca="false">IF($C1664="","",IFERROR(MATCH($C1664,'Программа тренировок'!$C$6:$C$25,0),""))</f>
        <v/>
      </c>
    </row>
    <row r="1665" customFormat="false" ht="15" hidden="false" customHeight="true" outlineLevel="0" collapsed="false">
      <c r="A1665" s="20"/>
      <c r="B1665" s="21"/>
      <c r="C1665" s="19"/>
      <c r="D1665" s="18"/>
      <c r="E1665" s="17"/>
      <c r="F1665" s="18"/>
      <c r="G1665" s="18"/>
      <c r="H1665" s="21"/>
      <c r="I1665" s="19"/>
      <c r="J1665" s="8" t="str">
        <f aca="false">IF(OR(E1665="",F1665=""),"",E1665*F1665)</f>
        <v/>
      </c>
      <c r="K1665" s="22" t="str">
        <f aca="false">IF($M1665="","",INDEX('Программа тренировок'!$G$6:$G$25,$M1665))</f>
        <v/>
      </c>
      <c r="L1665" s="23" t="str">
        <f aca="false">IF(OR($M1665="",$F1665="",$G1665=""),"",IF($H1665="Разминка","Разминка",IF($F1665&lt;INDEX('Программа тренировок'!$E$6:$E$25,$M1665),"Ниже диапазона",IF(AND($F1665&gt;=INDEX('Программа тренировок'!$F$6:$F$25,$M1665),$G1665&gt;=INDEX('Программа тренировок'!$L$6:$L$25,$M1665)),"Верх диапазона: пора добавлять вес",IF($G1665&lt;INDEX('Программа тренировок'!$L$6:$L$25,$M1665),"RIR ниже цели","В диапазоне")))))</f>
        <v/>
      </c>
      <c r="M1665" s="23" t="str">
        <f aca="false">IF($C1665="","",IFERROR(MATCH($C1665,'Программа тренировок'!$C$6:$C$25,0),""))</f>
        <v/>
      </c>
    </row>
    <row r="1666" customFormat="false" ht="15" hidden="false" customHeight="true" outlineLevel="0" collapsed="false">
      <c r="A1666" s="20"/>
      <c r="B1666" s="21"/>
      <c r="C1666" s="19"/>
      <c r="D1666" s="18"/>
      <c r="E1666" s="17"/>
      <c r="F1666" s="18"/>
      <c r="G1666" s="18"/>
      <c r="H1666" s="21"/>
      <c r="I1666" s="19"/>
      <c r="J1666" s="8" t="str">
        <f aca="false">IF(OR(E1666="",F1666=""),"",E1666*F1666)</f>
        <v/>
      </c>
      <c r="K1666" s="22" t="str">
        <f aca="false">IF($M1666="","",INDEX('Программа тренировок'!$G$6:$G$25,$M1666))</f>
        <v/>
      </c>
      <c r="L1666" s="23" t="str">
        <f aca="false">IF(OR($M1666="",$F1666="",$G1666=""),"",IF($H1666="Разминка","Разминка",IF($F1666&lt;INDEX('Программа тренировок'!$E$6:$E$25,$M1666),"Ниже диапазона",IF(AND($F1666&gt;=INDEX('Программа тренировок'!$F$6:$F$25,$M1666),$G1666&gt;=INDEX('Программа тренировок'!$L$6:$L$25,$M1666)),"Верх диапазона: пора добавлять вес",IF($G1666&lt;INDEX('Программа тренировок'!$L$6:$L$25,$M1666),"RIR ниже цели","В диапазоне")))))</f>
        <v/>
      </c>
      <c r="M1666" s="23" t="str">
        <f aca="false">IF($C1666="","",IFERROR(MATCH($C1666,'Программа тренировок'!$C$6:$C$25,0),""))</f>
        <v/>
      </c>
    </row>
    <row r="1667" customFormat="false" ht="15" hidden="false" customHeight="true" outlineLevel="0" collapsed="false">
      <c r="A1667" s="20"/>
      <c r="B1667" s="21"/>
      <c r="C1667" s="19"/>
      <c r="D1667" s="18"/>
      <c r="E1667" s="17"/>
      <c r="F1667" s="18"/>
      <c r="G1667" s="18"/>
      <c r="H1667" s="21"/>
      <c r="I1667" s="19"/>
      <c r="J1667" s="8" t="str">
        <f aca="false">IF(OR(E1667="",F1667=""),"",E1667*F1667)</f>
        <v/>
      </c>
      <c r="K1667" s="22" t="str">
        <f aca="false">IF($M1667="","",INDEX('Программа тренировок'!$G$6:$G$25,$M1667))</f>
        <v/>
      </c>
      <c r="L1667" s="23" t="str">
        <f aca="false">IF(OR($M1667="",$F1667="",$G1667=""),"",IF($H1667="Разминка","Разминка",IF($F1667&lt;INDEX('Программа тренировок'!$E$6:$E$25,$M1667),"Ниже диапазона",IF(AND($F1667&gt;=INDEX('Программа тренировок'!$F$6:$F$25,$M1667),$G1667&gt;=INDEX('Программа тренировок'!$L$6:$L$25,$M1667)),"Верх диапазона: пора добавлять вес",IF($G1667&lt;INDEX('Программа тренировок'!$L$6:$L$25,$M1667),"RIR ниже цели","В диапазоне")))))</f>
        <v/>
      </c>
      <c r="M1667" s="23" t="str">
        <f aca="false">IF($C1667="","",IFERROR(MATCH($C1667,'Программа тренировок'!$C$6:$C$25,0),""))</f>
        <v/>
      </c>
    </row>
    <row r="1668" customFormat="false" ht="15" hidden="false" customHeight="true" outlineLevel="0" collapsed="false">
      <c r="A1668" s="20"/>
      <c r="B1668" s="21"/>
      <c r="C1668" s="19"/>
      <c r="D1668" s="18"/>
      <c r="E1668" s="17"/>
      <c r="F1668" s="18"/>
      <c r="G1668" s="18"/>
      <c r="H1668" s="21"/>
      <c r="I1668" s="19"/>
      <c r="J1668" s="8" t="str">
        <f aca="false">IF(OR(E1668="",F1668=""),"",E1668*F1668)</f>
        <v/>
      </c>
      <c r="K1668" s="22" t="str">
        <f aca="false">IF($M1668="","",INDEX('Программа тренировок'!$G$6:$G$25,$M1668))</f>
        <v/>
      </c>
      <c r="L1668" s="23" t="str">
        <f aca="false">IF(OR($M1668="",$F1668="",$G1668=""),"",IF($H1668="Разминка","Разминка",IF($F1668&lt;INDEX('Программа тренировок'!$E$6:$E$25,$M1668),"Ниже диапазона",IF(AND($F1668&gt;=INDEX('Программа тренировок'!$F$6:$F$25,$M1668),$G1668&gt;=INDEX('Программа тренировок'!$L$6:$L$25,$M1668)),"Верх диапазона: пора добавлять вес",IF($G1668&lt;INDEX('Программа тренировок'!$L$6:$L$25,$M1668),"RIR ниже цели","В диапазоне")))))</f>
        <v/>
      </c>
      <c r="M1668" s="23" t="str">
        <f aca="false">IF($C1668="","",IFERROR(MATCH($C1668,'Программа тренировок'!$C$6:$C$25,0),""))</f>
        <v/>
      </c>
    </row>
    <row r="1669" customFormat="false" ht="15" hidden="false" customHeight="true" outlineLevel="0" collapsed="false">
      <c r="A1669" s="20"/>
      <c r="B1669" s="21"/>
      <c r="C1669" s="19"/>
      <c r="D1669" s="18"/>
      <c r="E1669" s="17"/>
      <c r="F1669" s="18"/>
      <c r="G1669" s="18"/>
      <c r="H1669" s="21"/>
      <c r="I1669" s="19"/>
      <c r="J1669" s="8" t="str">
        <f aca="false">IF(OR(E1669="",F1669=""),"",E1669*F1669)</f>
        <v/>
      </c>
      <c r="K1669" s="22" t="str">
        <f aca="false">IF($M1669="","",INDEX('Программа тренировок'!$G$6:$G$25,$M1669))</f>
        <v/>
      </c>
      <c r="L1669" s="23" t="str">
        <f aca="false">IF(OR($M1669="",$F1669="",$G1669=""),"",IF($H1669="Разминка","Разминка",IF($F1669&lt;INDEX('Программа тренировок'!$E$6:$E$25,$M1669),"Ниже диапазона",IF(AND($F1669&gt;=INDEX('Программа тренировок'!$F$6:$F$25,$M1669),$G1669&gt;=INDEX('Программа тренировок'!$L$6:$L$25,$M1669)),"Верх диапазона: пора добавлять вес",IF($G1669&lt;INDEX('Программа тренировок'!$L$6:$L$25,$M1669),"RIR ниже цели","В диапазоне")))))</f>
        <v/>
      </c>
      <c r="M1669" s="23" t="str">
        <f aca="false">IF($C1669="","",IFERROR(MATCH($C1669,'Программа тренировок'!$C$6:$C$25,0),""))</f>
        <v/>
      </c>
    </row>
    <row r="1670" customFormat="false" ht="15" hidden="false" customHeight="true" outlineLevel="0" collapsed="false">
      <c r="A1670" s="20"/>
      <c r="B1670" s="21"/>
      <c r="C1670" s="19"/>
      <c r="D1670" s="18"/>
      <c r="E1670" s="17"/>
      <c r="F1670" s="18"/>
      <c r="G1670" s="18"/>
      <c r="H1670" s="21"/>
      <c r="I1670" s="19"/>
      <c r="J1670" s="8" t="str">
        <f aca="false">IF(OR(E1670="",F1670=""),"",E1670*F1670)</f>
        <v/>
      </c>
      <c r="K1670" s="22" t="str">
        <f aca="false">IF($M1670="","",INDEX('Программа тренировок'!$G$6:$G$25,$M1670))</f>
        <v/>
      </c>
      <c r="L1670" s="23" t="str">
        <f aca="false">IF(OR($M1670="",$F1670="",$G1670=""),"",IF($H1670="Разминка","Разминка",IF($F1670&lt;INDEX('Программа тренировок'!$E$6:$E$25,$M1670),"Ниже диапазона",IF(AND($F1670&gt;=INDEX('Программа тренировок'!$F$6:$F$25,$M1670),$G1670&gt;=INDEX('Программа тренировок'!$L$6:$L$25,$M1670)),"Верх диапазона: пора добавлять вес",IF($G1670&lt;INDEX('Программа тренировок'!$L$6:$L$25,$M1670),"RIR ниже цели","В диапазоне")))))</f>
        <v/>
      </c>
      <c r="M1670" s="23" t="str">
        <f aca="false">IF($C1670="","",IFERROR(MATCH($C1670,'Программа тренировок'!$C$6:$C$25,0),""))</f>
        <v/>
      </c>
    </row>
    <row r="1671" customFormat="false" ht="15" hidden="false" customHeight="true" outlineLevel="0" collapsed="false">
      <c r="A1671" s="20"/>
      <c r="B1671" s="21"/>
      <c r="C1671" s="19"/>
      <c r="D1671" s="18"/>
      <c r="E1671" s="17"/>
      <c r="F1671" s="18"/>
      <c r="G1671" s="18"/>
      <c r="H1671" s="21"/>
      <c r="I1671" s="19"/>
      <c r="J1671" s="8" t="str">
        <f aca="false">IF(OR(E1671="",F1671=""),"",E1671*F1671)</f>
        <v/>
      </c>
      <c r="K1671" s="22" t="str">
        <f aca="false">IF($M1671="","",INDEX('Программа тренировок'!$G$6:$G$25,$M1671))</f>
        <v/>
      </c>
      <c r="L1671" s="23" t="str">
        <f aca="false">IF(OR($M1671="",$F1671="",$G1671=""),"",IF($H1671="Разминка","Разминка",IF($F1671&lt;INDEX('Программа тренировок'!$E$6:$E$25,$M1671),"Ниже диапазона",IF(AND($F1671&gt;=INDEX('Программа тренировок'!$F$6:$F$25,$M1671),$G1671&gt;=INDEX('Программа тренировок'!$L$6:$L$25,$M1671)),"Верх диапазона: пора добавлять вес",IF($G1671&lt;INDEX('Программа тренировок'!$L$6:$L$25,$M1671),"RIR ниже цели","В диапазоне")))))</f>
        <v/>
      </c>
      <c r="M1671" s="23" t="str">
        <f aca="false">IF($C1671="","",IFERROR(MATCH($C1671,'Программа тренировок'!$C$6:$C$25,0),""))</f>
        <v/>
      </c>
    </row>
    <row r="1672" customFormat="false" ht="15" hidden="false" customHeight="true" outlineLevel="0" collapsed="false">
      <c r="A1672" s="20"/>
      <c r="B1672" s="21"/>
      <c r="C1672" s="19"/>
      <c r="D1672" s="18"/>
      <c r="E1672" s="17"/>
      <c r="F1672" s="18"/>
      <c r="G1672" s="18"/>
      <c r="H1672" s="21"/>
      <c r="I1672" s="19"/>
      <c r="J1672" s="8" t="str">
        <f aca="false">IF(OR(E1672="",F1672=""),"",E1672*F1672)</f>
        <v/>
      </c>
      <c r="K1672" s="22" t="str">
        <f aca="false">IF($M1672="","",INDEX('Программа тренировок'!$G$6:$G$25,$M1672))</f>
        <v/>
      </c>
      <c r="L1672" s="23" t="str">
        <f aca="false">IF(OR($M1672="",$F1672="",$G1672=""),"",IF($H1672="Разминка","Разминка",IF($F1672&lt;INDEX('Программа тренировок'!$E$6:$E$25,$M1672),"Ниже диапазона",IF(AND($F1672&gt;=INDEX('Программа тренировок'!$F$6:$F$25,$M1672),$G1672&gt;=INDEX('Программа тренировок'!$L$6:$L$25,$M1672)),"Верх диапазона: пора добавлять вес",IF($G1672&lt;INDEX('Программа тренировок'!$L$6:$L$25,$M1672),"RIR ниже цели","В диапазоне")))))</f>
        <v/>
      </c>
      <c r="M1672" s="23" t="str">
        <f aca="false">IF($C1672="","",IFERROR(MATCH($C1672,'Программа тренировок'!$C$6:$C$25,0),""))</f>
        <v/>
      </c>
    </row>
    <row r="1673" customFormat="false" ht="15" hidden="false" customHeight="true" outlineLevel="0" collapsed="false">
      <c r="A1673" s="20"/>
      <c r="B1673" s="21"/>
      <c r="C1673" s="19"/>
      <c r="D1673" s="18"/>
      <c r="E1673" s="17"/>
      <c r="F1673" s="18"/>
      <c r="G1673" s="18"/>
      <c r="H1673" s="21"/>
      <c r="I1673" s="19"/>
      <c r="J1673" s="8" t="str">
        <f aca="false">IF(OR(E1673="",F1673=""),"",E1673*F1673)</f>
        <v/>
      </c>
      <c r="K1673" s="22" t="str">
        <f aca="false">IF($M1673="","",INDEX('Программа тренировок'!$G$6:$G$25,$M1673))</f>
        <v/>
      </c>
      <c r="L1673" s="23" t="str">
        <f aca="false">IF(OR($M1673="",$F1673="",$G1673=""),"",IF($H1673="Разминка","Разминка",IF($F1673&lt;INDEX('Программа тренировок'!$E$6:$E$25,$M1673),"Ниже диапазона",IF(AND($F1673&gt;=INDEX('Программа тренировок'!$F$6:$F$25,$M1673),$G1673&gt;=INDEX('Программа тренировок'!$L$6:$L$25,$M1673)),"Верх диапазона: пора добавлять вес",IF($G1673&lt;INDEX('Программа тренировок'!$L$6:$L$25,$M1673),"RIR ниже цели","В диапазоне")))))</f>
        <v/>
      </c>
      <c r="M1673" s="23" t="str">
        <f aca="false">IF($C1673="","",IFERROR(MATCH($C1673,'Программа тренировок'!$C$6:$C$25,0),""))</f>
        <v/>
      </c>
    </row>
    <row r="1674" customFormat="false" ht="15" hidden="false" customHeight="true" outlineLevel="0" collapsed="false">
      <c r="A1674" s="20"/>
      <c r="B1674" s="21"/>
      <c r="C1674" s="19"/>
      <c r="D1674" s="18"/>
      <c r="E1674" s="17"/>
      <c r="F1674" s="18"/>
      <c r="G1674" s="18"/>
      <c r="H1674" s="21"/>
      <c r="I1674" s="19"/>
      <c r="J1674" s="8" t="str">
        <f aca="false">IF(OR(E1674="",F1674=""),"",E1674*F1674)</f>
        <v/>
      </c>
      <c r="K1674" s="22" t="str">
        <f aca="false">IF($M1674="","",INDEX('Программа тренировок'!$G$6:$G$25,$M1674))</f>
        <v/>
      </c>
      <c r="L1674" s="23" t="str">
        <f aca="false">IF(OR($M1674="",$F1674="",$G1674=""),"",IF($H1674="Разминка","Разминка",IF($F1674&lt;INDEX('Программа тренировок'!$E$6:$E$25,$M1674),"Ниже диапазона",IF(AND($F1674&gt;=INDEX('Программа тренировок'!$F$6:$F$25,$M1674),$G1674&gt;=INDEX('Программа тренировок'!$L$6:$L$25,$M1674)),"Верх диапазона: пора добавлять вес",IF($G1674&lt;INDEX('Программа тренировок'!$L$6:$L$25,$M1674),"RIR ниже цели","В диапазоне")))))</f>
        <v/>
      </c>
      <c r="M1674" s="23" t="str">
        <f aca="false">IF($C1674="","",IFERROR(MATCH($C1674,'Программа тренировок'!$C$6:$C$25,0),""))</f>
        <v/>
      </c>
    </row>
    <row r="1675" customFormat="false" ht="15" hidden="false" customHeight="true" outlineLevel="0" collapsed="false">
      <c r="A1675" s="20"/>
      <c r="B1675" s="21"/>
      <c r="C1675" s="19"/>
      <c r="D1675" s="18"/>
      <c r="E1675" s="17"/>
      <c r="F1675" s="18"/>
      <c r="G1675" s="18"/>
      <c r="H1675" s="21"/>
      <c r="I1675" s="19"/>
      <c r="J1675" s="8" t="str">
        <f aca="false">IF(OR(E1675="",F1675=""),"",E1675*F1675)</f>
        <v/>
      </c>
      <c r="K1675" s="22" t="str">
        <f aca="false">IF($M1675="","",INDEX('Программа тренировок'!$G$6:$G$25,$M1675))</f>
        <v/>
      </c>
      <c r="L1675" s="23" t="str">
        <f aca="false">IF(OR($M1675="",$F1675="",$G1675=""),"",IF($H1675="Разминка","Разминка",IF($F1675&lt;INDEX('Программа тренировок'!$E$6:$E$25,$M1675),"Ниже диапазона",IF(AND($F1675&gt;=INDEX('Программа тренировок'!$F$6:$F$25,$M1675),$G1675&gt;=INDEX('Программа тренировок'!$L$6:$L$25,$M1675)),"Верх диапазона: пора добавлять вес",IF($G1675&lt;INDEX('Программа тренировок'!$L$6:$L$25,$M1675),"RIR ниже цели","В диапазоне")))))</f>
        <v/>
      </c>
      <c r="M1675" s="23" t="str">
        <f aca="false">IF($C1675="","",IFERROR(MATCH($C1675,'Программа тренировок'!$C$6:$C$25,0),""))</f>
        <v/>
      </c>
    </row>
    <row r="1676" customFormat="false" ht="15" hidden="false" customHeight="true" outlineLevel="0" collapsed="false">
      <c r="A1676" s="20"/>
      <c r="B1676" s="21"/>
      <c r="C1676" s="19"/>
      <c r="D1676" s="18"/>
      <c r="E1676" s="17"/>
      <c r="F1676" s="18"/>
      <c r="G1676" s="18"/>
      <c r="H1676" s="21"/>
      <c r="I1676" s="19"/>
      <c r="J1676" s="8" t="str">
        <f aca="false">IF(OR(E1676="",F1676=""),"",E1676*F1676)</f>
        <v/>
      </c>
      <c r="K1676" s="22" t="str">
        <f aca="false">IF($M1676="","",INDEX('Программа тренировок'!$G$6:$G$25,$M1676))</f>
        <v/>
      </c>
      <c r="L1676" s="23" t="str">
        <f aca="false">IF(OR($M1676="",$F1676="",$G1676=""),"",IF($H1676="Разминка","Разминка",IF($F1676&lt;INDEX('Программа тренировок'!$E$6:$E$25,$M1676),"Ниже диапазона",IF(AND($F1676&gt;=INDEX('Программа тренировок'!$F$6:$F$25,$M1676),$G1676&gt;=INDEX('Программа тренировок'!$L$6:$L$25,$M1676)),"Верх диапазона: пора добавлять вес",IF($G1676&lt;INDEX('Программа тренировок'!$L$6:$L$25,$M1676),"RIR ниже цели","В диапазоне")))))</f>
        <v/>
      </c>
      <c r="M1676" s="23" t="str">
        <f aca="false">IF($C1676="","",IFERROR(MATCH($C1676,'Программа тренировок'!$C$6:$C$25,0),""))</f>
        <v/>
      </c>
    </row>
    <row r="1677" customFormat="false" ht="15" hidden="false" customHeight="true" outlineLevel="0" collapsed="false">
      <c r="A1677" s="20"/>
      <c r="B1677" s="21"/>
      <c r="C1677" s="19"/>
      <c r="D1677" s="18"/>
      <c r="E1677" s="17"/>
      <c r="F1677" s="18"/>
      <c r="G1677" s="18"/>
      <c r="H1677" s="21"/>
      <c r="I1677" s="19"/>
      <c r="J1677" s="8" t="str">
        <f aca="false">IF(OR(E1677="",F1677=""),"",E1677*F1677)</f>
        <v/>
      </c>
      <c r="K1677" s="22" t="str">
        <f aca="false">IF($M1677="","",INDEX('Программа тренировок'!$G$6:$G$25,$M1677))</f>
        <v/>
      </c>
      <c r="L1677" s="23" t="str">
        <f aca="false">IF(OR($M1677="",$F1677="",$G1677=""),"",IF($H1677="Разминка","Разминка",IF($F1677&lt;INDEX('Программа тренировок'!$E$6:$E$25,$M1677),"Ниже диапазона",IF(AND($F1677&gt;=INDEX('Программа тренировок'!$F$6:$F$25,$M1677),$G1677&gt;=INDEX('Программа тренировок'!$L$6:$L$25,$M1677)),"Верх диапазона: пора добавлять вес",IF($G1677&lt;INDEX('Программа тренировок'!$L$6:$L$25,$M1677),"RIR ниже цели","В диапазоне")))))</f>
        <v/>
      </c>
      <c r="M1677" s="23" t="str">
        <f aca="false">IF($C1677="","",IFERROR(MATCH($C1677,'Программа тренировок'!$C$6:$C$25,0),""))</f>
        <v/>
      </c>
    </row>
    <row r="1678" customFormat="false" ht="15" hidden="false" customHeight="true" outlineLevel="0" collapsed="false">
      <c r="A1678" s="20"/>
      <c r="B1678" s="21"/>
      <c r="C1678" s="19"/>
      <c r="D1678" s="18"/>
      <c r="E1678" s="17"/>
      <c r="F1678" s="18"/>
      <c r="G1678" s="18"/>
      <c r="H1678" s="21"/>
      <c r="I1678" s="19"/>
      <c r="J1678" s="8" t="str">
        <f aca="false">IF(OR(E1678="",F1678=""),"",E1678*F1678)</f>
        <v/>
      </c>
      <c r="K1678" s="22" t="str">
        <f aca="false">IF($M1678="","",INDEX('Программа тренировок'!$G$6:$G$25,$M1678))</f>
        <v/>
      </c>
      <c r="L1678" s="23" t="str">
        <f aca="false">IF(OR($M1678="",$F1678="",$G1678=""),"",IF($H1678="Разминка","Разминка",IF($F1678&lt;INDEX('Программа тренировок'!$E$6:$E$25,$M1678),"Ниже диапазона",IF(AND($F1678&gt;=INDEX('Программа тренировок'!$F$6:$F$25,$M1678),$G1678&gt;=INDEX('Программа тренировок'!$L$6:$L$25,$M1678)),"Верх диапазона: пора добавлять вес",IF($G1678&lt;INDEX('Программа тренировок'!$L$6:$L$25,$M1678),"RIR ниже цели","В диапазоне")))))</f>
        <v/>
      </c>
      <c r="M1678" s="23" t="str">
        <f aca="false">IF($C1678="","",IFERROR(MATCH($C1678,'Программа тренировок'!$C$6:$C$25,0),""))</f>
        <v/>
      </c>
    </row>
    <row r="1679" customFormat="false" ht="15" hidden="false" customHeight="true" outlineLevel="0" collapsed="false">
      <c r="A1679" s="20"/>
      <c r="B1679" s="21"/>
      <c r="C1679" s="19"/>
      <c r="D1679" s="18"/>
      <c r="E1679" s="17"/>
      <c r="F1679" s="18"/>
      <c r="G1679" s="18"/>
      <c r="H1679" s="21"/>
      <c r="I1679" s="19"/>
      <c r="J1679" s="8" t="str">
        <f aca="false">IF(OR(E1679="",F1679=""),"",E1679*F1679)</f>
        <v/>
      </c>
      <c r="K1679" s="22" t="str">
        <f aca="false">IF($M1679="","",INDEX('Программа тренировок'!$G$6:$G$25,$M1679))</f>
        <v/>
      </c>
      <c r="L1679" s="23" t="str">
        <f aca="false">IF(OR($M1679="",$F1679="",$G1679=""),"",IF($H1679="Разминка","Разминка",IF($F1679&lt;INDEX('Программа тренировок'!$E$6:$E$25,$M1679),"Ниже диапазона",IF(AND($F1679&gt;=INDEX('Программа тренировок'!$F$6:$F$25,$M1679),$G1679&gt;=INDEX('Программа тренировок'!$L$6:$L$25,$M1679)),"Верх диапазона: пора добавлять вес",IF($G1679&lt;INDEX('Программа тренировок'!$L$6:$L$25,$M1679),"RIR ниже цели","В диапазоне")))))</f>
        <v/>
      </c>
      <c r="M1679" s="23" t="str">
        <f aca="false">IF($C1679="","",IFERROR(MATCH($C1679,'Программа тренировок'!$C$6:$C$25,0),""))</f>
        <v/>
      </c>
    </row>
    <row r="1680" customFormat="false" ht="15" hidden="false" customHeight="true" outlineLevel="0" collapsed="false">
      <c r="A1680" s="20"/>
      <c r="B1680" s="21"/>
      <c r="C1680" s="19"/>
      <c r="D1680" s="18"/>
      <c r="E1680" s="17"/>
      <c r="F1680" s="18"/>
      <c r="G1680" s="18"/>
      <c r="H1680" s="21"/>
      <c r="I1680" s="19"/>
      <c r="J1680" s="8" t="str">
        <f aca="false">IF(OR(E1680="",F1680=""),"",E1680*F1680)</f>
        <v/>
      </c>
      <c r="K1680" s="22" t="str">
        <f aca="false">IF($M1680="","",INDEX('Программа тренировок'!$G$6:$G$25,$M1680))</f>
        <v/>
      </c>
      <c r="L1680" s="23" t="str">
        <f aca="false">IF(OR($M1680="",$F1680="",$G1680=""),"",IF($H1680="Разминка","Разминка",IF($F1680&lt;INDEX('Программа тренировок'!$E$6:$E$25,$M1680),"Ниже диапазона",IF(AND($F1680&gt;=INDEX('Программа тренировок'!$F$6:$F$25,$M1680),$G1680&gt;=INDEX('Программа тренировок'!$L$6:$L$25,$M1680)),"Верх диапазона: пора добавлять вес",IF($G1680&lt;INDEX('Программа тренировок'!$L$6:$L$25,$M1680),"RIR ниже цели","В диапазоне")))))</f>
        <v/>
      </c>
      <c r="M1680" s="23" t="str">
        <f aca="false">IF($C1680="","",IFERROR(MATCH($C1680,'Программа тренировок'!$C$6:$C$25,0),""))</f>
        <v/>
      </c>
    </row>
    <row r="1681" customFormat="false" ht="15" hidden="false" customHeight="true" outlineLevel="0" collapsed="false">
      <c r="A1681" s="20"/>
      <c r="B1681" s="21"/>
      <c r="C1681" s="19"/>
      <c r="D1681" s="18"/>
      <c r="E1681" s="17"/>
      <c r="F1681" s="18"/>
      <c r="G1681" s="18"/>
      <c r="H1681" s="21"/>
      <c r="I1681" s="19"/>
      <c r="J1681" s="8" t="str">
        <f aca="false">IF(OR(E1681="",F1681=""),"",E1681*F1681)</f>
        <v/>
      </c>
      <c r="K1681" s="22" t="str">
        <f aca="false">IF($M1681="","",INDEX('Программа тренировок'!$G$6:$G$25,$M1681))</f>
        <v/>
      </c>
      <c r="L1681" s="23" t="str">
        <f aca="false">IF(OR($M1681="",$F1681="",$G1681=""),"",IF($H1681="Разминка","Разминка",IF($F1681&lt;INDEX('Программа тренировок'!$E$6:$E$25,$M1681),"Ниже диапазона",IF(AND($F1681&gt;=INDEX('Программа тренировок'!$F$6:$F$25,$M1681),$G1681&gt;=INDEX('Программа тренировок'!$L$6:$L$25,$M1681)),"Верх диапазона: пора добавлять вес",IF($G1681&lt;INDEX('Программа тренировок'!$L$6:$L$25,$M1681),"RIR ниже цели","В диапазоне")))))</f>
        <v/>
      </c>
      <c r="M1681" s="23" t="str">
        <f aca="false">IF($C1681="","",IFERROR(MATCH($C1681,'Программа тренировок'!$C$6:$C$25,0),""))</f>
        <v/>
      </c>
    </row>
    <row r="1682" customFormat="false" ht="15" hidden="false" customHeight="true" outlineLevel="0" collapsed="false">
      <c r="A1682" s="20"/>
      <c r="B1682" s="21"/>
      <c r="C1682" s="19"/>
      <c r="D1682" s="18"/>
      <c r="E1682" s="17"/>
      <c r="F1682" s="18"/>
      <c r="G1682" s="18"/>
      <c r="H1682" s="21"/>
      <c r="I1682" s="19"/>
      <c r="J1682" s="8" t="str">
        <f aca="false">IF(OR(E1682="",F1682=""),"",E1682*F1682)</f>
        <v/>
      </c>
      <c r="K1682" s="22" t="str">
        <f aca="false">IF($M1682="","",INDEX('Программа тренировок'!$G$6:$G$25,$M1682))</f>
        <v/>
      </c>
      <c r="L1682" s="23" t="str">
        <f aca="false">IF(OR($M1682="",$F1682="",$G1682=""),"",IF($H1682="Разминка","Разминка",IF($F1682&lt;INDEX('Программа тренировок'!$E$6:$E$25,$M1682),"Ниже диапазона",IF(AND($F1682&gt;=INDEX('Программа тренировок'!$F$6:$F$25,$M1682),$G1682&gt;=INDEX('Программа тренировок'!$L$6:$L$25,$M1682)),"Верх диапазона: пора добавлять вес",IF($G1682&lt;INDEX('Программа тренировок'!$L$6:$L$25,$M1682),"RIR ниже цели","В диапазоне")))))</f>
        <v/>
      </c>
      <c r="M1682" s="23" t="str">
        <f aca="false">IF($C1682="","",IFERROR(MATCH($C1682,'Программа тренировок'!$C$6:$C$25,0),""))</f>
        <v/>
      </c>
    </row>
    <row r="1683" customFormat="false" ht="15" hidden="false" customHeight="true" outlineLevel="0" collapsed="false">
      <c r="A1683" s="20"/>
      <c r="B1683" s="21"/>
      <c r="C1683" s="19"/>
      <c r="D1683" s="18"/>
      <c r="E1683" s="17"/>
      <c r="F1683" s="18"/>
      <c r="G1683" s="18"/>
      <c r="H1683" s="21"/>
      <c r="I1683" s="19"/>
      <c r="J1683" s="8" t="str">
        <f aca="false">IF(OR(E1683="",F1683=""),"",E1683*F1683)</f>
        <v/>
      </c>
      <c r="K1683" s="22" t="str">
        <f aca="false">IF($M1683="","",INDEX('Программа тренировок'!$G$6:$G$25,$M1683))</f>
        <v/>
      </c>
      <c r="L1683" s="23" t="str">
        <f aca="false">IF(OR($M1683="",$F1683="",$G1683=""),"",IF($H1683="Разминка","Разминка",IF($F1683&lt;INDEX('Программа тренировок'!$E$6:$E$25,$M1683),"Ниже диапазона",IF(AND($F1683&gt;=INDEX('Программа тренировок'!$F$6:$F$25,$M1683),$G1683&gt;=INDEX('Программа тренировок'!$L$6:$L$25,$M1683)),"Верх диапазона: пора добавлять вес",IF($G1683&lt;INDEX('Программа тренировок'!$L$6:$L$25,$M1683),"RIR ниже цели","В диапазоне")))))</f>
        <v/>
      </c>
      <c r="M1683" s="23" t="str">
        <f aca="false">IF($C1683="","",IFERROR(MATCH($C1683,'Программа тренировок'!$C$6:$C$25,0),""))</f>
        <v/>
      </c>
    </row>
    <row r="1684" customFormat="false" ht="15" hidden="false" customHeight="true" outlineLevel="0" collapsed="false">
      <c r="A1684" s="20"/>
      <c r="B1684" s="21"/>
      <c r="C1684" s="19"/>
      <c r="D1684" s="18"/>
      <c r="E1684" s="17"/>
      <c r="F1684" s="18"/>
      <c r="G1684" s="18"/>
      <c r="H1684" s="21"/>
      <c r="I1684" s="19"/>
      <c r="J1684" s="8" t="str">
        <f aca="false">IF(OR(E1684="",F1684=""),"",E1684*F1684)</f>
        <v/>
      </c>
      <c r="K1684" s="22" t="str">
        <f aca="false">IF($M1684="","",INDEX('Программа тренировок'!$G$6:$G$25,$M1684))</f>
        <v/>
      </c>
      <c r="L1684" s="23" t="str">
        <f aca="false">IF(OR($M1684="",$F1684="",$G1684=""),"",IF($H1684="Разминка","Разминка",IF($F1684&lt;INDEX('Программа тренировок'!$E$6:$E$25,$M1684),"Ниже диапазона",IF(AND($F1684&gt;=INDEX('Программа тренировок'!$F$6:$F$25,$M1684),$G1684&gt;=INDEX('Программа тренировок'!$L$6:$L$25,$M1684)),"Верх диапазона: пора добавлять вес",IF($G1684&lt;INDEX('Программа тренировок'!$L$6:$L$25,$M1684),"RIR ниже цели","В диапазоне")))))</f>
        <v/>
      </c>
      <c r="M1684" s="23" t="str">
        <f aca="false">IF($C1684="","",IFERROR(MATCH($C1684,'Программа тренировок'!$C$6:$C$25,0),""))</f>
        <v/>
      </c>
    </row>
    <row r="1685" customFormat="false" ht="15" hidden="false" customHeight="true" outlineLevel="0" collapsed="false">
      <c r="A1685" s="20"/>
      <c r="B1685" s="21"/>
      <c r="C1685" s="19"/>
      <c r="D1685" s="18"/>
      <c r="E1685" s="17"/>
      <c r="F1685" s="18"/>
      <c r="G1685" s="18"/>
      <c r="H1685" s="21"/>
      <c r="I1685" s="19"/>
      <c r="J1685" s="8" t="str">
        <f aca="false">IF(OR(E1685="",F1685=""),"",E1685*F1685)</f>
        <v/>
      </c>
      <c r="K1685" s="22" t="str">
        <f aca="false">IF($M1685="","",INDEX('Программа тренировок'!$G$6:$G$25,$M1685))</f>
        <v/>
      </c>
      <c r="L1685" s="23" t="str">
        <f aca="false">IF(OR($M1685="",$F1685="",$G1685=""),"",IF($H1685="Разминка","Разминка",IF($F1685&lt;INDEX('Программа тренировок'!$E$6:$E$25,$M1685),"Ниже диапазона",IF(AND($F1685&gt;=INDEX('Программа тренировок'!$F$6:$F$25,$M1685),$G1685&gt;=INDEX('Программа тренировок'!$L$6:$L$25,$M1685)),"Верх диапазона: пора добавлять вес",IF($G1685&lt;INDEX('Программа тренировок'!$L$6:$L$25,$M1685),"RIR ниже цели","В диапазоне")))))</f>
        <v/>
      </c>
      <c r="M1685" s="23" t="str">
        <f aca="false">IF($C1685="","",IFERROR(MATCH($C1685,'Программа тренировок'!$C$6:$C$25,0),""))</f>
        <v/>
      </c>
    </row>
    <row r="1686" customFormat="false" ht="15" hidden="false" customHeight="true" outlineLevel="0" collapsed="false">
      <c r="A1686" s="20"/>
      <c r="B1686" s="21"/>
      <c r="C1686" s="19"/>
      <c r="D1686" s="18"/>
      <c r="E1686" s="17"/>
      <c r="F1686" s="18"/>
      <c r="G1686" s="18"/>
      <c r="H1686" s="21"/>
      <c r="I1686" s="19"/>
      <c r="J1686" s="8" t="str">
        <f aca="false">IF(OR(E1686="",F1686=""),"",E1686*F1686)</f>
        <v/>
      </c>
      <c r="K1686" s="22" t="str">
        <f aca="false">IF($M1686="","",INDEX('Программа тренировок'!$G$6:$G$25,$M1686))</f>
        <v/>
      </c>
      <c r="L1686" s="23" t="str">
        <f aca="false">IF(OR($M1686="",$F1686="",$G1686=""),"",IF($H1686="Разминка","Разминка",IF($F1686&lt;INDEX('Программа тренировок'!$E$6:$E$25,$M1686),"Ниже диапазона",IF(AND($F1686&gt;=INDEX('Программа тренировок'!$F$6:$F$25,$M1686),$G1686&gt;=INDEX('Программа тренировок'!$L$6:$L$25,$M1686)),"Верх диапазона: пора добавлять вес",IF($G1686&lt;INDEX('Программа тренировок'!$L$6:$L$25,$M1686),"RIR ниже цели","В диапазоне")))))</f>
        <v/>
      </c>
      <c r="M1686" s="23" t="str">
        <f aca="false">IF($C1686="","",IFERROR(MATCH($C1686,'Программа тренировок'!$C$6:$C$25,0),""))</f>
        <v/>
      </c>
    </row>
    <row r="1687" customFormat="false" ht="15" hidden="false" customHeight="true" outlineLevel="0" collapsed="false">
      <c r="A1687" s="20"/>
      <c r="B1687" s="21"/>
      <c r="C1687" s="19"/>
      <c r="D1687" s="18"/>
      <c r="E1687" s="17"/>
      <c r="F1687" s="18"/>
      <c r="G1687" s="18"/>
      <c r="H1687" s="21"/>
      <c r="I1687" s="19"/>
      <c r="J1687" s="8" t="str">
        <f aca="false">IF(OR(E1687="",F1687=""),"",E1687*F1687)</f>
        <v/>
      </c>
      <c r="K1687" s="22" t="str">
        <f aca="false">IF($M1687="","",INDEX('Программа тренировок'!$G$6:$G$25,$M1687))</f>
        <v/>
      </c>
      <c r="L1687" s="23" t="str">
        <f aca="false">IF(OR($M1687="",$F1687="",$G1687=""),"",IF($H1687="Разминка","Разминка",IF($F1687&lt;INDEX('Программа тренировок'!$E$6:$E$25,$M1687),"Ниже диапазона",IF(AND($F1687&gt;=INDEX('Программа тренировок'!$F$6:$F$25,$M1687),$G1687&gt;=INDEX('Программа тренировок'!$L$6:$L$25,$M1687)),"Верх диапазона: пора добавлять вес",IF($G1687&lt;INDEX('Программа тренировок'!$L$6:$L$25,$M1687),"RIR ниже цели","В диапазоне")))))</f>
        <v/>
      </c>
      <c r="M1687" s="23" t="str">
        <f aca="false">IF($C1687="","",IFERROR(MATCH($C1687,'Программа тренировок'!$C$6:$C$25,0),""))</f>
        <v/>
      </c>
    </row>
    <row r="1688" customFormat="false" ht="15" hidden="false" customHeight="true" outlineLevel="0" collapsed="false">
      <c r="A1688" s="20"/>
      <c r="B1688" s="21"/>
      <c r="C1688" s="19"/>
      <c r="D1688" s="18"/>
      <c r="E1688" s="17"/>
      <c r="F1688" s="18"/>
      <c r="G1688" s="18"/>
      <c r="H1688" s="21"/>
      <c r="I1688" s="19"/>
      <c r="J1688" s="8" t="str">
        <f aca="false">IF(OR(E1688="",F1688=""),"",E1688*F1688)</f>
        <v/>
      </c>
      <c r="K1688" s="22" t="str">
        <f aca="false">IF($M1688="","",INDEX('Программа тренировок'!$G$6:$G$25,$M1688))</f>
        <v/>
      </c>
      <c r="L1688" s="23" t="str">
        <f aca="false">IF(OR($M1688="",$F1688="",$G1688=""),"",IF($H1688="Разминка","Разминка",IF($F1688&lt;INDEX('Программа тренировок'!$E$6:$E$25,$M1688),"Ниже диапазона",IF(AND($F1688&gt;=INDEX('Программа тренировок'!$F$6:$F$25,$M1688),$G1688&gt;=INDEX('Программа тренировок'!$L$6:$L$25,$M1688)),"Верх диапазона: пора добавлять вес",IF($G1688&lt;INDEX('Программа тренировок'!$L$6:$L$25,$M1688),"RIR ниже цели","В диапазоне")))))</f>
        <v/>
      </c>
      <c r="M1688" s="23" t="str">
        <f aca="false">IF($C1688="","",IFERROR(MATCH($C1688,'Программа тренировок'!$C$6:$C$25,0),""))</f>
        <v/>
      </c>
    </row>
    <row r="1689" customFormat="false" ht="15" hidden="false" customHeight="true" outlineLevel="0" collapsed="false">
      <c r="A1689" s="20"/>
      <c r="B1689" s="21"/>
      <c r="C1689" s="19"/>
      <c r="D1689" s="18"/>
      <c r="E1689" s="17"/>
      <c r="F1689" s="18"/>
      <c r="G1689" s="18"/>
      <c r="H1689" s="21"/>
      <c r="I1689" s="19"/>
      <c r="J1689" s="8" t="str">
        <f aca="false">IF(OR(E1689="",F1689=""),"",E1689*F1689)</f>
        <v/>
      </c>
      <c r="K1689" s="22" t="str">
        <f aca="false">IF($M1689="","",INDEX('Программа тренировок'!$G$6:$G$25,$M1689))</f>
        <v/>
      </c>
      <c r="L1689" s="23" t="str">
        <f aca="false">IF(OR($M1689="",$F1689="",$G1689=""),"",IF($H1689="Разминка","Разминка",IF($F1689&lt;INDEX('Программа тренировок'!$E$6:$E$25,$M1689),"Ниже диапазона",IF(AND($F1689&gt;=INDEX('Программа тренировок'!$F$6:$F$25,$M1689),$G1689&gt;=INDEX('Программа тренировок'!$L$6:$L$25,$M1689)),"Верх диапазона: пора добавлять вес",IF($G1689&lt;INDEX('Программа тренировок'!$L$6:$L$25,$M1689),"RIR ниже цели","В диапазоне")))))</f>
        <v/>
      </c>
      <c r="M1689" s="23" t="str">
        <f aca="false">IF($C1689="","",IFERROR(MATCH($C1689,'Программа тренировок'!$C$6:$C$25,0),""))</f>
        <v/>
      </c>
    </row>
    <row r="1690" customFormat="false" ht="15" hidden="false" customHeight="true" outlineLevel="0" collapsed="false">
      <c r="A1690" s="20"/>
      <c r="B1690" s="21"/>
      <c r="C1690" s="19"/>
      <c r="D1690" s="18"/>
      <c r="E1690" s="17"/>
      <c r="F1690" s="18"/>
      <c r="G1690" s="18"/>
      <c r="H1690" s="21"/>
      <c r="I1690" s="19"/>
      <c r="J1690" s="8" t="str">
        <f aca="false">IF(OR(E1690="",F1690=""),"",E1690*F1690)</f>
        <v/>
      </c>
      <c r="K1690" s="22" t="str">
        <f aca="false">IF($M1690="","",INDEX('Программа тренировок'!$G$6:$G$25,$M1690))</f>
        <v/>
      </c>
      <c r="L1690" s="23" t="str">
        <f aca="false">IF(OR($M1690="",$F1690="",$G1690=""),"",IF($H1690="Разминка","Разминка",IF($F1690&lt;INDEX('Программа тренировок'!$E$6:$E$25,$M1690),"Ниже диапазона",IF(AND($F1690&gt;=INDEX('Программа тренировок'!$F$6:$F$25,$M1690),$G1690&gt;=INDEX('Программа тренировок'!$L$6:$L$25,$M1690)),"Верх диапазона: пора добавлять вес",IF($G1690&lt;INDEX('Программа тренировок'!$L$6:$L$25,$M1690),"RIR ниже цели","В диапазоне")))))</f>
        <v/>
      </c>
      <c r="M1690" s="23" t="str">
        <f aca="false">IF($C1690="","",IFERROR(MATCH($C1690,'Программа тренировок'!$C$6:$C$25,0),""))</f>
        <v/>
      </c>
    </row>
    <row r="1691" customFormat="false" ht="15" hidden="false" customHeight="true" outlineLevel="0" collapsed="false">
      <c r="A1691" s="20"/>
      <c r="B1691" s="21"/>
      <c r="C1691" s="19"/>
      <c r="D1691" s="18"/>
      <c r="E1691" s="17"/>
      <c r="F1691" s="18"/>
      <c r="G1691" s="18"/>
      <c r="H1691" s="21"/>
      <c r="I1691" s="19"/>
      <c r="J1691" s="8" t="str">
        <f aca="false">IF(OR(E1691="",F1691=""),"",E1691*F1691)</f>
        <v/>
      </c>
      <c r="K1691" s="22" t="str">
        <f aca="false">IF($M1691="","",INDEX('Программа тренировок'!$G$6:$G$25,$M1691))</f>
        <v/>
      </c>
      <c r="L1691" s="23" t="str">
        <f aca="false">IF(OR($M1691="",$F1691="",$G1691=""),"",IF($H1691="Разминка","Разминка",IF($F1691&lt;INDEX('Программа тренировок'!$E$6:$E$25,$M1691),"Ниже диапазона",IF(AND($F1691&gt;=INDEX('Программа тренировок'!$F$6:$F$25,$M1691),$G1691&gt;=INDEX('Программа тренировок'!$L$6:$L$25,$M1691)),"Верх диапазона: пора добавлять вес",IF($G1691&lt;INDEX('Программа тренировок'!$L$6:$L$25,$M1691),"RIR ниже цели","В диапазоне")))))</f>
        <v/>
      </c>
      <c r="M1691" s="23" t="str">
        <f aca="false">IF($C1691="","",IFERROR(MATCH($C1691,'Программа тренировок'!$C$6:$C$25,0),""))</f>
        <v/>
      </c>
    </row>
    <row r="1692" customFormat="false" ht="15" hidden="false" customHeight="true" outlineLevel="0" collapsed="false">
      <c r="A1692" s="20"/>
      <c r="B1692" s="21"/>
      <c r="C1692" s="19"/>
      <c r="D1692" s="18"/>
      <c r="E1692" s="17"/>
      <c r="F1692" s="18"/>
      <c r="G1692" s="18"/>
      <c r="H1692" s="21"/>
      <c r="I1692" s="19"/>
      <c r="J1692" s="8" t="str">
        <f aca="false">IF(OR(E1692="",F1692=""),"",E1692*F1692)</f>
        <v/>
      </c>
      <c r="K1692" s="22" t="str">
        <f aca="false">IF($M1692="","",INDEX('Программа тренировок'!$G$6:$G$25,$M1692))</f>
        <v/>
      </c>
      <c r="L1692" s="23" t="str">
        <f aca="false">IF(OR($M1692="",$F1692="",$G1692=""),"",IF($H1692="Разминка","Разминка",IF($F1692&lt;INDEX('Программа тренировок'!$E$6:$E$25,$M1692),"Ниже диапазона",IF(AND($F1692&gt;=INDEX('Программа тренировок'!$F$6:$F$25,$M1692),$G1692&gt;=INDEX('Программа тренировок'!$L$6:$L$25,$M1692)),"Верх диапазона: пора добавлять вес",IF($G1692&lt;INDEX('Программа тренировок'!$L$6:$L$25,$M1692),"RIR ниже цели","В диапазоне")))))</f>
        <v/>
      </c>
      <c r="M1692" s="23" t="str">
        <f aca="false">IF($C1692="","",IFERROR(MATCH($C1692,'Программа тренировок'!$C$6:$C$25,0),""))</f>
        <v/>
      </c>
    </row>
    <row r="1693" customFormat="false" ht="15" hidden="false" customHeight="true" outlineLevel="0" collapsed="false">
      <c r="A1693" s="20"/>
      <c r="B1693" s="21"/>
      <c r="C1693" s="19"/>
      <c r="D1693" s="18"/>
      <c r="E1693" s="17"/>
      <c r="F1693" s="18"/>
      <c r="G1693" s="18"/>
      <c r="H1693" s="21"/>
      <c r="I1693" s="19"/>
      <c r="J1693" s="8" t="str">
        <f aca="false">IF(OR(E1693="",F1693=""),"",E1693*F1693)</f>
        <v/>
      </c>
      <c r="K1693" s="22" t="str">
        <f aca="false">IF($M1693="","",INDEX('Программа тренировок'!$G$6:$G$25,$M1693))</f>
        <v/>
      </c>
      <c r="L1693" s="23" t="str">
        <f aca="false">IF(OR($M1693="",$F1693="",$G1693=""),"",IF($H1693="Разминка","Разминка",IF($F1693&lt;INDEX('Программа тренировок'!$E$6:$E$25,$M1693),"Ниже диапазона",IF(AND($F1693&gt;=INDEX('Программа тренировок'!$F$6:$F$25,$M1693),$G1693&gt;=INDEX('Программа тренировок'!$L$6:$L$25,$M1693)),"Верх диапазона: пора добавлять вес",IF($G1693&lt;INDEX('Программа тренировок'!$L$6:$L$25,$M1693),"RIR ниже цели","В диапазоне")))))</f>
        <v/>
      </c>
      <c r="M1693" s="23" t="str">
        <f aca="false">IF($C1693="","",IFERROR(MATCH($C1693,'Программа тренировок'!$C$6:$C$25,0),""))</f>
        <v/>
      </c>
    </row>
    <row r="1694" customFormat="false" ht="15" hidden="false" customHeight="true" outlineLevel="0" collapsed="false">
      <c r="A1694" s="20"/>
      <c r="B1694" s="21"/>
      <c r="C1694" s="19"/>
      <c r="D1694" s="18"/>
      <c r="E1694" s="17"/>
      <c r="F1694" s="18"/>
      <c r="G1694" s="18"/>
      <c r="H1694" s="21"/>
      <c r="I1694" s="19"/>
      <c r="J1694" s="8" t="str">
        <f aca="false">IF(OR(E1694="",F1694=""),"",E1694*F1694)</f>
        <v/>
      </c>
      <c r="K1694" s="22" t="str">
        <f aca="false">IF($M1694="","",INDEX('Программа тренировок'!$G$6:$G$25,$M1694))</f>
        <v/>
      </c>
      <c r="L1694" s="23" t="str">
        <f aca="false">IF(OR($M1694="",$F1694="",$G1694=""),"",IF($H1694="Разминка","Разминка",IF($F1694&lt;INDEX('Программа тренировок'!$E$6:$E$25,$M1694),"Ниже диапазона",IF(AND($F1694&gt;=INDEX('Программа тренировок'!$F$6:$F$25,$M1694),$G1694&gt;=INDEX('Программа тренировок'!$L$6:$L$25,$M1694)),"Верх диапазона: пора добавлять вес",IF($G1694&lt;INDEX('Программа тренировок'!$L$6:$L$25,$M1694),"RIR ниже цели","В диапазоне")))))</f>
        <v/>
      </c>
      <c r="M1694" s="23" t="str">
        <f aca="false">IF($C1694="","",IFERROR(MATCH($C1694,'Программа тренировок'!$C$6:$C$25,0),""))</f>
        <v/>
      </c>
    </row>
    <row r="1695" customFormat="false" ht="15" hidden="false" customHeight="true" outlineLevel="0" collapsed="false">
      <c r="A1695" s="20"/>
      <c r="B1695" s="21"/>
      <c r="C1695" s="19"/>
      <c r="D1695" s="18"/>
      <c r="E1695" s="17"/>
      <c r="F1695" s="18"/>
      <c r="G1695" s="18"/>
      <c r="H1695" s="21"/>
      <c r="I1695" s="19"/>
      <c r="J1695" s="8" t="str">
        <f aca="false">IF(OR(E1695="",F1695=""),"",E1695*F1695)</f>
        <v/>
      </c>
      <c r="K1695" s="22" t="str">
        <f aca="false">IF($M1695="","",INDEX('Программа тренировок'!$G$6:$G$25,$M1695))</f>
        <v/>
      </c>
      <c r="L1695" s="23" t="str">
        <f aca="false">IF(OR($M1695="",$F1695="",$G1695=""),"",IF($H1695="Разминка","Разминка",IF($F1695&lt;INDEX('Программа тренировок'!$E$6:$E$25,$M1695),"Ниже диапазона",IF(AND($F1695&gt;=INDEX('Программа тренировок'!$F$6:$F$25,$M1695),$G1695&gt;=INDEX('Программа тренировок'!$L$6:$L$25,$M1695)),"Верх диапазона: пора добавлять вес",IF($G1695&lt;INDEX('Программа тренировок'!$L$6:$L$25,$M1695),"RIR ниже цели","В диапазоне")))))</f>
        <v/>
      </c>
      <c r="M1695" s="23" t="str">
        <f aca="false">IF($C1695="","",IFERROR(MATCH($C1695,'Программа тренировок'!$C$6:$C$25,0),""))</f>
        <v/>
      </c>
    </row>
    <row r="1696" customFormat="false" ht="15" hidden="false" customHeight="true" outlineLevel="0" collapsed="false">
      <c r="A1696" s="20"/>
      <c r="B1696" s="21"/>
      <c r="C1696" s="19"/>
      <c r="D1696" s="18"/>
      <c r="E1696" s="17"/>
      <c r="F1696" s="18"/>
      <c r="G1696" s="18"/>
      <c r="H1696" s="21"/>
      <c r="I1696" s="19"/>
      <c r="J1696" s="8" t="str">
        <f aca="false">IF(OR(E1696="",F1696=""),"",E1696*F1696)</f>
        <v/>
      </c>
      <c r="K1696" s="22" t="str">
        <f aca="false">IF($M1696="","",INDEX('Программа тренировок'!$G$6:$G$25,$M1696))</f>
        <v/>
      </c>
      <c r="L1696" s="23" t="str">
        <f aca="false">IF(OR($M1696="",$F1696="",$G1696=""),"",IF($H1696="Разминка","Разминка",IF($F1696&lt;INDEX('Программа тренировок'!$E$6:$E$25,$M1696),"Ниже диапазона",IF(AND($F1696&gt;=INDEX('Программа тренировок'!$F$6:$F$25,$M1696),$G1696&gt;=INDEX('Программа тренировок'!$L$6:$L$25,$M1696)),"Верх диапазона: пора добавлять вес",IF($G1696&lt;INDEX('Программа тренировок'!$L$6:$L$25,$M1696),"RIR ниже цели","В диапазоне")))))</f>
        <v/>
      </c>
      <c r="M1696" s="23" t="str">
        <f aca="false">IF($C1696="","",IFERROR(MATCH($C1696,'Программа тренировок'!$C$6:$C$25,0),""))</f>
        <v/>
      </c>
    </row>
    <row r="1697" customFormat="false" ht="15" hidden="false" customHeight="true" outlineLevel="0" collapsed="false">
      <c r="A1697" s="20"/>
      <c r="B1697" s="21"/>
      <c r="C1697" s="19"/>
      <c r="D1697" s="18"/>
      <c r="E1697" s="17"/>
      <c r="F1697" s="18"/>
      <c r="G1697" s="18"/>
      <c r="H1697" s="21"/>
      <c r="I1697" s="19"/>
      <c r="J1697" s="8" t="str">
        <f aca="false">IF(OR(E1697="",F1697=""),"",E1697*F1697)</f>
        <v/>
      </c>
      <c r="K1697" s="22" t="str">
        <f aca="false">IF($M1697="","",INDEX('Программа тренировок'!$G$6:$G$25,$M1697))</f>
        <v/>
      </c>
      <c r="L1697" s="23" t="str">
        <f aca="false">IF(OR($M1697="",$F1697="",$G1697=""),"",IF($H1697="Разминка","Разминка",IF($F1697&lt;INDEX('Программа тренировок'!$E$6:$E$25,$M1697),"Ниже диапазона",IF(AND($F1697&gt;=INDEX('Программа тренировок'!$F$6:$F$25,$M1697),$G1697&gt;=INDEX('Программа тренировок'!$L$6:$L$25,$M1697)),"Верх диапазона: пора добавлять вес",IF($G1697&lt;INDEX('Программа тренировок'!$L$6:$L$25,$M1697),"RIR ниже цели","В диапазоне")))))</f>
        <v/>
      </c>
      <c r="M1697" s="23" t="str">
        <f aca="false">IF($C1697="","",IFERROR(MATCH($C1697,'Программа тренировок'!$C$6:$C$25,0),""))</f>
        <v/>
      </c>
    </row>
    <row r="1698" customFormat="false" ht="15" hidden="false" customHeight="true" outlineLevel="0" collapsed="false">
      <c r="A1698" s="20"/>
      <c r="B1698" s="21"/>
      <c r="C1698" s="19"/>
      <c r="D1698" s="18"/>
      <c r="E1698" s="17"/>
      <c r="F1698" s="18"/>
      <c r="G1698" s="18"/>
      <c r="H1698" s="21"/>
      <c r="I1698" s="19"/>
      <c r="J1698" s="8" t="str">
        <f aca="false">IF(OR(E1698="",F1698=""),"",E1698*F1698)</f>
        <v/>
      </c>
      <c r="K1698" s="22" t="str">
        <f aca="false">IF($M1698="","",INDEX('Программа тренировок'!$G$6:$G$25,$M1698))</f>
        <v/>
      </c>
      <c r="L1698" s="23" t="str">
        <f aca="false">IF(OR($M1698="",$F1698="",$G1698=""),"",IF($H1698="Разминка","Разминка",IF($F1698&lt;INDEX('Программа тренировок'!$E$6:$E$25,$M1698),"Ниже диапазона",IF(AND($F1698&gt;=INDEX('Программа тренировок'!$F$6:$F$25,$M1698),$G1698&gt;=INDEX('Программа тренировок'!$L$6:$L$25,$M1698)),"Верх диапазона: пора добавлять вес",IF($G1698&lt;INDEX('Программа тренировок'!$L$6:$L$25,$M1698),"RIR ниже цели","В диапазоне")))))</f>
        <v/>
      </c>
      <c r="M1698" s="23" t="str">
        <f aca="false">IF($C1698="","",IFERROR(MATCH($C1698,'Программа тренировок'!$C$6:$C$25,0),""))</f>
        <v/>
      </c>
    </row>
    <row r="1699" customFormat="false" ht="15" hidden="false" customHeight="true" outlineLevel="0" collapsed="false">
      <c r="A1699" s="20"/>
      <c r="B1699" s="21"/>
      <c r="C1699" s="19"/>
      <c r="D1699" s="18"/>
      <c r="E1699" s="17"/>
      <c r="F1699" s="18"/>
      <c r="G1699" s="18"/>
      <c r="H1699" s="21"/>
      <c r="I1699" s="19"/>
      <c r="J1699" s="8" t="str">
        <f aca="false">IF(OR(E1699="",F1699=""),"",E1699*F1699)</f>
        <v/>
      </c>
      <c r="K1699" s="22" t="str">
        <f aca="false">IF($M1699="","",INDEX('Программа тренировок'!$G$6:$G$25,$M1699))</f>
        <v/>
      </c>
      <c r="L1699" s="23" t="str">
        <f aca="false">IF(OR($M1699="",$F1699="",$G1699=""),"",IF($H1699="Разминка","Разминка",IF($F1699&lt;INDEX('Программа тренировок'!$E$6:$E$25,$M1699),"Ниже диапазона",IF(AND($F1699&gt;=INDEX('Программа тренировок'!$F$6:$F$25,$M1699),$G1699&gt;=INDEX('Программа тренировок'!$L$6:$L$25,$M1699)),"Верх диапазона: пора добавлять вес",IF($G1699&lt;INDEX('Программа тренировок'!$L$6:$L$25,$M1699),"RIR ниже цели","В диапазоне")))))</f>
        <v/>
      </c>
      <c r="M1699" s="23" t="str">
        <f aca="false">IF($C1699="","",IFERROR(MATCH($C1699,'Программа тренировок'!$C$6:$C$25,0),""))</f>
        <v/>
      </c>
    </row>
    <row r="1700" customFormat="false" ht="15" hidden="false" customHeight="true" outlineLevel="0" collapsed="false">
      <c r="A1700" s="20"/>
      <c r="B1700" s="21"/>
      <c r="C1700" s="19"/>
      <c r="D1700" s="18"/>
      <c r="E1700" s="17"/>
      <c r="F1700" s="18"/>
      <c r="G1700" s="18"/>
      <c r="H1700" s="21"/>
      <c r="I1700" s="19"/>
      <c r="J1700" s="8" t="str">
        <f aca="false">IF(OR(E1700="",F1700=""),"",E1700*F1700)</f>
        <v/>
      </c>
      <c r="K1700" s="22" t="str">
        <f aca="false">IF($M1700="","",INDEX('Программа тренировок'!$G$6:$G$25,$M1700))</f>
        <v/>
      </c>
      <c r="L1700" s="23" t="str">
        <f aca="false">IF(OR($M1700="",$F1700="",$G1700=""),"",IF($H1700="Разминка","Разминка",IF($F1700&lt;INDEX('Программа тренировок'!$E$6:$E$25,$M1700),"Ниже диапазона",IF(AND($F1700&gt;=INDEX('Программа тренировок'!$F$6:$F$25,$M1700),$G1700&gt;=INDEX('Программа тренировок'!$L$6:$L$25,$M1700)),"Верх диапазона: пора добавлять вес",IF($G1700&lt;INDEX('Программа тренировок'!$L$6:$L$25,$M1700),"RIR ниже цели","В диапазоне")))))</f>
        <v/>
      </c>
      <c r="M1700" s="23" t="str">
        <f aca="false">IF($C1700="","",IFERROR(MATCH($C1700,'Программа тренировок'!$C$6:$C$25,0),""))</f>
        <v/>
      </c>
    </row>
    <row r="1701" customFormat="false" ht="15" hidden="false" customHeight="true" outlineLevel="0" collapsed="false">
      <c r="A1701" s="20"/>
      <c r="B1701" s="21"/>
      <c r="C1701" s="19"/>
      <c r="D1701" s="18"/>
      <c r="E1701" s="17"/>
      <c r="F1701" s="18"/>
      <c r="G1701" s="18"/>
      <c r="H1701" s="21"/>
      <c r="I1701" s="19"/>
      <c r="J1701" s="8" t="str">
        <f aca="false">IF(OR(E1701="",F1701=""),"",E1701*F1701)</f>
        <v/>
      </c>
      <c r="K1701" s="22" t="str">
        <f aca="false">IF($M1701="","",INDEX('Программа тренировок'!$G$6:$G$25,$M1701))</f>
        <v/>
      </c>
      <c r="L1701" s="23" t="str">
        <f aca="false">IF(OR($M1701="",$F1701="",$G1701=""),"",IF($H1701="Разминка","Разминка",IF($F1701&lt;INDEX('Программа тренировок'!$E$6:$E$25,$M1701),"Ниже диапазона",IF(AND($F1701&gt;=INDEX('Программа тренировок'!$F$6:$F$25,$M1701),$G1701&gt;=INDEX('Программа тренировок'!$L$6:$L$25,$M1701)),"Верх диапазона: пора добавлять вес",IF($G1701&lt;INDEX('Программа тренировок'!$L$6:$L$25,$M1701),"RIR ниже цели","В диапазоне")))))</f>
        <v/>
      </c>
      <c r="M1701" s="23" t="str">
        <f aca="false">IF($C1701="","",IFERROR(MATCH($C1701,'Программа тренировок'!$C$6:$C$25,0),""))</f>
        <v/>
      </c>
    </row>
    <row r="1702" customFormat="false" ht="15" hidden="false" customHeight="true" outlineLevel="0" collapsed="false">
      <c r="A1702" s="20"/>
      <c r="B1702" s="21"/>
      <c r="C1702" s="19"/>
      <c r="D1702" s="18"/>
      <c r="E1702" s="17"/>
      <c r="F1702" s="18"/>
      <c r="G1702" s="18"/>
      <c r="H1702" s="21"/>
      <c r="I1702" s="19"/>
      <c r="J1702" s="8" t="str">
        <f aca="false">IF(OR(E1702="",F1702=""),"",E1702*F1702)</f>
        <v/>
      </c>
      <c r="K1702" s="22" t="str">
        <f aca="false">IF($M1702="","",INDEX('Программа тренировок'!$G$6:$G$25,$M1702))</f>
        <v/>
      </c>
      <c r="L1702" s="23" t="str">
        <f aca="false">IF(OR($M1702="",$F1702="",$G1702=""),"",IF($H1702="Разминка","Разминка",IF($F1702&lt;INDEX('Программа тренировок'!$E$6:$E$25,$M1702),"Ниже диапазона",IF(AND($F1702&gt;=INDEX('Программа тренировок'!$F$6:$F$25,$M1702),$G1702&gt;=INDEX('Программа тренировок'!$L$6:$L$25,$M1702)),"Верх диапазона: пора добавлять вес",IF($G1702&lt;INDEX('Программа тренировок'!$L$6:$L$25,$M1702),"RIR ниже цели","В диапазоне")))))</f>
        <v/>
      </c>
      <c r="M1702" s="23" t="str">
        <f aca="false">IF($C1702="","",IFERROR(MATCH($C1702,'Программа тренировок'!$C$6:$C$25,0),""))</f>
        <v/>
      </c>
    </row>
    <row r="1703" customFormat="false" ht="15" hidden="false" customHeight="true" outlineLevel="0" collapsed="false">
      <c r="A1703" s="20"/>
      <c r="B1703" s="21"/>
      <c r="C1703" s="19"/>
      <c r="D1703" s="18"/>
      <c r="E1703" s="17"/>
      <c r="F1703" s="18"/>
      <c r="G1703" s="18"/>
      <c r="H1703" s="21"/>
      <c r="I1703" s="19"/>
      <c r="J1703" s="8" t="str">
        <f aca="false">IF(OR(E1703="",F1703=""),"",E1703*F1703)</f>
        <v/>
      </c>
      <c r="K1703" s="22" t="str">
        <f aca="false">IF($M1703="","",INDEX('Программа тренировок'!$G$6:$G$25,$M1703))</f>
        <v/>
      </c>
      <c r="L1703" s="23" t="str">
        <f aca="false">IF(OR($M1703="",$F1703="",$G1703=""),"",IF($H1703="Разминка","Разминка",IF($F1703&lt;INDEX('Программа тренировок'!$E$6:$E$25,$M1703),"Ниже диапазона",IF(AND($F1703&gt;=INDEX('Программа тренировок'!$F$6:$F$25,$M1703),$G1703&gt;=INDEX('Программа тренировок'!$L$6:$L$25,$M1703)),"Верх диапазона: пора добавлять вес",IF($G1703&lt;INDEX('Программа тренировок'!$L$6:$L$25,$M1703),"RIR ниже цели","В диапазоне")))))</f>
        <v/>
      </c>
      <c r="M1703" s="23" t="str">
        <f aca="false">IF($C1703="","",IFERROR(MATCH($C1703,'Программа тренировок'!$C$6:$C$25,0),""))</f>
        <v/>
      </c>
    </row>
    <row r="1704" customFormat="false" ht="15" hidden="false" customHeight="true" outlineLevel="0" collapsed="false">
      <c r="A1704" s="20"/>
      <c r="B1704" s="21"/>
      <c r="C1704" s="19"/>
      <c r="D1704" s="18"/>
      <c r="E1704" s="17"/>
      <c r="F1704" s="18"/>
      <c r="G1704" s="18"/>
      <c r="H1704" s="21"/>
      <c r="I1704" s="19"/>
      <c r="J1704" s="8" t="str">
        <f aca="false">IF(OR(E1704="",F1704=""),"",E1704*F1704)</f>
        <v/>
      </c>
      <c r="K1704" s="22" t="str">
        <f aca="false">IF($M1704="","",INDEX('Программа тренировок'!$G$6:$G$25,$M1704))</f>
        <v/>
      </c>
      <c r="L1704" s="23" t="str">
        <f aca="false">IF(OR($M1704="",$F1704="",$G1704=""),"",IF($H1704="Разминка","Разминка",IF($F1704&lt;INDEX('Программа тренировок'!$E$6:$E$25,$M1704),"Ниже диапазона",IF(AND($F1704&gt;=INDEX('Программа тренировок'!$F$6:$F$25,$M1704),$G1704&gt;=INDEX('Программа тренировок'!$L$6:$L$25,$M1704)),"Верх диапазона: пора добавлять вес",IF($G1704&lt;INDEX('Программа тренировок'!$L$6:$L$25,$M1704),"RIR ниже цели","В диапазоне")))))</f>
        <v/>
      </c>
      <c r="M1704" s="23" t="str">
        <f aca="false">IF($C1704="","",IFERROR(MATCH($C1704,'Программа тренировок'!$C$6:$C$25,0),""))</f>
        <v/>
      </c>
    </row>
    <row r="1705" customFormat="false" ht="15" hidden="false" customHeight="true" outlineLevel="0" collapsed="false">
      <c r="A1705" s="20"/>
      <c r="B1705" s="21"/>
      <c r="C1705" s="19"/>
      <c r="D1705" s="18"/>
      <c r="E1705" s="17"/>
      <c r="F1705" s="18"/>
      <c r="G1705" s="18"/>
      <c r="H1705" s="21"/>
      <c r="I1705" s="19"/>
      <c r="J1705" s="8" t="str">
        <f aca="false">IF(OR(E1705="",F1705=""),"",E1705*F1705)</f>
        <v/>
      </c>
      <c r="K1705" s="22" t="str">
        <f aca="false">IF($M1705="","",INDEX('Программа тренировок'!$G$6:$G$25,$M1705))</f>
        <v/>
      </c>
      <c r="L1705" s="23" t="str">
        <f aca="false">IF(OR($M1705="",$F1705="",$G1705=""),"",IF($H1705="Разминка","Разминка",IF($F1705&lt;INDEX('Программа тренировок'!$E$6:$E$25,$M1705),"Ниже диапазона",IF(AND($F1705&gt;=INDEX('Программа тренировок'!$F$6:$F$25,$M1705),$G1705&gt;=INDEX('Программа тренировок'!$L$6:$L$25,$M1705)),"Верх диапазона: пора добавлять вес",IF($G1705&lt;INDEX('Программа тренировок'!$L$6:$L$25,$M1705),"RIR ниже цели","В диапазоне")))))</f>
        <v/>
      </c>
      <c r="M1705" s="23" t="str">
        <f aca="false">IF($C1705="","",IFERROR(MATCH($C1705,'Программа тренировок'!$C$6:$C$25,0),""))</f>
        <v/>
      </c>
    </row>
    <row r="1706" customFormat="false" ht="15" hidden="false" customHeight="true" outlineLevel="0" collapsed="false">
      <c r="A1706" s="20"/>
      <c r="B1706" s="21"/>
      <c r="C1706" s="19"/>
      <c r="D1706" s="18"/>
      <c r="E1706" s="17"/>
      <c r="F1706" s="18"/>
      <c r="G1706" s="18"/>
      <c r="H1706" s="21"/>
      <c r="I1706" s="19"/>
      <c r="J1706" s="8" t="str">
        <f aca="false">IF(OR(E1706="",F1706=""),"",E1706*F1706)</f>
        <v/>
      </c>
      <c r="K1706" s="22" t="str">
        <f aca="false">IF($M1706="","",INDEX('Программа тренировок'!$G$6:$G$25,$M1706))</f>
        <v/>
      </c>
      <c r="L1706" s="23" t="str">
        <f aca="false">IF(OR($M1706="",$F1706="",$G1706=""),"",IF($H1706="Разминка","Разминка",IF($F1706&lt;INDEX('Программа тренировок'!$E$6:$E$25,$M1706),"Ниже диапазона",IF(AND($F1706&gt;=INDEX('Программа тренировок'!$F$6:$F$25,$M1706),$G1706&gt;=INDEX('Программа тренировок'!$L$6:$L$25,$M1706)),"Верх диапазона: пора добавлять вес",IF($G1706&lt;INDEX('Программа тренировок'!$L$6:$L$25,$M1706),"RIR ниже цели","В диапазоне")))))</f>
        <v/>
      </c>
      <c r="M1706" s="23" t="str">
        <f aca="false">IF($C1706="","",IFERROR(MATCH($C1706,'Программа тренировок'!$C$6:$C$25,0),""))</f>
        <v/>
      </c>
    </row>
    <row r="1707" customFormat="false" ht="15" hidden="false" customHeight="true" outlineLevel="0" collapsed="false">
      <c r="A1707" s="20"/>
      <c r="B1707" s="21"/>
      <c r="C1707" s="19"/>
      <c r="D1707" s="18"/>
      <c r="E1707" s="17"/>
      <c r="F1707" s="18"/>
      <c r="G1707" s="18"/>
      <c r="H1707" s="21"/>
      <c r="I1707" s="19"/>
      <c r="J1707" s="8" t="str">
        <f aca="false">IF(OR(E1707="",F1707=""),"",E1707*F1707)</f>
        <v/>
      </c>
      <c r="K1707" s="22" t="str">
        <f aca="false">IF($M1707="","",INDEX('Программа тренировок'!$G$6:$G$25,$M1707))</f>
        <v/>
      </c>
      <c r="L1707" s="23" t="str">
        <f aca="false">IF(OR($M1707="",$F1707="",$G1707=""),"",IF($H1707="Разминка","Разминка",IF($F1707&lt;INDEX('Программа тренировок'!$E$6:$E$25,$M1707),"Ниже диапазона",IF(AND($F1707&gt;=INDEX('Программа тренировок'!$F$6:$F$25,$M1707),$G1707&gt;=INDEX('Программа тренировок'!$L$6:$L$25,$M1707)),"Верх диапазона: пора добавлять вес",IF($G1707&lt;INDEX('Программа тренировок'!$L$6:$L$25,$M1707),"RIR ниже цели","В диапазоне")))))</f>
        <v/>
      </c>
      <c r="M1707" s="23" t="str">
        <f aca="false">IF($C1707="","",IFERROR(MATCH($C1707,'Программа тренировок'!$C$6:$C$25,0),""))</f>
        <v/>
      </c>
    </row>
    <row r="1708" customFormat="false" ht="15" hidden="false" customHeight="true" outlineLevel="0" collapsed="false">
      <c r="A1708" s="20"/>
      <c r="B1708" s="21"/>
      <c r="C1708" s="19"/>
      <c r="D1708" s="18"/>
      <c r="E1708" s="17"/>
      <c r="F1708" s="18"/>
      <c r="G1708" s="18"/>
      <c r="H1708" s="21"/>
      <c r="I1708" s="19"/>
      <c r="J1708" s="8" t="str">
        <f aca="false">IF(OR(E1708="",F1708=""),"",E1708*F1708)</f>
        <v/>
      </c>
      <c r="K1708" s="22" t="str">
        <f aca="false">IF($M1708="","",INDEX('Программа тренировок'!$G$6:$G$25,$M1708))</f>
        <v/>
      </c>
      <c r="L1708" s="23" t="str">
        <f aca="false">IF(OR($M1708="",$F1708="",$G1708=""),"",IF($H1708="Разминка","Разминка",IF($F1708&lt;INDEX('Программа тренировок'!$E$6:$E$25,$M1708),"Ниже диапазона",IF(AND($F1708&gt;=INDEX('Программа тренировок'!$F$6:$F$25,$M1708),$G1708&gt;=INDEX('Программа тренировок'!$L$6:$L$25,$M1708)),"Верх диапазона: пора добавлять вес",IF($G1708&lt;INDEX('Программа тренировок'!$L$6:$L$25,$M1708),"RIR ниже цели","В диапазоне")))))</f>
        <v/>
      </c>
      <c r="M1708" s="23" t="str">
        <f aca="false">IF($C1708="","",IFERROR(MATCH($C1708,'Программа тренировок'!$C$6:$C$25,0),""))</f>
        <v/>
      </c>
    </row>
    <row r="1709" customFormat="false" ht="15" hidden="false" customHeight="true" outlineLevel="0" collapsed="false">
      <c r="A1709" s="20"/>
      <c r="B1709" s="21"/>
      <c r="C1709" s="19"/>
      <c r="D1709" s="18"/>
      <c r="E1709" s="17"/>
      <c r="F1709" s="18"/>
      <c r="G1709" s="18"/>
      <c r="H1709" s="21"/>
      <c r="I1709" s="19"/>
      <c r="J1709" s="8" t="str">
        <f aca="false">IF(OR(E1709="",F1709=""),"",E1709*F1709)</f>
        <v/>
      </c>
      <c r="K1709" s="22" t="str">
        <f aca="false">IF($M1709="","",INDEX('Программа тренировок'!$G$6:$G$25,$M1709))</f>
        <v/>
      </c>
      <c r="L1709" s="23" t="str">
        <f aca="false">IF(OR($M1709="",$F1709="",$G1709=""),"",IF($H1709="Разминка","Разминка",IF($F1709&lt;INDEX('Программа тренировок'!$E$6:$E$25,$M1709),"Ниже диапазона",IF(AND($F1709&gt;=INDEX('Программа тренировок'!$F$6:$F$25,$M1709),$G1709&gt;=INDEX('Программа тренировок'!$L$6:$L$25,$M1709)),"Верх диапазона: пора добавлять вес",IF($G1709&lt;INDEX('Программа тренировок'!$L$6:$L$25,$M1709),"RIR ниже цели","В диапазоне")))))</f>
        <v/>
      </c>
      <c r="M1709" s="23" t="str">
        <f aca="false">IF($C1709="","",IFERROR(MATCH($C1709,'Программа тренировок'!$C$6:$C$25,0),""))</f>
        <v/>
      </c>
    </row>
    <row r="1710" customFormat="false" ht="15" hidden="false" customHeight="true" outlineLevel="0" collapsed="false">
      <c r="A1710" s="20"/>
      <c r="B1710" s="21"/>
      <c r="C1710" s="19"/>
      <c r="D1710" s="18"/>
      <c r="E1710" s="17"/>
      <c r="F1710" s="18"/>
      <c r="G1710" s="18"/>
      <c r="H1710" s="21"/>
      <c r="I1710" s="19"/>
      <c r="J1710" s="8" t="str">
        <f aca="false">IF(OR(E1710="",F1710=""),"",E1710*F1710)</f>
        <v/>
      </c>
      <c r="K1710" s="22" t="str">
        <f aca="false">IF($M1710="","",INDEX('Программа тренировок'!$G$6:$G$25,$M1710))</f>
        <v/>
      </c>
      <c r="L1710" s="23" t="str">
        <f aca="false">IF(OR($M1710="",$F1710="",$G1710=""),"",IF($H1710="Разминка","Разминка",IF($F1710&lt;INDEX('Программа тренировок'!$E$6:$E$25,$M1710),"Ниже диапазона",IF(AND($F1710&gt;=INDEX('Программа тренировок'!$F$6:$F$25,$M1710),$G1710&gt;=INDEX('Программа тренировок'!$L$6:$L$25,$M1710)),"Верх диапазона: пора добавлять вес",IF($G1710&lt;INDEX('Программа тренировок'!$L$6:$L$25,$M1710),"RIR ниже цели","В диапазоне")))))</f>
        <v/>
      </c>
      <c r="M1710" s="23" t="str">
        <f aca="false">IF($C1710="","",IFERROR(MATCH($C1710,'Программа тренировок'!$C$6:$C$25,0),""))</f>
        <v/>
      </c>
    </row>
    <row r="1711" customFormat="false" ht="15" hidden="false" customHeight="true" outlineLevel="0" collapsed="false">
      <c r="A1711" s="20"/>
      <c r="B1711" s="21"/>
      <c r="C1711" s="19"/>
      <c r="D1711" s="18"/>
      <c r="E1711" s="17"/>
      <c r="F1711" s="18"/>
      <c r="G1711" s="18"/>
      <c r="H1711" s="21"/>
      <c r="I1711" s="19"/>
      <c r="J1711" s="8" t="str">
        <f aca="false">IF(OR(E1711="",F1711=""),"",E1711*F1711)</f>
        <v/>
      </c>
      <c r="K1711" s="22" t="str">
        <f aca="false">IF($M1711="","",INDEX('Программа тренировок'!$G$6:$G$25,$M1711))</f>
        <v/>
      </c>
      <c r="L1711" s="23" t="str">
        <f aca="false">IF(OR($M1711="",$F1711="",$G1711=""),"",IF($H1711="Разминка","Разминка",IF($F1711&lt;INDEX('Программа тренировок'!$E$6:$E$25,$M1711),"Ниже диапазона",IF(AND($F1711&gt;=INDEX('Программа тренировок'!$F$6:$F$25,$M1711),$G1711&gt;=INDEX('Программа тренировок'!$L$6:$L$25,$M1711)),"Верх диапазона: пора добавлять вес",IF($G1711&lt;INDEX('Программа тренировок'!$L$6:$L$25,$M1711),"RIR ниже цели","В диапазоне")))))</f>
        <v/>
      </c>
      <c r="M1711" s="23" t="str">
        <f aca="false">IF($C1711="","",IFERROR(MATCH($C1711,'Программа тренировок'!$C$6:$C$25,0),""))</f>
        <v/>
      </c>
    </row>
    <row r="1712" customFormat="false" ht="15" hidden="false" customHeight="true" outlineLevel="0" collapsed="false">
      <c r="A1712" s="20"/>
      <c r="B1712" s="21"/>
      <c r="C1712" s="19"/>
      <c r="D1712" s="18"/>
      <c r="E1712" s="17"/>
      <c r="F1712" s="18"/>
      <c r="G1712" s="18"/>
      <c r="H1712" s="21"/>
      <c r="I1712" s="19"/>
      <c r="J1712" s="8" t="str">
        <f aca="false">IF(OR(E1712="",F1712=""),"",E1712*F1712)</f>
        <v/>
      </c>
      <c r="K1712" s="22" t="str">
        <f aca="false">IF($M1712="","",INDEX('Программа тренировок'!$G$6:$G$25,$M1712))</f>
        <v/>
      </c>
      <c r="L1712" s="23" t="str">
        <f aca="false">IF(OR($M1712="",$F1712="",$G1712=""),"",IF($H1712="Разминка","Разминка",IF($F1712&lt;INDEX('Программа тренировок'!$E$6:$E$25,$M1712),"Ниже диапазона",IF(AND($F1712&gt;=INDEX('Программа тренировок'!$F$6:$F$25,$M1712),$G1712&gt;=INDEX('Программа тренировок'!$L$6:$L$25,$M1712)),"Верх диапазона: пора добавлять вес",IF($G1712&lt;INDEX('Программа тренировок'!$L$6:$L$25,$M1712),"RIR ниже цели","В диапазоне")))))</f>
        <v/>
      </c>
      <c r="M1712" s="23" t="str">
        <f aca="false">IF($C1712="","",IFERROR(MATCH($C1712,'Программа тренировок'!$C$6:$C$25,0),""))</f>
        <v/>
      </c>
    </row>
    <row r="1713" customFormat="false" ht="15" hidden="false" customHeight="true" outlineLevel="0" collapsed="false">
      <c r="A1713" s="20"/>
      <c r="B1713" s="21"/>
      <c r="C1713" s="19"/>
      <c r="D1713" s="18"/>
      <c r="E1713" s="17"/>
      <c r="F1713" s="18"/>
      <c r="G1713" s="18"/>
      <c r="H1713" s="21"/>
      <c r="I1713" s="19"/>
      <c r="J1713" s="8" t="str">
        <f aca="false">IF(OR(E1713="",F1713=""),"",E1713*F1713)</f>
        <v/>
      </c>
      <c r="K1713" s="22" t="str">
        <f aca="false">IF($M1713="","",INDEX('Программа тренировок'!$G$6:$G$25,$M1713))</f>
        <v/>
      </c>
      <c r="L1713" s="23" t="str">
        <f aca="false">IF(OR($M1713="",$F1713="",$G1713=""),"",IF($H1713="Разминка","Разминка",IF($F1713&lt;INDEX('Программа тренировок'!$E$6:$E$25,$M1713),"Ниже диапазона",IF(AND($F1713&gt;=INDEX('Программа тренировок'!$F$6:$F$25,$M1713),$G1713&gt;=INDEX('Программа тренировок'!$L$6:$L$25,$M1713)),"Верх диапазона: пора добавлять вес",IF($G1713&lt;INDEX('Программа тренировок'!$L$6:$L$25,$M1713),"RIR ниже цели","В диапазоне")))))</f>
        <v/>
      </c>
      <c r="M1713" s="23" t="str">
        <f aca="false">IF($C1713="","",IFERROR(MATCH($C1713,'Программа тренировок'!$C$6:$C$25,0),""))</f>
        <v/>
      </c>
    </row>
    <row r="1714" customFormat="false" ht="15" hidden="false" customHeight="true" outlineLevel="0" collapsed="false">
      <c r="A1714" s="20"/>
      <c r="B1714" s="21"/>
      <c r="C1714" s="19"/>
      <c r="D1714" s="18"/>
      <c r="E1714" s="17"/>
      <c r="F1714" s="18"/>
      <c r="G1714" s="18"/>
      <c r="H1714" s="21"/>
      <c r="I1714" s="19"/>
      <c r="J1714" s="8" t="str">
        <f aca="false">IF(OR(E1714="",F1714=""),"",E1714*F1714)</f>
        <v/>
      </c>
      <c r="K1714" s="22" t="str">
        <f aca="false">IF($M1714="","",INDEX('Программа тренировок'!$G$6:$G$25,$M1714))</f>
        <v/>
      </c>
      <c r="L1714" s="23" t="str">
        <f aca="false">IF(OR($M1714="",$F1714="",$G1714=""),"",IF($H1714="Разминка","Разминка",IF($F1714&lt;INDEX('Программа тренировок'!$E$6:$E$25,$M1714),"Ниже диапазона",IF(AND($F1714&gt;=INDEX('Программа тренировок'!$F$6:$F$25,$M1714),$G1714&gt;=INDEX('Программа тренировок'!$L$6:$L$25,$M1714)),"Верх диапазона: пора добавлять вес",IF($G1714&lt;INDEX('Программа тренировок'!$L$6:$L$25,$M1714),"RIR ниже цели","В диапазоне")))))</f>
        <v/>
      </c>
      <c r="M1714" s="23" t="str">
        <f aca="false">IF($C1714="","",IFERROR(MATCH($C1714,'Программа тренировок'!$C$6:$C$25,0),""))</f>
        <v/>
      </c>
    </row>
    <row r="1715" customFormat="false" ht="15" hidden="false" customHeight="true" outlineLevel="0" collapsed="false">
      <c r="A1715" s="20"/>
      <c r="B1715" s="21"/>
      <c r="C1715" s="19"/>
      <c r="D1715" s="18"/>
      <c r="E1715" s="17"/>
      <c r="F1715" s="18"/>
      <c r="G1715" s="18"/>
      <c r="H1715" s="21"/>
      <c r="I1715" s="19"/>
      <c r="J1715" s="8" t="str">
        <f aca="false">IF(OR(E1715="",F1715=""),"",E1715*F1715)</f>
        <v/>
      </c>
      <c r="K1715" s="22" t="str">
        <f aca="false">IF($M1715="","",INDEX('Программа тренировок'!$G$6:$G$25,$M1715))</f>
        <v/>
      </c>
      <c r="L1715" s="23" t="str">
        <f aca="false">IF(OR($M1715="",$F1715="",$G1715=""),"",IF($H1715="Разминка","Разминка",IF($F1715&lt;INDEX('Программа тренировок'!$E$6:$E$25,$M1715),"Ниже диапазона",IF(AND($F1715&gt;=INDEX('Программа тренировок'!$F$6:$F$25,$M1715),$G1715&gt;=INDEX('Программа тренировок'!$L$6:$L$25,$M1715)),"Верх диапазона: пора добавлять вес",IF($G1715&lt;INDEX('Программа тренировок'!$L$6:$L$25,$M1715),"RIR ниже цели","В диапазоне")))))</f>
        <v/>
      </c>
      <c r="M1715" s="23" t="str">
        <f aca="false">IF($C1715="","",IFERROR(MATCH($C1715,'Программа тренировок'!$C$6:$C$25,0),""))</f>
        <v/>
      </c>
    </row>
    <row r="1716" customFormat="false" ht="15" hidden="false" customHeight="true" outlineLevel="0" collapsed="false">
      <c r="A1716" s="20"/>
      <c r="B1716" s="21"/>
      <c r="C1716" s="19"/>
      <c r="D1716" s="18"/>
      <c r="E1716" s="17"/>
      <c r="F1716" s="18"/>
      <c r="G1716" s="18"/>
      <c r="H1716" s="21"/>
      <c r="I1716" s="19"/>
      <c r="J1716" s="8" t="str">
        <f aca="false">IF(OR(E1716="",F1716=""),"",E1716*F1716)</f>
        <v/>
      </c>
      <c r="K1716" s="22" t="str">
        <f aca="false">IF($M1716="","",INDEX('Программа тренировок'!$G$6:$G$25,$M1716))</f>
        <v/>
      </c>
      <c r="L1716" s="23" t="str">
        <f aca="false">IF(OR($M1716="",$F1716="",$G1716=""),"",IF($H1716="Разминка","Разминка",IF($F1716&lt;INDEX('Программа тренировок'!$E$6:$E$25,$M1716),"Ниже диапазона",IF(AND($F1716&gt;=INDEX('Программа тренировок'!$F$6:$F$25,$M1716),$G1716&gt;=INDEX('Программа тренировок'!$L$6:$L$25,$M1716)),"Верх диапазона: пора добавлять вес",IF($G1716&lt;INDEX('Программа тренировок'!$L$6:$L$25,$M1716),"RIR ниже цели","В диапазоне")))))</f>
        <v/>
      </c>
      <c r="M1716" s="23" t="str">
        <f aca="false">IF($C1716="","",IFERROR(MATCH($C1716,'Программа тренировок'!$C$6:$C$25,0),""))</f>
        <v/>
      </c>
    </row>
    <row r="1717" customFormat="false" ht="15" hidden="false" customHeight="true" outlineLevel="0" collapsed="false">
      <c r="A1717" s="20"/>
      <c r="B1717" s="21"/>
      <c r="C1717" s="19"/>
      <c r="D1717" s="18"/>
      <c r="E1717" s="17"/>
      <c r="F1717" s="18"/>
      <c r="G1717" s="18"/>
      <c r="H1717" s="21"/>
      <c r="I1717" s="19"/>
      <c r="J1717" s="8" t="str">
        <f aca="false">IF(OR(E1717="",F1717=""),"",E1717*F1717)</f>
        <v/>
      </c>
      <c r="K1717" s="22" t="str">
        <f aca="false">IF($M1717="","",INDEX('Программа тренировок'!$G$6:$G$25,$M1717))</f>
        <v/>
      </c>
      <c r="L1717" s="23" t="str">
        <f aca="false">IF(OR($M1717="",$F1717="",$G1717=""),"",IF($H1717="Разминка","Разминка",IF($F1717&lt;INDEX('Программа тренировок'!$E$6:$E$25,$M1717),"Ниже диапазона",IF(AND($F1717&gt;=INDEX('Программа тренировок'!$F$6:$F$25,$M1717),$G1717&gt;=INDEX('Программа тренировок'!$L$6:$L$25,$M1717)),"Верх диапазона: пора добавлять вес",IF($G1717&lt;INDEX('Программа тренировок'!$L$6:$L$25,$M1717),"RIR ниже цели","В диапазоне")))))</f>
        <v/>
      </c>
      <c r="M1717" s="23" t="str">
        <f aca="false">IF($C1717="","",IFERROR(MATCH($C1717,'Программа тренировок'!$C$6:$C$25,0),""))</f>
        <v/>
      </c>
    </row>
    <row r="1718" customFormat="false" ht="15" hidden="false" customHeight="true" outlineLevel="0" collapsed="false">
      <c r="A1718" s="20"/>
      <c r="B1718" s="21"/>
      <c r="C1718" s="19"/>
      <c r="D1718" s="18"/>
      <c r="E1718" s="17"/>
      <c r="F1718" s="18"/>
      <c r="G1718" s="18"/>
      <c r="H1718" s="21"/>
      <c r="I1718" s="19"/>
      <c r="J1718" s="8" t="str">
        <f aca="false">IF(OR(E1718="",F1718=""),"",E1718*F1718)</f>
        <v/>
      </c>
      <c r="K1718" s="22" t="str">
        <f aca="false">IF($M1718="","",INDEX('Программа тренировок'!$G$6:$G$25,$M1718))</f>
        <v/>
      </c>
      <c r="L1718" s="23" t="str">
        <f aca="false">IF(OR($M1718="",$F1718="",$G1718=""),"",IF($H1718="Разминка","Разминка",IF($F1718&lt;INDEX('Программа тренировок'!$E$6:$E$25,$M1718),"Ниже диапазона",IF(AND($F1718&gt;=INDEX('Программа тренировок'!$F$6:$F$25,$M1718),$G1718&gt;=INDEX('Программа тренировок'!$L$6:$L$25,$M1718)),"Верх диапазона: пора добавлять вес",IF($G1718&lt;INDEX('Программа тренировок'!$L$6:$L$25,$M1718),"RIR ниже цели","В диапазоне")))))</f>
        <v/>
      </c>
      <c r="M1718" s="23" t="str">
        <f aca="false">IF($C1718="","",IFERROR(MATCH($C1718,'Программа тренировок'!$C$6:$C$25,0),""))</f>
        <v/>
      </c>
    </row>
    <row r="1719" customFormat="false" ht="15" hidden="false" customHeight="true" outlineLevel="0" collapsed="false">
      <c r="A1719" s="20"/>
      <c r="B1719" s="21"/>
      <c r="C1719" s="19"/>
      <c r="D1719" s="18"/>
      <c r="E1719" s="17"/>
      <c r="F1719" s="18"/>
      <c r="G1719" s="18"/>
      <c r="H1719" s="21"/>
      <c r="I1719" s="19"/>
      <c r="J1719" s="8" t="str">
        <f aca="false">IF(OR(E1719="",F1719=""),"",E1719*F1719)</f>
        <v/>
      </c>
      <c r="K1719" s="22" t="str">
        <f aca="false">IF($M1719="","",INDEX('Программа тренировок'!$G$6:$G$25,$M1719))</f>
        <v/>
      </c>
      <c r="L1719" s="23" t="str">
        <f aca="false">IF(OR($M1719="",$F1719="",$G1719=""),"",IF($H1719="Разминка","Разминка",IF($F1719&lt;INDEX('Программа тренировок'!$E$6:$E$25,$M1719),"Ниже диапазона",IF(AND($F1719&gt;=INDEX('Программа тренировок'!$F$6:$F$25,$M1719),$G1719&gt;=INDEX('Программа тренировок'!$L$6:$L$25,$M1719)),"Верх диапазона: пора добавлять вес",IF($G1719&lt;INDEX('Программа тренировок'!$L$6:$L$25,$M1719),"RIR ниже цели","В диапазоне")))))</f>
        <v/>
      </c>
      <c r="M1719" s="23" t="str">
        <f aca="false">IF($C1719="","",IFERROR(MATCH($C1719,'Программа тренировок'!$C$6:$C$25,0),""))</f>
        <v/>
      </c>
    </row>
    <row r="1720" customFormat="false" ht="15" hidden="false" customHeight="true" outlineLevel="0" collapsed="false">
      <c r="A1720" s="20"/>
      <c r="B1720" s="21"/>
      <c r="C1720" s="19"/>
      <c r="D1720" s="18"/>
      <c r="E1720" s="17"/>
      <c r="F1720" s="18"/>
      <c r="G1720" s="18"/>
      <c r="H1720" s="21"/>
      <c r="I1720" s="19"/>
      <c r="J1720" s="8" t="str">
        <f aca="false">IF(OR(E1720="",F1720=""),"",E1720*F1720)</f>
        <v/>
      </c>
      <c r="K1720" s="22" t="str">
        <f aca="false">IF($M1720="","",INDEX('Программа тренировок'!$G$6:$G$25,$M1720))</f>
        <v/>
      </c>
      <c r="L1720" s="23" t="str">
        <f aca="false">IF(OR($M1720="",$F1720="",$G1720=""),"",IF($H1720="Разминка","Разминка",IF($F1720&lt;INDEX('Программа тренировок'!$E$6:$E$25,$M1720),"Ниже диапазона",IF(AND($F1720&gt;=INDEX('Программа тренировок'!$F$6:$F$25,$M1720),$G1720&gt;=INDEX('Программа тренировок'!$L$6:$L$25,$M1720)),"Верх диапазона: пора добавлять вес",IF($G1720&lt;INDEX('Программа тренировок'!$L$6:$L$25,$M1720),"RIR ниже цели","В диапазоне")))))</f>
        <v/>
      </c>
      <c r="M1720" s="23" t="str">
        <f aca="false">IF($C1720="","",IFERROR(MATCH($C1720,'Программа тренировок'!$C$6:$C$25,0),""))</f>
        <v/>
      </c>
    </row>
    <row r="1721" customFormat="false" ht="15" hidden="false" customHeight="true" outlineLevel="0" collapsed="false">
      <c r="A1721" s="20"/>
      <c r="B1721" s="21"/>
      <c r="C1721" s="19"/>
      <c r="D1721" s="18"/>
      <c r="E1721" s="17"/>
      <c r="F1721" s="18"/>
      <c r="G1721" s="18"/>
      <c r="H1721" s="21"/>
      <c r="I1721" s="19"/>
      <c r="J1721" s="8" t="str">
        <f aca="false">IF(OR(E1721="",F1721=""),"",E1721*F1721)</f>
        <v/>
      </c>
      <c r="K1721" s="22" t="str">
        <f aca="false">IF($M1721="","",INDEX('Программа тренировок'!$G$6:$G$25,$M1721))</f>
        <v/>
      </c>
      <c r="L1721" s="23" t="str">
        <f aca="false">IF(OR($M1721="",$F1721="",$G1721=""),"",IF($H1721="Разминка","Разминка",IF($F1721&lt;INDEX('Программа тренировок'!$E$6:$E$25,$M1721),"Ниже диапазона",IF(AND($F1721&gt;=INDEX('Программа тренировок'!$F$6:$F$25,$M1721),$G1721&gt;=INDEX('Программа тренировок'!$L$6:$L$25,$M1721)),"Верх диапазона: пора добавлять вес",IF($G1721&lt;INDEX('Программа тренировок'!$L$6:$L$25,$M1721),"RIR ниже цели","В диапазоне")))))</f>
        <v/>
      </c>
      <c r="M1721" s="23" t="str">
        <f aca="false">IF($C1721="","",IFERROR(MATCH($C1721,'Программа тренировок'!$C$6:$C$25,0),""))</f>
        <v/>
      </c>
    </row>
    <row r="1722" customFormat="false" ht="15" hidden="false" customHeight="true" outlineLevel="0" collapsed="false">
      <c r="A1722" s="20"/>
      <c r="B1722" s="21"/>
      <c r="C1722" s="19"/>
      <c r="D1722" s="18"/>
      <c r="E1722" s="17"/>
      <c r="F1722" s="18"/>
      <c r="G1722" s="18"/>
      <c r="H1722" s="21"/>
      <c r="I1722" s="19"/>
      <c r="J1722" s="8" t="str">
        <f aca="false">IF(OR(E1722="",F1722=""),"",E1722*F1722)</f>
        <v/>
      </c>
      <c r="K1722" s="22" t="str">
        <f aca="false">IF($M1722="","",INDEX('Программа тренировок'!$G$6:$G$25,$M1722))</f>
        <v/>
      </c>
      <c r="L1722" s="23" t="str">
        <f aca="false">IF(OR($M1722="",$F1722="",$G1722=""),"",IF($H1722="Разминка","Разминка",IF($F1722&lt;INDEX('Программа тренировок'!$E$6:$E$25,$M1722),"Ниже диапазона",IF(AND($F1722&gt;=INDEX('Программа тренировок'!$F$6:$F$25,$M1722),$G1722&gt;=INDEX('Программа тренировок'!$L$6:$L$25,$M1722)),"Верх диапазона: пора добавлять вес",IF($G1722&lt;INDEX('Программа тренировок'!$L$6:$L$25,$M1722),"RIR ниже цели","В диапазоне")))))</f>
        <v/>
      </c>
      <c r="M1722" s="23" t="str">
        <f aca="false">IF($C1722="","",IFERROR(MATCH($C1722,'Программа тренировок'!$C$6:$C$25,0),""))</f>
        <v/>
      </c>
    </row>
    <row r="1723" customFormat="false" ht="15" hidden="false" customHeight="true" outlineLevel="0" collapsed="false">
      <c r="A1723" s="20"/>
      <c r="B1723" s="21"/>
      <c r="C1723" s="19"/>
      <c r="D1723" s="18"/>
      <c r="E1723" s="17"/>
      <c r="F1723" s="18"/>
      <c r="G1723" s="18"/>
      <c r="H1723" s="21"/>
      <c r="I1723" s="19"/>
      <c r="J1723" s="8" t="str">
        <f aca="false">IF(OR(E1723="",F1723=""),"",E1723*F1723)</f>
        <v/>
      </c>
      <c r="K1723" s="22" t="str">
        <f aca="false">IF($M1723="","",INDEX('Программа тренировок'!$G$6:$G$25,$M1723))</f>
        <v/>
      </c>
      <c r="L1723" s="23" t="str">
        <f aca="false">IF(OR($M1723="",$F1723="",$G1723=""),"",IF($H1723="Разминка","Разминка",IF($F1723&lt;INDEX('Программа тренировок'!$E$6:$E$25,$M1723),"Ниже диапазона",IF(AND($F1723&gt;=INDEX('Программа тренировок'!$F$6:$F$25,$M1723),$G1723&gt;=INDEX('Программа тренировок'!$L$6:$L$25,$M1723)),"Верх диапазона: пора добавлять вес",IF($G1723&lt;INDEX('Программа тренировок'!$L$6:$L$25,$M1723),"RIR ниже цели","В диапазоне")))))</f>
        <v/>
      </c>
      <c r="M1723" s="23" t="str">
        <f aca="false">IF($C1723="","",IFERROR(MATCH($C1723,'Программа тренировок'!$C$6:$C$25,0),""))</f>
        <v/>
      </c>
    </row>
    <row r="1724" customFormat="false" ht="15" hidden="false" customHeight="true" outlineLevel="0" collapsed="false">
      <c r="A1724" s="20"/>
      <c r="B1724" s="21"/>
      <c r="C1724" s="19"/>
      <c r="D1724" s="18"/>
      <c r="E1724" s="17"/>
      <c r="F1724" s="18"/>
      <c r="G1724" s="18"/>
      <c r="H1724" s="21"/>
      <c r="I1724" s="19"/>
      <c r="J1724" s="8" t="str">
        <f aca="false">IF(OR(E1724="",F1724=""),"",E1724*F1724)</f>
        <v/>
      </c>
      <c r="K1724" s="22" t="str">
        <f aca="false">IF($M1724="","",INDEX('Программа тренировок'!$G$6:$G$25,$M1724))</f>
        <v/>
      </c>
      <c r="L1724" s="23" t="str">
        <f aca="false">IF(OR($M1724="",$F1724="",$G1724=""),"",IF($H1724="Разминка","Разминка",IF($F1724&lt;INDEX('Программа тренировок'!$E$6:$E$25,$M1724),"Ниже диапазона",IF(AND($F1724&gt;=INDEX('Программа тренировок'!$F$6:$F$25,$M1724),$G1724&gt;=INDEX('Программа тренировок'!$L$6:$L$25,$M1724)),"Верх диапазона: пора добавлять вес",IF($G1724&lt;INDEX('Программа тренировок'!$L$6:$L$25,$M1724),"RIR ниже цели","В диапазоне")))))</f>
        <v/>
      </c>
      <c r="M1724" s="23" t="str">
        <f aca="false">IF($C1724="","",IFERROR(MATCH($C1724,'Программа тренировок'!$C$6:$C$25,0),""))</f>
        <v/>
      </c>
    </row>
    <row r="1725" customFormat="false" ht="15" hidden="false" customHeight="true" outlineLevel="0" collapsed="false">
      <c r="A1725" s="20"/>
      <c r="B1725" s="21"/>
      <c r="C1725" s="19"/>
      <c r="D1725" s="18"/>
      <c r="E1725" s="17"/>
      <c r="F1725" s="18"/>
      <c r="G1725" s="18"/>
      <c r="H1725" s="21"/>
      <c r="I1725" s="19"/>
      <c r="J1725" s="8" t="str">
        <f aca="false">IF(OR(E1725="",F1725=""),"",E1725*F1725)</f>
        <v/>
      </c>
      <c r="K1725" s="22" t="str">
        <f aca="false">IF($M1725="","",INDEX('Программа тренировок'!$G$6:$G$25,$M1725))</f>
        <v/>
      </c>
      <c r="L1725" s="23" t="str">
        <f aca="false">IF(OR($M1725="",$F1725="",$G1725=""),"",IF($H1725="Разминка","Разминка",IF($F1725&lt;INDEX('Программа тренировок'!$E$6:$E$25,$M1725),"Ниже диапазона",IF(AND($F1725&gt;=INDEX('Программа тренировок'!$F$6:$F$25,$M1725),$G1725&gt;=INDEX('Программа тренировок'!$L$6:$L$25,$M1725)),"Верх диапазона: пора добавлять вес",IF($G1725&lt;INDEX('Программа тренировок'!$L$6:$L$25,$M1725),"RIR ниже цели","В диапазоне")))))</f>
        <v/>
      </c>
      <c r="M1725" s="23" t="str">
        <f aca="false">IF($C1725="","",IFERROR(MATCH($C1725,'Программа тренировок'!$C$6:$C$25,0),""))</f>
        <v/>
      </c>
    </row>
    <row r="1726" customFormat="false" ht="15" hidden="false" customHeight="true" outlineLevel="0" collapsed="false">
      <c r="A1726" s="20"/>
      <c r="B1726" s="21"/>
      <c r="C1726" s="19"/>
      <c r="D1726" s="18"/>
      <c r="E1726" s="17"/>
      <c r="F1726" s="18"/>
      <c r="G1726" s="18"/>
      <c r="H1726" s="21"/>
      <c r="I1726" s="19"/>
      <c r="J1726" s="8" t="str">
        <f aca="false">IF(OR(E1726="",F1726=""),"",E1726*F1726)</f>
        <v/>
      </c>
      <c r="K1726" s="22" t="str">
        <f aca="false">IF($M1726="","",INDEX('Программа тренировок'!$G$6:$G$25,$M1726))</f>
        <v/>
      </c>
      <c r="L1726" s="23" t="str">
        <f aca="false">IF(OR($M1726="",$F1726="",$G1726=""),"",IF($H1726="Разминка","Разминка",IF($F1726&lt;INDEX('Программа тренировок'!$E$6:$E$25,$M1726),"Ниже диапазона",IF(AND($F1726&gt;=INDEX('Программа тренировок'!$F$6:$F$25,$M1726),$G1726&gt;=INDEX('Программа тренировок'!$L$6:$L$25,$M1726)),"Верх диапазона: пора добавлять вес",IF($G1726&lt;INDEX('Программа тренировок'!$L$6:$L$25,$M1726),"RIR ниже цели","В диапазоне")))))</f>
        <v/>
      </c>
      <c r="M1726" s="23" t="str">
        <f aca="false">IF($C1726="","",IFERROR(MATCH($C1726,'Программа тренировок'!$C$6:$C$25,0),""))</f>
        <v/>
      </c>
    </row>
    <row r="1727" customFormat="false" ht="15" hidden="false" customHeight="true" outlineLevel="0" collapsed="false">
      <c r="A1727" s="20"/>
      <c r="B1727" s="21"/>
      <c r="C1727" s="19"/>
      <c r="D1727" s="18"/>
      <c r="E1727" s="17"/>
      <c r="F1727" s="18"/>
      <c r="G1727" s="18"/>
      <c r="H1727" s="21"/>
      <c r="I1727" s="19"/>
      <c r="J1727" s="8" t="str">
        <f aca="false">IF(OR(E1727="",F1727=""),"",E1727*F1727)</f>
        <v/>
      </c>
      <c r="K1727" s="22" t="str">
        <f aca="false">IF($M1727="","",INDEX('Программа тренировок'!$G$6:$G$25,$M1727))</f>
        <v/>
      </c>
      <c r="L1727" s="23" t="str">
        <f aca="false">IF(OR($M1727="",$F1727="",$G1727=""),"",IF($H1727="Разминка","Разминка",IF($F1727&lt;INDEX('Программа тренировок'!$E$6:$E$25,$M1727),"Ниже диапазона",IF(AND($F1727&gt;=INDEX('Программа тренировок'!$F$6:$F$25,$M1727),$G1727&gt;=INDEX('Программа тренировок'!$L$6:$L$25,$M1727)),"Верх диапазона: пора добавлять вес",IF($G1727&lt;INDEX('Программа тренировок'!$L$6:$L$25,$M1727),"RIR ниже цели","В диапазоне")))))</f>
        <v/>
      </c>
      <c r="M1727" s="23" t="str">
        <f aca="false">IF($C1727="","",IFERROR(MATCH($C1727,'Программа тренировок'!$C$6:$C$25,0),""))</f>
        <v/>
      </c>
    </row>
    <row r="1728" customFormat="false" ht="15" hidden="false" customHeight="true" outlineLevel="0" collapsed="false">
      <c r="A1728" s="20"/>
      <c r="B1728" s="21"/>
      <c r="C1728" s="19"/>
      <c r="D1728" s="18"/>
      <c r="E1728" s="17"/>
      <c r="F1728" s="18"/>
      <c r="G1728" s="18"/>
      <c r="H1728" s="21"/>
      <c r="I1728" s="19"/>
      <c r="J1728" s="8" t="str">
        <f aca="false">IF(OR(E1728="",F1728=""),"",E1728*F1728)</f>
        <v/>
      </c>
      <c r="K1728" s="22" t="str">
        <f aca="false">IF($M1728="","",INDEX('Программа тренировок'!$G$6:$G$25,$M1728))</f>
        <v/>
      </c>
      <c r="L1728" s="23" t="str">
        <f aca="false">IF(OR($M1728="",$F1728="",$G1728=""),"",IF($H1728="Разминка","Разминка",IF($F1728&lt;INDEX('Программа тренировок'!$E$6:$E$25,$M1728),"Ниже диапазона",IF(AND($F1728&gt;=INDEX('Программа тренировок'!$F$6:$F$25,$M1728),$G1728&gt;=INDEX('Программа тренировок'!$L$6:$L$25,$M1728)),"Верх диапазона: пора добавлять вес",IF($G1728&lt;INDEX('Программа тренировок'!$L$6:$L$25,$M1728),"RIR ниже цели","В диапазоне")))))</f>
        <v/>
      </c>
      <c r="M1728" s="23" t="str">
        <f aca="false">IF($C1728="","",IFERROR(MATCH($C1728,'Программа тренировок'!$C$6:$C$25,0),""))</f>
        <v/>
      </c>
    </row>
    <row r="1729" customFormat="false" ht="15" hidden="false" customHeight="true" outlineLevel="0" collapsed="false">
      <c r="A1729" s="20"/>
      <c r="B1729" s="21"/>
      <c r="C1729" s="19"/>
      <c r="D1729" s="18"/>
      <c r="E1729" s="17"/>
      <c r="F1729" s="18"/>
      <c r="G1729" s="18"/>
      <c r="H1729" s="21"/>
      <c r="I1729" s="19"/>
      <c r="J1729" s="8" t="str">
        <f aca="false">IF(OR(E1729="",F1729=""),"",E1729*F1729)</f>
        <v/>
      </c>
      <c r="K1729" s="22" t="str">
        <f aca="false">IF($M1729="","",INDEX('Программа тренировок'!$G$6:$G$25,$M1729))</f>
        <v/>
      </c>
      <c r="L1729" s="23" t="str">
        <f aca="false">IF(OR($M1729="",$F1729="",$G1729=""),"",IF($H1729="Разминка","Разминка",IF($F1729&lt;INDEX('Программа тренировок'!$E$6:$E$25,$M1729),"Ниже диапазона",IF(AND($F1729&gt;=INDEX('Программа тренировок'!$F$6:$F$25,$M1729),$G1729&gt;=INDEX('Программа тренировок'!$L$6:$L$25,$M1729)),"Верх диапазона: пора добавлять вес",IF($G1729&lt;INDEX('Программа тренировок'!$L$6:$L$25,$M1729),"RIR ниже цели","В диапазоне")))))</f>
        <v/>
      </c>
      <c r="M1729" s="23" t="str">
        <f aca="false">IF($C1729="","",IFERROR(MATCH($C1729,'Программа тренировок'!$C$6:$C$25,0),""))</f>
        <v/>
      </c>
    </row>
    <row r="1730" customFormat="false" ht="15" hidden="false" customHeight="true" outlineLevel="0" collapsed="false">
      <c r="A1730" s="20"/>
      <c r="B1730" s="21"/>
      <c r="C1730" s="19"/>
      <c r="D1730" s="18"/>
      <c r="E1730" s="17"/>
      <c r="F1730" s="18"/>
      <c r="G1730" s="18"/>
      <c r="H1730" s="21"/>
      <c r="I1730" s="19"/>
      <c r="J1730" s="8" t="str">
        <f aca="false">IF(OR(E1730="",F1730=""),"",E1730*F1730)</f>
        <v/>
      </c>
      <c r="K1730" s="22" t="str">
        <f aca="false">IF($M1730="","",INDEX('Программа тренировок'!$G$6:$G$25,$M1730))</f>
        <v/>
      </c>
      <c r="L1730" s="23" t="str">
        <f aca="false">IF(OR($M1730="",$F1730="",$G1730=""),"",IF($H1730="Разминка","Разминка",IF($F1730&lt;INDEX('Программа тренировок'!$E$6:$E$25,$M1730),"Ниже диапазона",IF(AND($F1730&gt;=INDEX('Программа тренировок'!$F$6:$F$25,$M1730),$G1730&gt;=INDEX('Программа тренировок'!$L$6:$L$25,$M1730)),"Верх диапазона: пора добавлять вес",IF($G1730&lt;INDEX('Программа тренировок'!$L$6:$L$25,$M1730),"RIR ниже цели","В диапазоне")))))</f>
        <v/>
      </c>
      <c r="M1730" s="23" t="str">
        <f aca="false">IF($C1730="","",IFERROR(MATCH($C1730,'Программа тренировок'!$C$6:$C$25,0),""))</f>
        <v/>
      </c>
    </row>
    <row r="1731" customFormat="false" ht="15" hidden="false" customHeight="true" outlineLevel="0" collapsed="false">
      <c r="A1731" s="20"/>
      <c r="B1731" s="21"/>
      <c r="C1731" s="19"/>
      <c r="D1731" s="18"/>
      <c r="E1731" s="17"/>
      <c r="F1731" s="18"/>
      <c r="G1731" s="18"/>
      <c r="H1731" s="21"/>
      <c r="I1731" s="19"/>
      <c r="J1731" s="8" t="str">
        <f aca="false">IF(OR(E1731="",F1731=""),"",E1731*F1731)</f>
        <v/>
      </c>
      <c r="K1731" s="22" t="str">
        <f aca="false">IF($M1731="","",INDEX('Программа тренировок'!$G$6:$G$25,$M1731))</f>
        <v/>
      </c>
      <c r="L1731" s="23" t="str">
        <f aca="false">IF(OR($M1731="",$F1731="",$G1731=""),"",IF($H1731="Разминка","Разминка",IF($F1731&lt;INDEX('Программа тренировок'!$E$6:$E$25,$M1731),"Ниже диапазона",IF(AND($F1731&gt;=INDEX('Программа тренировок'!$F$6:$F$25,$M1731),$G1731&gt;=INDEX('Программа тренировок'!$L$6:$L$25,$M1731)),"Верх диапазона: пора добавлять вес",IF($G1731&lt;INDEX('Программа тренировок'!$L$6:$L$25,$M1731),"RIR ниже цели","В диапазоне")))))</f>
        <v/>
      </c>
      <c r="M1731" s="23" t="str">
        <f aca="false">IF($C1731="","",IFERROR(MATCH($C1731,'Программа тренировок'!$C$6:$C$25,0),""))</f>
        <v/>
      </c>
    </row>
    <row r="1732" customFormat="false" ht="15" hidden="false" customHeight="true" outlineLevel="0" collapsed="false">
      <c r="A1732" s="20"/>
      <c r="B1732" s="21"/>
      <c r="C1732" s="19"/>
      <c r="D1732" s="18"/>
      <c r="E1732" s="17"/>
      <c r="F1732" s="18"/>
      <c r="G1732" s="18"/>
      <c r="H1732" s="21"/>
      <c r="I1732" s="19"/>
      <c r="J1732" s="8" t="str">
        <f aca="false">IF(OR(E1732="",F1732=""),"",E1732*F1732)</f>
        <v/>
      </c>
      <c r="K1732" s="22" t="str">
        <f aca="false">IF($M1732="","",INDEX('Программа тренировок'!$G$6:$G$25,$M1732))</f>
        <v/>
      </c>
      <c r="L1732" s="23" t="str">
        <f aca="false">IF(OR($M1732="",$F1732="",$G1732=""),"",IF($H1732="Разминка","Разминка",IF($F1732&lt;INDEX('Программа тренировок'!$E$6:$E$25,$M1732),"Ниже диапазона",IF(AND($F1732&gt;=INDEX('Программа тренировок'!$F$6:$F$25,$M1732),$G1732&gt;=INDEX('Программа тренировок'!$L$6:$L$25,$M1732)),"Верх диапазона: пора добавлять вес",IF($G1732&lt;INDEX('Программа тренировок'!$L$6:$L$25,$M1732),"RIR ниже цели","В диапазоне")))))</f>
        <v/>
      </c>
      <c r="M1732" s="23" t="str">
        <f aca="false">IF($C1732="","",IFERROR(MATCH($C1732,'Программа тренировок'!$C$6:$C$25,0),""))</f>
        <v/>
      </c>
    </row>
    <row r="1733" customFormat="false" ht="15" hidden="false" customHeight="true" outlineLevel="0" collapsed="false">
      <c r="A1733" s="20"/>
      <c r="B1733" s="21"/>
      <c r="C1733" s="19"/>
      <c r="D1733" s="18"/>
      <c r="E1733" s="17"/>
      <c r="F1733" s="18"/>
      <c r="G1733" s="18"/>
      <c r="H1733" s="21"/>
      <c r="I1733" s="19"/>
      <c r="J1733" s="8" t="str">
        <f aca="false">IF(OR(E1733="",F1733=""),"",E1733*F1733)</f>
        <v/>
      </c>
      <c r="K1733" s="22" t="str">
        <f aca="false">IF($M1733="","",INDEX('Программа тренировок'!$G$6:$G$25,$M1733))</f>
        <v/>
      </c>
      <c r="L1733" s="23" t="str">
        <f aca="false">IF(OR($M1733="",$F1733="",$G1733=""),"",IF($H1733="Разминка","Разминка",IF($F1733&lt;INDEX('Программа тренировок'!$E$6:$E$25,$M1733),"Ниже диапазона",IF(AND($F1733&gt;=INDEX('Программа тренировок'!$F$6:$F$25,$M1733),$G1733&gt;=INDEX('Программа тренировок'!$L$6:$L$25,$M1733)),"Верх диапазона: пора добавлять вес",IF($G1733&lt;INDEX('Программа тренировок'!$L$6:$L$25,$M1733),"RIR ниже цели","В диапазоне")))))</f>
        <v/>
      </c>
      <c r="M1733" s="23" t="str">
        <f aca="false">IF($C1733="","",IFERROR(MATCH($C1733,'Программа тренировок'!$C$6:$C$25,0),""))</f>
        <v/>
      </c>
    </row>
    <row r="1734" customFormat="false" ht="15" hidden="false" customHeight="true" outlineLevel="0" collapsed="false">
      <c r="A1734" s="20"/>
      <c r="B1734" s="21"/>
      <c r="C1734" s="19"/>
      <c r="D1734" s="18"/>
      <c r="E1734" s="17"/>
      <c r="F1734" s="18"/>
      <c r="G1734" s="18"/>
      <c r="H1734" s="21"/>
      <c r="I1734" s="19"/>
      <c r="J1734" s="8" t="str">
        <f aca="false">IF(OR(E1734="",F1734=""),"",E1734*F1734)</f>
        <v/>
      </c>
      <c r="K1734" s="22" t="str">
        <f aca="false">IF($M1734="","",INDEX('Программа тренировок'!$G$6:$G$25,$M1734))</f>
        <v/>
      </c>
      <c r="L1734" s="23" t="str">
        <f aca="false">IF(OR($M1734="",$F1734="",$G1734=""),"",IF($H1734="Разминка","Разминка",IF($F1734&lt;INDEX('Программа тренировок'!$E$6:$E$25,$M1734),"Ниже диапазона",IF(AND($F1734&gt;=INDEX('Программа тренировок'!$F$6:$F$25,$M1734),$G1734&gt;=INDEX('Программа тренировок'!$L$6:$L$25,$M1734)),"Верх диапазона: пора добавлять вес",IF($G1734&lt;INDEX('Программа тренировок'!$L$6:$L$25,$M1734),"RIR ниже цели","В диапазоне")))))</f>
        <v/>
      </c>
      <c r="M1734" s="23" t="str">
        <f aca="false">IF($C1734="","",IFERROR(MATCH($C1734,'Программа тренировок'!$C$6:$C$25,0),""))</f>
        <v/>
      </c>
    </row>
    <row r="1735" customFormat="false" ht="15" hidden="false" customHeight="true" outlineLevel="0" collapsed="false">
      <c r="A1735" s="20"/>
      <c r="B1735" s="21"/>
      <c r="C1735" s="19"/>
      <c r="D1735" s="18"/>
      <c r="E1735" s="17"/>
      <c r="F1735" s="18"/>
      <c r="G1735" s="18"/>
      <c r="H1735" s="21"/>
      <c r="I1735" s="19"/>
      <c r="J1735" s="8" t="str">
        <f aca="false">IF(OR(E1735="",F1735=""),"",E1735*F1735)</f>
        <v/>
      </c>
      <c r="K1735" s="22" t="str">
        <f aca="false">IF($M1735="","",INDEX('Программа тренировок'!$G$6:$G$25,$M1735))</f>
        <v/>
      </c>
      <c r="L1735" s="23" t="str">
        <f aca="false">IF(OR($M1735="",$F1735="",$G1735=""),"",IF($H1735="Разминка","Разминка",IF($F1735&lt;INDEX('Программа тренировок'!$E$6:$E$25,$M1735),"Ниже диапазона",IF(AND($F1735&gt;=INDEX('Программа тренировок'!$F$6:$F$25,$M1735),$G1735&gt;=INDEX('Программа тренировок'!$L$6:$L$25,$M1735)),"Верх диапазона: пора добавлять вес",IF($G1735&lt;INDEX('Программа тренировок'!$L$6:$L$25,$M1735),"RIR ниже цели","В диапазоне")))))</f>
        <v/>
      </c>
      <c r="M1735" s="23" t="str">
        <f aca="false">IF($C1735="","",IFERROR(MATCH($C1735,'Программа тренировок'!$C$6:$C$25,0),""))</f>
        <v/>
      </c>
    </row>
    <row r="1736" customFormat="false" ht="15" hidden="false" customHeight="true" outlineLevel="0" collapsed="false">
      <c r="A1736" s="20"/>
      <c r="B1736" s="21"/>
      <c r="C1736" s="19"/>
      <c r="D1736" s="18"/>
      <c r="E1736" s="17"/>
      <c r="F1736" s="18"/>
      <c r="G1736" s="18"/>
      <c r="H1736" s="21"/>
      <c r="I1736" s="19"/>
      <c r="J1736" s="8" t="str">
        <f aca="false">IF(OR(E1736="",F1736=""),"",E1736*F1736)</f>
        <v/>
      </c>
      <c r="K1736" s="22" t="str">
        <f aca="false">IF($M1736="","",INDEX('Программа тренировок'!$G$6:$G$25,$M1736))</f>
        <v/>
      </c>
      <c r="L1736" s="23" t="str">
        <f aca="false">IF(OR($M1736="",$F1736="",$G1736=""),"",IF($H1736="Разминка","Разминка",IF($F1736&lt;INDEX('Программа тренировок'!$E$6:$E$25,$M1736),"Ниже диапазона",IF(AND($F1736&gt;=INDEX('Программа тренировок'!$F$6:$F$25,$M1736),$G1736&gt;=INDEX('Программа тренировок'!$L$6:$L$25,$M1736)),"Верх диапазона: пора добавлять вес",IF($G1736&lt;INDEX('Программа тренировок'!$L$6:$L$25,$M1736),"RIR ниже цели","В диапазоне")))))</f>
        <v/>
      </c>
      <c r="M1736" s="23" t="str">
        <f aca="false">IF($C1736="","",IFERROR(MATCH($C1736,'Программа тренировок'!$C$6:$C$25,0),""))</f>
        <v/>
      </c>
    </row>
    <row r="1737" customFormat="false" ht="15" hidden="false" customHeight="true" outlineLevel="0" collapsed="false">
      <c r="A1737" s="20"/>
      <c r="B1737" s="21"/>
      <c r="C1737" s="19"/>
      <c r="D1737" s="18"/>
      <c r="E1737" s="17"/>
      <c r="F1737" s="18"/>
      <c r="G1737" s="18"/>
      <c r="H1737" s="21"/>
      <c r="I1737" s="19"/>
      <c r="J1737" s="8" t="str">
        <f aca="false">IF(OR(E1737="",F1737=""),"",E1737*F1737)</f>
        <v/>
      </c>
      <c r="K1737" s="22" t="str">
        <f aca="false">IF($M1737="","",INDEX('Программа тренировок'!$G$6:$G$25,$M1737))</f>
        <v/>
      </c>
      <c r="L1737" s="23" t="str">
        <f aca="false">IF(OR($M1737="",$F1737="",$G1737=""),"",IF($H1737="Разминка","Разминка",IF($F1737&lt;INDEX('Программа тренировок'!$E$6:$E$25,$M1737),"Ниже диапазона",IF(AND($F1737&gt;=INDEX('Программа тренировок'!$F$6:$F$25,$M1737),$G1737&gt;=INDEX('Программа тренировок'!$L$6:$L$25,$M1737)),"Верх диапазона: пора добавлять вес",IF($G1737&lt;INDEX('Программа тренировок'!$L$6:$L$25,$M1737),"RIR ниже цели","В диапазоне")))))</f>
        <v/>
      </c>
      <c r="M1737" s="23" t="str">
        <f aca="false">IF($C1737="","",IFERROR(MATCH($C1737,'Программа тренировок'!$C$6:$C$25,0),""))</f>
        <v/>
      </c>
    </row>
    <row r="1738" customFormat="false" ht="15" hidden="false" customHeight="true" outlineLevel="0" collapsed="false">
      <c r="A1738" s="20"/>
      <c r="B1738" s="21"/>
      <c r="C1738" s="19"/>
      <c r="D1738" s="18"/>
      <c r="E1738" s="17"/>
      <c r="F1738" s="18"/>
      <c r="G1738" s="18"/>
      <c r="H1738" s="21"/>
      <c r="I1738" s="19"/>
      <c r="J1738" s="8" t="str">
        <f aca="false">IF(OR(E1738="",F1738=""),"",E1738*F1738)</f>
        <v/>
      </c>
      <c r="K1738" s="22" t="str">
        <f aca="false">IF($M1738="","",INDEX('Программа тренировок'!$G$6:$G$25,$M1738))</f>
        <v/>
      </c>
      <c r="L1738" s="23" t="str">
        <f aca="false">IF(OR($M1738="",$F1738="",$G1738=""),"",IF($H1738="Разминка","Разминка",IF($F1738&lt;INDEX('Программа тренировок'!$E$6:$E$25,$M1738),"Ниже диапазона",IF(AND($F1738&gt;=INDEX('Программа тренировок'!$F$6:$F$25,$M1738),$G1738&gt;=INDEX('Программа тренировок'!$L$6:$L$25,$M1738)),"Верх диапазона: пора добавлять вес",IF($G1738&lt;INDEX('Программа тренировок'!$L$6:$L$25,$M1738),"RIR ниже цели","В диапазоне")))))</f>
        <v/>
      </c>
      <c r="M1738" s="23" t="str">
        <f aca="false">IF($C1738="","",IFERROR(MATCH($C1738,'Программа тренировок'!$C$6:$C$25,0),""))</f>
        <v/>
      </c>
    </row>
    <row r="1739" customFormat="false" ht="15" hidden="false" customHeight="true" outlineLevel="0" collapsed="false">
      <c r="A1739" s="20"/>
      <c r="B1739" s="21"/>
      <c r="C1739" s="19"/>
      <c r="D1739" s="18"/>
      <c r="E1739" s="17"/>
      <c r="F1739" s="18"/>
      <c r="G1739" s="18"/>
      <c r="H1739" s="21"/>
      <c r="I1739" s="19"/>
      <c r="J1739" s="8" t="str">
        <f aca="false">IF(OR(E1739="",F1739=""),"",E1739*F1739)</f>
        <v/>
      </c>
      <c r="K1739" s="22" t="str">
        <f aca="false">IF($M1739="","",INDEX('Программа тренировок'!$G$6:$G$25,$M1739))</f>
        <v/>
      </c>
      <c r="L1739" s="23" t="str">
        <f aca="false">IF(OR($M1739="",$F1739="",$G1739=""),"",IF($H1739="Разминка","Разминка",IF($F1739&lt;INDEX('Программа тренировок'!$E$6:$E$25,$M1739),"Ниже диапазона",IF(AND($F1739&gt;=INDEX('Программа тренировок'!$F$6:$F$25,$M1739),$G1739&gt;=INDEX('Программа тренировок'!$L$6:$L$25,$M1739)),"Верх диапазона: пора добавлять вес",IF($G1739&lt;INDEX('Программа тренировок'!$L$6:$L$25,$M1739),"RIR ниже цели","В диапазоне")))))</f>
        <v/>
      </c>
      <c r="M1739" s="23" t="str">
        <f aca="false">IF($C1739="","",IFERROR(MATCH($C1739,'Программа тренировок'!$C$6:$C$25,0),""))</f>
        <v/>
      </c>
    </row>
    <row r="1740" customFormat="false" ht="15" hidden="false" customHeight="true" outlineLevel="0" collapsed="false">
      <c r="A1740" s="20"/>
      <c r="B1740" s="21"/>
      <c r="C1740" s="19"/>
      <c r="D1740" s="18"/>
      <c r="E1740" s="17"/>
      <c r="F1740" s="18"/>
      <c r="G1740" s="18"/>
      <c r="H1740" s="21"/>
      <c r="I1740" s="19"/>
      <c r="J1740" s="8" t="str">
        <f aca="false">IF(OR(E1740="",F1740=""),"",E1740*F1740)</f>
        <v/>
      </c>
      <c r="K1740" s="22" t="str">
        <f aca="false">IF($M1740="","",INDEX('Программа тренировок'!$G$6:$G$25,$M1740))</f>
        <v/>
      </c>
      <c r="L1740" s="23" t="str">
        <f aca="false">IF(OR($M1740="",$F1740="",$G1740=""),"",IF($H1740="Разминка","Разминка",IF($F1740&lt;INDEX('Программа тренировок'!$E$6:$E$25,$M1740),"Ниже диапазона",IF(AND($F1740&gt;=INDEX('Программа тренировок'!$F$6:$F$25,$M1740),$G1740&gt;=INDEX('Программа тренировок'!$L$6:$L$25,$M1740)),"Верх диапазона: пора добавлять вес",IF($G1740&lt;INDEX('Программа тренировок'!$L$6:$L$25,$M1740),"RIR ниже цели","В диапазоне")))))</f>
        <v/>
      </c>
      <c r="M1740" s="23" t="str">
        <f aca="false">IF($C1740="","",IFERROR(MATCH($C1740,'Программа тренировок'!$C$6:$C$25,0),""))</f>
        <v/>
      </c>
    </row>
    <row r="1741" customFormat="false" ht="15" hidden="false" customHeight="true" outlineLevel="0" collapsed="false">
      <c r="A1741" s="20"/>
      <c r="B1741" s="21"/>
      <c r="C1741" s="19"/>
      <c r="D1741" s="18"/>
      <c r="E1741" s="17"/>
      <c r="F1741" s="18"/>
      <c r="G1741" s="18"/>
      <c r="H1741" s="21"/>
      <c r="I1741" s="19"/>
      <c r="J1741" s="8" t="str">
        <f aca="false">IF(OR(E1741="",F1741=""),"",E1741*F1741)</f>
        <v/>
      </c>
      <c r="K1741" s="22" t="str">
        <f aca="false">IF($M1741="","",INDEX('Программа тренировок'!$G$6:$G$25,$M1741))</f>
        <v/>
      </c>
      <c r="L1741" s="23" t="str">
        <f aca="false">IF(OR($M1741="",$F1741="",$G1741=""),"",IF($H1741="Разминка","Разминка",IF($F1741&lt;INDEX('Программа тренировок'!$E$6:$E$25,$M1741),"Ниже диапазона",IF(AND($F1741&gt;=INDEX('Программа тренировок'!$F$6:$F$25,$M1741),$G1741&gt;=INDEX('Программа тренировок'!$L$6:$L$25,$M1741)),"Верх диапазона: пора добавлять вес",IF($G1741&lt;INDEX('Программа тренировок'!$L$6:$L$25,$M1741),"RIR ниже цели","В диапазоне")))))</f>
        <v/>
      </c>
      <c r="M1741" s="23" t="str">
        <f aca="false">IF($C1741="","",IFERROR(MATCH($C1741,'Программа тренировок'!$C$6:$C$25,0),""))</f>
        <v/>
      </c>
    </row>
    <row r="1742" customFormat="false" ht="15" hidden="false" customHeight="true" outlineLevel="0" collapsed="false">
      <c r="A1742" s="20"/>
      <c r="B1742" s="21"/>
      <c r="C1742" s="19"/>
      <c r="D1742" s="18"/>
      <c r="E1742" s="17"/>
      <c r="F1742" s="18"/>
      <c r="G1742" s="18"/>
      <c r="H1742" s="21"/>
      <c r="I1742" s="19"/>
      <c r="J1742" s="8" t="str">
        <f aca="false">IF(OR(E1742="",F1742=""),"",E1742*F1742)</f>
        <v/>
      </c>
      <c r="K1742" s="22" t="str">
        <f aca="false">IF($M1742="","",INDEX('Программа тренировок'!$G$6:$G$25,$M1742))</f>
        <v/>
      </c>
      <c r="L1742" s="23" t="str">
        <f aca="false">IF(OR($M1742="",$F1742="",$G1742=""),"",IF($H1742="Разминка","Разминка",IF($F1742&lt;INDEX('Программа тренировок'!$E$6:$E$25,$M1742),"Ниже диапазона",IF(AND($F1742&gt;=INDEX('Программа тренировок'!$F$6:$F$25,$M1742),$G1742&gt;=INDEX('Программа тренировок'!$L$6:$L$25,$M1742)),"Верх диапазона: пора добавлять вес",IF($G1742&lt;INDEX('Программа тренировок'!$L$6:$L$25,$M1742),"RIR ниже цели","В диапазоне")))))</f>
        <v/>
      </c>
      <c r="M1742" s="23" t="str">
        <f aca="false">IF($C1742="","",IFERROR(MATCH($C1742,'Программа тренировок'!$C$6:$C$25,0),""))</f>
        <v/>
      </c>
    </row>
    <row r="1743" customFormat="false" ht="15" hidden="false" customHeight="true" outlineLevel="0" collapsed="false">
      <c r="A1743" s="20"/>
      <c r="B1743" s="21"/>
      <c r="C1743" s="19"/>
      <c r="D1743" s="18"/>
      <c r="E1743" s="17"/>
      <c r="F1743" s="18"/>
      <c r="G1743" s="18"/>
      <c r="H1743" s="21"/>
      <c r="I1743" s="19"/>
      <c r="J1743" s="8" t="str">
        <f aca="false">IF(OR(E1743="",F1743=""),"",E1743*F1743)</f>
        <v/>
      </c>
      <c r="K1743" s="22" t="str">
        <f aca="false">IF($M1743="","",INDEX('Программа тренировок'!$G$6:$G$25,$M1743))</f>
        <v/>
      </c>
      <c r="L1743" s="23" t="str">
        <f aca="false">IF(OR($M1743="",$F1743="",$G1743=""),"",IF($H1743="Разминка","Разминка",IF($F1743&lt;INDEX('Программа тренировок'!$E$6:$E$25,$M1743),"Ниже диапазона",IF(AND($F1743&gt;=INDEX('Программа тренировок'!$F$6:$F$25,$M1743),$G1743&gt;=INDEX('Программа тренировок'!$L$6:$L$25,$M1743)),"Верх диапазона: пора добавлять вес",IF($G1743&lt;INDEX('Программа тренировок'!$L$6:$L$25,$M1743),"RIR ниже цели","В диапазоне")))))</f>
        <v/>
      </c>
      <c r="M1743" s="23" t="str">
        <f aca="false">IF($C1743="","",IFERROR(MATCH($C1743,'Программа тренировок'!$C$6:$C$25,0),""))</f>
        <v/>
      </c>
    </row>
    <row r="1744" customFormat="false" ht="15" hidden="false" customHeight="true" outlineLevel="0" collapsed="false">
      <c r="A1744" s="20"/>
      <c r="B1744" s="21"/>
      <c r="C1744" s="19"/>
      <c r="D1744" s="18"/>
      <c r="E1744" s="17"/>
      <c r="F1744" s="18"/>
      <c r="G1744" s="18"/>
      <c r="H1744" s="21"/>
      <c r="I1744" s="19"/>
      <c r="J1744" s="8" t="str">
        <f aca="false">IF(OR(E1744="",F1744=""),"",E1744*F1744)</f>
        <v/>
      </c>
      <c r="K1744" s="22" t="str">
        <f aca="false">IF($M1744="","",INDEX('Программа тренировок'!$G$6:$G$25,$M1744))</f>
        <v/>
      </c>
      <c r="L1744" s="23" t="str">
        <f aca="false">IF(OR($M1744="",$F1744="",$G1744=""),"",IF($H1744="Разминка","Разминка",IF($F1744&lt;INDEX('Программа тренировок'!$E$6:$E$25,$M1744),"Ниже диапазона",IF(AND($F1744&gt;=INDEX('Программа тренировок'!$F$6:$F$25,$M1744),$G1744&gt;=INDEX('Программа тренировок'!$L$6:$L$25,$M1744)),"Верх диапазона: пора добавлять вес",IF($G1744&lt;INDEX('Программа тренировок'!$L$6:$L$25,$M1744),"RIR ниже цели","В диапазоне")))))</f>
        <v/>
      </c>
      <c r="M1744" s="23" t="str">
        <f aca="false">IF($C1744="","",IFERROR(MATCH($C1744,'Программа тренировок'!$C$6:$C$25,0),""))</f>
        <v/>
      </c>
    </row>
    <row r="1745" customFormat="false" ht="15" hidden="false" customHeight="true" outlineLevel="0" collapsed="false">
      <c r="A1745" s="20"/>
      <c r="B1745" s="21"/>
      <c r="C1745" s="19"/>
      <c r="D1745" s="18"/>
      <c r="E1745" s="17"/>
      <c r="F1745" s="18"/>
      <c r="G1745" s="18"/>
      <c r="H1745" s="21"/>
      <c r="I1745" s="19"/>
      <c r="J1745" s="8" t="str">
        <f aca="false">IF(OR(E1745="",F1745=""),"",E1745*F1745)</f>
        <v/>
      </c>
      <c r="K1745" s="22" t="str">
        <f aca="false">IF($M1745="","",INDEX('Программа тренировок'!$G$6:$G$25,$M1745))</f>
        <v/>
      </c>
      <c r="L1745" s="23" t="str">
        <f aca="false">IF(OR($M1745="",$F1745="",$G1745=""),"",IF($H1745="Разминка","Разминка",IF($F1745&lt;INDEX('Программа тренировок'!$E$6:$E$25,$M1745),"Ниже диапазона",IF(AND($F1745&gt;=INDEX('Программа тренировок'!$F$6:$F$25,$M1745),$G1745&gt;=INDEX('Программа тренировок'!$L$6:$L$25,$M1745)),"Верх диапазона: пора добавлять вес",IF($G1745&lt;INDEX('Программа тренировок'!$L$6:$L$25,$M1745),"RIR ниже цели","В диапазоне")))))</f>
        <v/>
      </c>
      <c r="M1745" s="23" t="str">
        <f aca="false">IF($C1745="","",IFERROR(MATCH($C1745,'Программа тренировок'!$C$6:$C$25,0),""))</f>
        <v/>
      </c>
    </row>
    <row r="1746" customFormat="false" ht="15" hidden="false" customHeight="true" outlineLevel="0" collapsed="false">
      <c r="A1746" s="20"/>
      <c r="B1746" s="21"/>
      <c r="C1746" s="19"/>
      <c r="D1746" s="18"/>
      <c r="E1746" s="17"/>
      <c r="F1746" s="18"/>
      <c r="G1746" s="18"/>
      <c r="H1746" s="21"/>
      <c r="I1746" s="19"/>
      <c r="J1746" s="8" t="str">
        <f aca="false">IF(OR(E1746="",F1746=""),"",E1746*F1746)</f>
        <v/>
      </c>
      <c r="K1746" s="22" t="str">
        <f aca="false">IF($M1746="","",INDEX('Программа тренировок'!$G$6:$G$25,$M1746))</f>
        <v/>
      </c>
      <c r="L1746" s="23" t="str">
        <f aca="false">IF(OR($M1746="",$F1746="",$G1746=""),"",IF($H1746="Разминка","Разминка",IF($F1746&lt;INDEX('Программа тренировок'!$E$6:$E$25,$M1746),"Ниже диапазона",IF(AND($F1746&gt;=INDEX('Программа тренировок'!$F$6:$F$25,$M1746),$G1746&gt;=INDEX('Программа тренировок'!$L$6:$L$25,$M1746)),"Верх диапазона: пора добавлять вес",IF($G1746&lt;INDEX('Программа тренировок'!$L$6:$L$25,$M1746),"RIR ниже цели","В диапазоне")))))</f>
        <v/>
      </c>
      <c r="M1746" s="23" t="str">
        <f aca="false">IF($C1746="","",IFERROR(MATCH($C1746,'Программа тренировок'!$C$6:$C$25,0),""))</f>
        <v/>
      </c>
    </row>
    <row r="1747" customFormat="false" ht="15" hidden="false" customHeight="true" outlineLevel="0" collapsed="false">
      <c r="A1747" s="20"/>
      <c r="B1747" s="21"/>
      <c r="C1747" s="19"/>
      <c r="D1747" s="18"/>
      <c r="E1747" s="17"/>
      <c r="F1747" s="18"/>
      <c r="G1747" s="18"/>
      <c r="H1747" s="21"/>
      <c r="I1747" s="19"/>
      <c r="J1747" s="8" t="str">
        <f aca="false">IF(OR(E1747="",F1747=""),"",E1747*F1747)</f>
        <v/>
      </c>
      <c r="K1747" s="22" t="str">
        <f aca="false">IF($M1747="","",INDEX('Программа тренировок'!$G$6:$G$25,$M1747))</f>
        <v/>
      </c>
      <c r="L1747" s="23" t="str">
        <f aca="false">IF(OR($M1747="",$F1747="",$G1747=""),"",IF($H1747="Разминка","Разминка",IF($F1747&lt;INDEX('Программа тренировок'!$E$6:$E$25,$M1747),"Ниже диапазона",IF(AND($F1747&gt;=INDEX('Программа тренировок'!$F$6:$F$25,$M1747),$G1747&gt;=INDEX('Программа тренировок'!$L$6:$L$25,$M1747)),"Верх диапазона: пора добавлять вес",IF($G1747&lt;INDEX('Программа тренировок'!$L$6:$L$25,$M1747),"RIR ниже цели","В диапазоне")))))</f>
        <v/>
      </c>
      <c r="M1747" s="23" t="str">
        <f aca="false">IF($C1747="","",IFERROR(MATCH($C1747,'Программа тренировок'!$C$6:$C$25,0),""))</f>
        <v/>
      </c>
    </row>
    <row r="1748" customFormat="false" ht="15" hidden="false" customHeight="true" outlineLevel="0" collapsed="false">
      <c r="A1748" s="20"/>
      <c r="B1748" s="21"/>
      <c r="C1748" s="19"/>
      <c r="D1748" s="18"/>
      <c r="E1748" s="17"/>
      <c r="F1748" s="18"/>
      <c r="G1748" s="18"/>
      <c r="H1748" s="21"/>
      <c r="I1748" s="19"/>
      <c r="J1748" s="8" t="str">
        <f aca="false">IF(OR(E1748="",F1748=""),"",E1748*F1748)</f>
        <v/>
      </c>
      <c r="K1748" s="22" t="str">
        <f aca="false">IF($M1748="","",INDEX('Программа тренировок'!$G$6:$G$25,$M1748))</f>
        <v/>
      </c>
      <c r="L1748" s="23" t="str">
        <f aca="false">IF(OR($M1748="",$F1748="",$G1748=""),"",IF($H1748="Разминка","Разминка",IF($F1748&lt;INDEX('Программа тренировок'!$E$6:$E$25,$M1748),"Ниже диапазона",IF(AND($F1748&gt;=INDEX('Программа тренировок'!$F$6:$F$25,$M1748),$G1748&gt;=INDEX('Программа тренировок'!$L$6:$L$25,$M1748)),"Верх диапазона: пора добавлять вес",IF($G1748&lt;INDEX('Программа тренировок'!$L$6:$L$25,$M1748),"RIR ниже цели","В диапазоне")))))</f>
        <v/>
      </c>
      <c r="M1748" s="23" t="str">
        <f aca="false">IF($C1748="","",IFERROR(MATCH($C1748,'Программа тренировок'!$C$6:$C$25,0),""))</f>
        <v/>
      </c>
    </row>
    <row r="1749" customFormat="false" ht="15" hidden="false" customHeight="true" outlineLevel="0" collapsed="false">
      <c r="A1749" s="20"/>
      <c r="B1749" s="21"/>
      <c r="C1749" s="19"/>
      <c r="D1749" s="18"/>
      <c r="E1749" s="17"/>
      <c r="F1749" s="18"/>
      <c r="G1749" s="18"/>
      <c r="H1749" s="21"/>
      <c r="I1749" s="19"/>
      <c r="J1749" s="8" t="str">
        <f aca="false">IF(OR(E1749="",F1749=""),"",E1749*F1749)</f>
        <v/>
      </c>
      <c r="K1749" s="22" t="str">
        <f aca="false">IF($M1749="","",INDEX('Программа тренировок'!$G$6:$G$25,$M1749))</f>
        <v/>
      </c>
      <c r="L1749" s="23" t="str">
        <f aca="false">IF(OR($M1749="",$F1749="",$G1749=""),"",IF($H1749="Разминка","Разминка",IF($F1749&lt;INDEX('Программа тренировок'!$E$6:$E$25,$M1749),"Ниже диапазона",IF(AND($F1749&gt;=INDEX('Программа тренировок'!$F$6:$F$25,$M1749),$G1749&gt;=INDEX('Программа тренировок'!$L$6:$L$25,$M1749)),"Верх диапазона: пора добавлять вес",IF($G1749&lt;INDEX('Программа тренировок'!$L$6:$L$25,$M1749),"RIR ниже цели","В диапазоне")))))</f>
        <v/>
      </c>
      <c r="M1749" s="23" t="str">
        <f aca="false">IF($C1749="","",IFERROR(MATCH($C1749,'Программа тренировок'!$C$6:$C$25,0),""))</f>
        <v/>
      </c>
    </row>
    <row r="1750" customFormat="false" ht="15" hidden="false" customHeight="true" outlineLevel="0" collapsed="false">
      <c r="A1750" s="20"/>
      <c r="B1750" s="21"/>
      <c r="C1750" s="19"/>
      <c r="D1750" s="18"/>
      <c r="E1750" s="17"/>
      <c r="F1750" s="18"/>
      <c r="G1750" s="18"/>
      <c r="H1750" s="21"/>
      <c r="I1750" s="19"/>
      <c r="J1750" s="8" t="str">
        <f aca="false">IF(OR(E1750="",F1750=""),"",E1750*F1750)</f>
        <v/>
      </c>
      <c r="K1750" s="22" t="str">
        <f aca="false">IF($M1750="","",INDEX('Программа тренировок'!$G$6:$G$25,$M1750))</f>
        <v/>
      </c>
      <c r="L1750" s="23" t="str">
        <f aca="false">IF(OR($M1750="",$F1750="",$G1750=""),"",IF($H1750="Разминка","Разминка",IF($F1750&lt;INDEX('Программа тренировок'!$E$6:$E$25,$M1750),"Ниже диапазона",IF(AND($F1750&gt;=INDEX('Программа тренировок'!$F$6:$F$25,$M1750),$G1750&gt;=INDEX('Программа тренировок'!$L$6:$L$25,$M1750)),"Верх диапазона: пора добавлять вес",IF($G1750&lt;INDEX('Программа тренировок'!$L$6:$L$25,$M1750),"RIR ниже цели","В диапазоне")))))</f>
        <v/>
      </c>
      <c r="M1750" s="23" t="str">
        <f aca="false">IF($C1750="","",IFERROR(MATCH($C1750,'Программа тренировок'!$C$6:$C$25,0),""))</f>
        <v/>
      </c>
    </row>
    <row r="1751" customFormat="false" ht="15" hidden="false" customHeight="true" outlineLevel="0" collapsed="false">
      <c r="A1751" s="20"/>
      <c r="B1751" s="21"/>
      <c r="C1751" s="19"/>
      <c r="D1751" s="18"/>
      <c r="E1751" s="17"/>
      <c r="F1751" s="18"/>
      <c r="G1751" s="18"/>
      <c r="H1751" s="21"/>
      <c r="I1751" s="19"/>
      <c r="J1751" s="8" t="str">
        <f aca="false">IF(OR(E1751="",F1751=""),"",E1751*F1751)</f>
        <v/>
      </c>
      <c r="K1751" s="22" t="str">
        <f aca="false">IF($M1751="","",INDEX('Программа тренировок'!$G$6:$G$25,$M1751))</f>
        <v/>
      </c>
      <c r="L1751" s="23" t="str">
        <f aca="false">IF(OR($M1751="",$F1751="",$G1751=""),"",IF($H1751="Разминка","Разминка",IF($F1751&lt;INDEX('Программа тренировок'!$E$6:$E$25,$M1751),"Ниже диапазона",IF(AND($F1751&gt;=INDEX('Программа тренировок'!$F$6:$F$25,$M1751),$G1751&gt;=INDEX('Программа тренировок'!$L$6:$L$25,$M1751)),"Верх диапазона: пора добавлять вес",IF($G1751&lt;INDEX('Программа тренировок'!$L$6:$L$25,$M1751),"RIR ниже цели","В диапазоне")))))</f>
        <v/>
      </c>
      <c r="M1751" s="23" t="str">
        <f aca="false">IF($C1751="","",IFERROR(MATCH($C1751,'Программа тренировок'!$C$6:$C$25,0),""))</f>
        <v/>
      </c>
    </row>
    <row r="1752" customFormat="false" ht="15" hidden="false" customHeight="true" outlineLevel="0" collapsed="false">
      <c r="A1752" s="20"/>
      <c r="B1752" s="21"/>
      <c r="C1752" s="19"/>
      <c r="D1752" s="18"/>
      <c r="E1752" s="17"/>
      <c r="F1752" s="18"/>
      <c r="G1752" s="18"/>
      <c r="H1752" s="21"/>
      <c r="I1752" s="19"/>
      <c r="J1752" s="8" t="str">
        <f aca="false">IF(OR(E1752="",F1752=""),"",E1752*F1752)</f>
        <v/>
      </c>
      <c r="K1752" s="22" t="str">
        <f aca="false">IF($M1752="","",INDEX('Программа тренировок'!$G$6:$G$25,$M1752))</f>
        <v/>
      </c>
      <c r="L1752" s="23" t="str">
        <f aca="false">IF(OR($M1752="",$F1752="",$G1752=""),"",IF($H1752="Разминка","Разминка",IF($F1752&lt;INDEX('Программа тренировок'!$E$6:$E$25,$M1752),"Ниже диапазона",IF(AND($F1752&gt;=INDEX('Программа тренировок'!$F$6:$F$25,$M1752),$G1752&gt;=INDEX('Программа тренировок'!$L$6:$L$25,$M1752)),"Верх диапазона: пора добавлять вес",IF($G1752&lt;INDEX('Программа тренировок'!$L$6:$L$25,$M1752),"RIR ниже цели","В диапазоне")))))</f>
        <v/>
      </c>
      <c r="M1752" s="23" t="str">
        <f aca="false">IF($C1752="","",IFERROR(MATCH($C1752,'Программа тренировок'!$C$6:$C$25,0),""))</f>
        <v/>
      </c>
    </row>
    <row r="1753" customFormat="false" ht="15" hidden="false" customHeight="true" outlineLevel="0" collapsed="false">
      <c r="A1753" s="20"/>
      <c r="B1753" s="21"/>
      <c r="C1753" s="19"/>
      <c r="D1753" s="18"/>
      <c r="E1753" s="17"/>
      <c r="F1753" s="18"/>
      <c r="G1753" s="18"/>
      <c r="H1753" s="21"/>
      <c r="I1753" s="19"/>
      <c r="J1753" s="8" t="str">
        <f aca="false">IF(OR(E1753="",F1753=""),"",E1753*F1753)</f>
        <v/>
      </c>
      <c r="K1753" s="22" t="str">
        <f aca="false">IF($M1753="","",INDEX('Программа тренировок'!$G$6:$G$25,$M1753))</f>
        <v/>
      </c>
      <c r="L1753" s="23" t="str">
        <f aca="false">IF(OR($M1753="",$F1753="",$G1753=""),"",IF($H1753="Разминка","Разминка",IF($F1753&lt;INDEX('Программа тренировок'!$E$6:$E$25,$M1753),"Ниже диапазона",IF(AND($F1753&gt;=INDEX('Программа тренировок'!$F$6:$F$25,$M1753),$G1753&gt;=INDEX('Программа тренировок'!$L$6:$L$25,$M1753)),"Верх диапазона: пора добавлять вес",IF($G1753&lt;INDEX('Программа тренировок'!$L$6:$L$25,$M1753),"RIR ниже цели","В диапазоне")))))</f>
        <v/>
      </c>
      <c r="M1753" s="23" t="str">
        <f aca="false">IF($C1753="","",IFERROR(MATCH($C1753,'Программа тренировок'!$C$6:$C$25,0),""))</f>
        <v/>
      </c>
    </row>
    <row r="1754" customFormat="false" ht="15" hidden="false" customHeight="true" outlineLevel="0" collapsed="false">
      <c r="A1754" s="20"/>
      <c r="B1754" s="21"/>
      <c r="C1754" s="19"/>
      <c r="D1754" s="18"/>
      <c r="E1754" s="17"/>
      <c r="F1754" s="18"/>
      <c r="G1754" s="18"/>
      <c r="H1754" s="21"/>
      <c r="I1754" s="19"/>
      <c r="J1754" s="8" t="str">
        <f aca="false">IF(OR(E1754="",F1754=""),"",E1754*F1754)</f>
        <v/>
      </c>
      <c r="K1754" s="22" t="str">
        <f aca="false">IF($M1754="","",INDEX('Программа тренировок'!$G$6:$G$25,$M1754))</f>
        <v/>
      </c>
      <c r="L1754" s="23" t="str">
        <f aca="false">IF(OR($M1754="",$F1754="",$G1754=""),"",IF($H1754="Разминка","Разминка",IF($F1754&lt;INDEX('Программа тренировок'!$E$6:$E$25,$M1754),"Ниже диапазона",IF(AND($F1754&gt;=INDEX('Программа тренировок'!$F$6:$F$25,$M1754),$G1754&gt;=INDEX('Программа тренировок'!$L$6:$L$25,$M1754)),"Верх диапазона: пора добавлять вес",IF($G1754&lt;INDEX('Программа тренировок'!$L$6:$L$25,$M1754),"RIR ниже цели","В диапазоне")))))</f>
        <v/>
      </c>
      <c r="M1754" s="23" t="str">
        <f aca="false">IF($C1754="","",IFERROR(MATCH($C1754,'Программа тренировок'!$C$6:$C$25,0),""))</f>
        <v/>
      </c>
    </row>
    <row r="1755" customFormat="false" ht="15" hidden="false" customHeight="true" outlineLevel="0" collapsed="false">
      <c r="A1755" s="20"/>
      <c r="B1755" s="21"/>
      <c r="C1755" s="19"/>
      <c r="D1755" s="18"/>
      <c r="E1755" s="17"/>
      <c r="F1755" s="18"/>
      <c r="G1755" s="18"/>
      <c r="H1755" s="21"/>
      <c r="I1755" s="19"/>
      <c r="J1755" s="8" t="str">
        <f aca="false">IF(OR(E1755="",F1755=""),"",E1755*F1755)</f>
        <v/>
      </c>
      <c r="K1755" s="22" t="str">
        <f aca="false">IF($M1755="","",INDEX('Программа тренировок'!$G$6:$G$25,$M1755))</f>
        <v/>
      </c>
      <c r="L1755" s="23" t="str">
        <f aca="false">IF(OR($M1755="",$F1755="",$G1755=""),"",IF($H1755="Разминка","Разминка",IF($F1755&lt;INDEX('Программа тренировок'!$E$6:$E$25,$M1755),"Ниже диапазона",IF(AND($F1755&gt;=INDEX('Программа тренировок'!$F$6:$F$25,$M1755),$G1755&gt;=INDEX('Программа тренировок'!$L$6:$L$25,$M1755)),"Верх диапазона: пора добавлять вес",IF($G1755&lt;INDEX('Программа тренировок'!$L$6:$L$25,$M1755),"RIR ниже цели","В диапазоне")))))</f>
        <v/>
      </c>
      <c r="M1755" s="23" t="str">
        <f aca="false">IF($C1755="","",IFERROR(MATCH($C1755,'Программа тренировок'!$C$6:$C$25,0),""))</f>
        <v/>
      </c>
    </row>
    <row r="1756" customFormat="false" ht="15" hidden="false" customHeight="true" outlineLevel="0" collapsed="false">
      <c r="A1756" s="20"/>
      <c r="B1756" s="21"/>
      <c r="C1756" s="19"/>
      <c r="D1756" s="18"/>
      <c r="E1756" s="17"/>
      <c r="F1756" s="18"/>
      <c r="G1756" s="18"/>
      <c r="H1756" s="21"/>
      <c r="I1756" s="19"/>
      <c r="J1756" s="8" t="str">
        <f aca="false">IF(OR(E1756="",F1756=""),"",E1756*F1756)</f>
        <v/>
      </c>
      <c r="K1756" s="22" t="str">
        <f aca="false">IF($M1756="","",INDEX('Программа тренировок'!$G$6:$G$25,$M1756))</f>
        <v/>
      </c>
      <c r="L1756" s="23" t="str">
        <f aca="false">IF(OR($M1756="",$F1756="",$G1756=""),"",IF($H1756="Разминка","Разминка",IF($F1756&lt;INDEX('Программа тренировок'!$E$6:$E$25,$M1756),"Ниже диапазона",IF(AND($F1756&gt;=INDEX('Программа тренировок'!$F$6:$F$25,$M1756),$G1756&gt;=INDEX('Программа тренировок'!$L$6:$L$25,$M1756)),"Верх диапазона: пора добавлять вес",IF($G1756&lt;INDEX('Программа тренировок'!$L$6:$L$25,$M1756),"RIR ниже цели","В диапазоне")))))</f>
        <v/>
      </c>
      <c r="M1756" s="23" t="str">
        <f aca="false">IF($C1756="","",IFERROR(MATCH($C1756,'Программа тренировок'!$C$6:$C$25,0),""))</f>
        <v/>
      </c>
    </row>
    <row r="1757" customFormat="false" ht="15" hidden="false" customHeight="true" outlineLevel="0" collapsed="false">
      <c r="A1757" s="20"/>
      <c r="B1757" s="21"/>
      <c r="C1757" s="19"/>
      <c r="D1757" s="18"/>
      <c r="E1757" s="17"/>
      <c r="F1757" s="18"/>
      <c r="G1757" s="18"/>
      <c r="H1757" s="21"/>
      <c r="I1757" s="19"/>
      <c r="J1757" s="8" t="str">
        <f aca="false">IF(OR(E1757="",F1757=""),"",E1757*F1757)</f>
        <v/>
      </c>
      <c r="K1757" s="22" t="str">
        <f aca="false">IF($M1757="","",INDEX('Программа тренировок'!$G$6:$G$25,$M1757))</f>
        <v/>
      </c>
      <c r="L1757" s="23" t="str">
        <f aca="false">IF(OR($M1757="",$F1757="",$G1757=""),"",IF($H1757="Разминка","Разминка",IF($F1757&lt;INDEX('Программа тренировок'!$E$6:$E$25,$M1757),"Ниже диапазона",IF(AND($F1757&gt;=INDEX('Программа тренировок'!$F$6:$F$25,$M1757),$G1757&gt;=INDEX('Программа тренировок'!$L$6:$L$25,$M1757)),"Верх диапазона: пора добавлять вес",IF($G1757&lt;INDEX('Программа тренировок'!$L$6:$L$25,$M1757),"RIR ниже цели","В диапазоне")))))</f>
        <v/>
      </c>
      <c r="M1757" s="23" t="str">
        <f aca="false">IF($C1757="","",IFERROR(MATCH($C1757,'Программа тренировок'!$C$6:$C$25,0),""))</f>
        <v/>
      </c>
    </row>
    <row r="1758" customFormat="false" ht="15" hidden="false" customHeight="true" outlineLevel="0" collapsed="false">
      <c r="A1758" s="20"/>
      <c r="B1758" s="21"/>
      <c r="C1758" s="19"/>
      <c r="D1758" s="18"/>
      <c r="E1758" s="17"/>
      <c r="F1758" s="18"/>
      <c r="G1758" s="18"/>
      <c r="H1758" s="21"/>
      <c r="I1758" s="19"/>
      <c r="J1758" s="8" t="str">
        <f aca="false">IF(OR(E1758="",F1758=""),"",E1758*F1758)</f>
        <v/>
      </c>
      <c r="K1758" s="22" t="str">
        <f aca="false">IF($M1758="","",INDEX('Программа тренировок'!$G$6:$G$25,$M1758))</f>
        <v/>
      </c>
      <c r="L1758" s="23" t="str">
        <f aca="false">IF(OR($M1758="",$F1758="",$G1758=""),"",IF($H1758="Разминка","Разминка",IF($F1758&lt;INDEX('Программа тренировок'!$E$6:$E$25,$M1758),"Ниже диапазона",IF(AND($F1758&gt;=INDEX('Программа тренировок'!$F$6:$F$25,$M1758),$G1758&gt;=INDEX('Программа тренировок'!$L$6:$L$25,$M1758)),"Верх диапазона: пора добавлять вес",IF($G1758&lt;INDEX('Программа тренировок'!$L$6:$L$25,$M1758),"RIR ниже цели","В диапазоне")))))</f>
        <v/>
      </c>
      <c r="M1758" s="23" t="str">
        <f aca="false">IF($C1758="","",IFERROR(MATCH($C1758,'Программа тренировок'!$C$6:$C$25,0),""))</f>
        <v/>
      </c>
    </row>
    <row r="1759" customFormat="false" ht="15" hidden="false" customHeight="true" outlineLevel="0" collapsed="false">
      <c r="A1759" s="20"/>
      <c r="B1759" s="21"/>
      <c r="C1759" s="19"/>
      <c r="D1759" s="18"/>
      <c r="E1759" s="17"/>
      <c r="F1759" s="18"/>
      <c r="G1759" s="18"/>
      <c r="H1759" s="21"/>
      <c r="I1759" s="19"/>
      <c r="J1759" s="8" t="str">
        <f aca="false">IF(OR(E1759="",F1759=""),"",E1759*F1759)</f>
        <v/>
      </c>
      <c r="K1759" s="22" t="str">
        <f aca="false">IF($M1759="","",INDEX('Программа тренировок'!$G$6:$G$25,$M1759))</f>
        <v/>
      </c>
      <c r="L1759" s="23" t="str">
        <f aca="false">IF(OR($M1759="",$F1759="",$G1759=""),"",IF($H1759="Разминка","Разминка",IF($F1759&lt;INDEX('Программа тренировок'!$E$6:$E$25,$M1759),"Ниже диапазона",IF(AND($F1759&gt;=INDEX('Программа тренировок'!$F$6:$F$25,$M1759),$G1759&gt;=INDEX('Программа тренировок'!$L$6:$L$25,$M1759)),"Верх диапазона: пора добавлять вес",IF($G1759&lt;INDEX('Программа тренировок'!$L$6:$L$25,$M1759),"RIR ниже цели","В диапазоне")))))</f>
        <v/>
      </c>
      <c r="M1759" s="23" t="str">
        <f aca="false">IF($C1759="","",IFERROR(MATCH($C1759,'Программа тренировок'!$C$6:$C$25,0),""))</f>
        <v/>
      </c>
    </row>
    <row r="1760" customFormat="false" ht="15" hidden="false" customHeight="true" outlineLevel="0" collapsed="false">
      <c r="A1760" s="20"/>
      <c r="B1760" s="21"/>
      <c r="C1760" s="19"/>
      <c r="D1760" s="18"/>
      <c r="E1760" s="17"/>
      <c r="F1760" s="18"/>
      <c r="G1760" s="18"/>
      <c r="H1760" s="21"/>
      <c r="I1760" s="19"/>
      <c r="J1760" s="8" t="str">
        <f aca="false">IF(OR(E1760="",F1760=""),"",E1760*F1760)</f>
        <v/>
      </c>
      <c r="K1760" s="22" t="str">
        <f aca="false">IF($M1760="","",INDEX('Программа тренировок'!$G$6:$G$25,$M1760))</f>
        <v/>
      </c>
      <c r="L1760" s="23" t="str">
        <f aca="false">IF(OR($M1760="",$F1760="",$G1760=""),"",IF($H1760="Разминка","Разминка",IF($F1760&lt;INDEX('Программа тренировок'!$E$6:$E$25,$M1760),"Ниже диапазона",IF(AND($F1760&gt;=INDEX('Программа тренировок'!$F$6:$F$25,$M1760),$G1760&gt;=INDEX('Программа тренировок'!$L$6:$L$25,$M1760)),"Верх диапазона: пора добавлять вес",IF($G1760&lt;INDEX('Программа тренировок'!$L$6:$L$25,$M1760),"RIR ниже цели","В диапазоне")))))</f>
        <v/>
      </c>
      <c r="M1760" s="23" t="str">
        <f aca="false">IF($C1760="","",IFERROR(MATCH($C1760,'Программа тренировок'!$C$6:$C$25,0),""))</f>
        <v/>
      </c>
    </row>
    <row r="1761" customFormat="false" ht="15" hidden="false" customHeight="true" outlineLevel="0" collapsed="false">
      <c r="A1761" s="20"/>
      <c r="B1761" s="21"/>
      <c r="C1761" s="19"/>
      <c r="D1761" s="18"/>
      <c r="E1761" s="17"/>
      <c r="F1761" s="18"/>
      <c r="G1761" s="18"/>
      <c r="H1761" s="21"/>
      <c r="I1761" s="19"/>
      <c r="J1761" s="8" t="str">
        <f aca="false">IF(OR(E1761="",F1761=""),"",E1761*F1761)</f>
        <v/>
      </c>
      <c r="K1761" s="22" t="str">
        <f aca="false">IF($M1761="","",INDEX('Программа тренировок'!$G$6:$G$25,$M1761))</f>
        <v/>
      </c>
      <c r="L1761" s="23" t="str">
        <f aca="false">IF(OR($M1761="",$F1761="",$G1761=""),"",IF($H1761="Разминка","Разминка",IF($F1761&lt;INDEX('Программа тренировок'!$E$6:$E$25,$M1761),"Ниже диапазона",IF(AND($F1761&gt;=INDEX('Программа тренировок'!$F$6:$F$25,$M1761),$G1761&gt;=INDEX('Программа тренировок'!$L$6:$L$25,$M1761)),"Верх диапазона: пора добавлять вес",IF($G1761&lt;INDEX('Программа тренировок'!$L$6:$L$25,$M1761),"RIR ниже цели","В диапазоне")))))</f>
        <v/>
      </c>
      <c r="M1761" s="23" t="str">
        <f aca="false">IF($C1761="","",IFERROR(MATCH($C1761,'Программа тренировок'!$C$6:$C$25,0),""))</f>
        <v/>
      </c>
    </row>
    <row r="1762" customFormat="false" ht="15" hidden="false" customHeight="true" outlineLevel="0" collapsed="false">
      <c r="A1762" s="20"/>
      <c r="B1762" s="21"/>
      <c r="C1762" s="19"/>
      <c r="D1762" s="18"/>
      <c r="E1762" s="17"/>
      <c r="F1762" s="18"/>
      <c r="G1762" s="18"/>
      <c r="H1762" s="21"/>
      <c r="I1762" s="19"/>
      <c r="J1762" s="8" t="str">
        <f aca="false">IF(OR(E1762="",F1762=""),"",E1762*F1762)</f>
        <v/>
      </c>
      <c r="K1762" s="22" t="str">
        <f aca="false">IF($M1762="","",INDEX('Программа тренировок'!$G$6:$G$25,$M1762))</f>
        <v/>
      </c>
      <c r="L1762" s="23" t="str">
        <f aca="false">IF(OR($M1762="",$F1762="",$G1762=""),"",IF($H1762="Разминка","Разминка",IF($F1762&lt;INDEX('Программа тренировок'!$E$6:$E$25,$M1762),"Ниже диапазона",IF(AND($F1762&gt;=INDEX('Программа тренировок'!$F$6:$F$25,$M1762),$G1762&gt;=INDEX('Программа тренировок'!$L$6:$L$25,$M1762)),"Верх диапазона: пора добавлять вес",IF($G1762&lt;INDEX('Программа тренировок'!$L$6:$L$25,$M1762),"RIR ниже цели","В диапазоне")))))</f>
        <v/>
      </c>
      <c r="M1762" s="23" t="str">
        <f aca="false">IF($C1762="","",IFERROR(MATCH($C1762,'Программа тренировок'!$C$6:$C$25,0),""))</f>
        <v/>
      </c>
    </row>
    <row r="1763" customFormat="false" ht="15" hidden="false" customHeight="true" outlineLevel="0" collapsed="false">
      <c r="A1763" s="20"/>
      <c r="B1763" s="21"/>
      <c r="C1763" s="19"/>
      <c r="D1763" s="18"/>
      <c r="E1763" s="17"/>
      <c r="F1763" s="18"/>
      <c r="G1763" s="18"/>
      <c r="H1763" s="21"/>
      <c r="I1763" s="19"/>
      <c r="J1763" s="8" t="str">
        <f aca="false">IF(OR(E1763="",F1763=""),"",E1763*F1763)</f>
        <v/>
      </c>
      <c r="K1763" s="22" t="str">
        <f aca="false">IF($M1763="","",INDEX('Программа тренировок'!$G$6:$G$25,$M1763))</f>
        <v/>
      </c>
      <c r="L1763" s="23" t="str">
        <f aca="false">IF(OR($M1763="",$F1763="",$G1763=""),"",IF($H1763="Разминка","Разминка",IF($F1763&lt;INDEX('Программа тренировок'!$E$6:$E$25,$M1763),"Ниже диапазона",IF(AND($F1763&gt;=INDEX('Программа тренировок'!$F$6:$F$25,$M1763),$G1763&gt;=INDEX('Программа тренировок'!$L$6:$L$25,$M1763)),"Верх диапазона: пора добавлять вес",IF($G1763&lt;INDEX('Программа тренировок'!$L$6:$L$25,$M1763),"RIR ниже цели","В диапазоне")))))</f>
        <v/>
      </c>
      <c r="M1763" s="23" t="str">
        <f aca="false">IF($C1763="","",IFERROR(MATCH($C1763,'Программа тренировок'!$C$6:$C$25,0),""))</f>
        <v/>
      </c>
    </row>
    <row r="1764" customFormat="false" ht="15" hidden="false" customHeight="true" outlineLevel="0" collapsed="false">
      <c r="A1764" s="20"/>
      <c r="B1764" s="21"/>
      <c r="C1764" s="19"/>
      <c r="D1764" s="18"/>
      <c r="E1764" s="17"/>
      <c r="F1764" s="18"/>
      <c r="G1764" s="18"/>
      <c r="H1764" s="21"/>
      <c r="I1764" s="19"/>
      <c r="J1764" s="8" t="str">
        <f aca="false">IF(OR(E1764="",F1764=""),"",E1764*F1764)</f>
        <v/>
      </c>
      <c r="K1764" s="22" t="str">
        <f aca="false">IF($M1764="","",INDEX('Программа тренировок'!$G$6:$G$25,$M1764))</f>
        <v/>
      </c>
      <c r="L1764" s="23" t="str">
        <f aca="false">IF(OR($M1764="",$F1764="",$G1764=""),"",IF($H1764="Разминка","Разминка",IF($F1764&lt;INDEX('Программа тренировок'!$E$6:$E$25,$M1764),"Ниже диапазона",IF(AND($F1764&gt;=INDEX('Программа тренировок'!$F$6:$F$25,$M1764),$G1764&gt;=INDEX('Программа тренировок'!$L$6:$L$25,$M1764)),"Верх диапазона: пора добавлять вес",IF($G1764&lt;INDEX('Программа тренировок'!$L$6:$L$25,$M1764),"RIR ниже цели","В диапазоне")))))</f>
        <v/>
      </c>
      <c r="M1764" s="23" t="str">
        <f aca="false">IF($C1764="","",IFERROR(MATCH($C1764,'Программа тренировок'!$C$6:$C$25,0),""))</f>
        <v/>
      </c>
    </row>
    <row r="1765" customFormat="false" ht="15" hidden="false" customHeight="true" outlineLevel="0" collapsed="false">
      <c r="A1765" s="20"/>
      <c r="B1765" s="21"/>
      <c r="C1765" s="19"/>
      <c r="D1765" s="18"/>
      <c r="E1765" s="17"/>
      <c r="F1765" s="18"/>
      <c r="G1765" s="18"/>
      <c r="H1765" s="21"/>
      <c r="I1765" s="19"/>
      <c r="J1765" s="8" t="str">
        <f aca="false">IF(OR(E1765="",F1765=""),"",E1765*F1765)</f>
        <v/>
      </c>
      <c r="K1765" s="22" t="str">
        <f aca="false">IF($M1765="","",INDEX('Программа тренировок'!$G$6:$G$25,$M1765))</f>
        <v/>
      </c>
      <c r="L1765" s="23" t="str">
        <f aca="false">IF(OR($M1765="",$F1765="",$G1765=""),"",IF($H1765="Разминка","Разминка",IF($F1765&lt;INDEX('Программа тренировок'!$E$6:$E$25,$M1765),"Ниже диапазона",IF(AND($F1765&gt;=INDEX('Программа тренировок'!$F$6:$F$25,$M1765),$G1765&gt;=INDEX('Программа тренировок'!$L$6:$L$25,$M1765)),"Верх диапазона: пора добавлять вес",IF($G1765&lt;INDEX('Программа тренировок'!$L$6:$L$25,$M1765),"RIR ниже цели","В диапазоне")))))</f>
        <v/>
      </c>
      <c r="M1765" s="23" t="str">
        <f aca="false">IF($C1765="","",IFERROR(MATCH($C1765,'Программа тренировок'!$C$6:$C$25,0),""))</f>
        <v/>
      </c>
    </row>
    <row r="1766" customFormat="false" ht="15" hidden="false" customHeight="true" outlineLevel="0" collapsed="false">
      <c r="A1766" s="20"/>
      <c r="B1766" s="21"/>
      <c r="C1766" s="19"/>
      <c r="D1766" s="18"/>
      <c r="E1766" s="17"/>
      <c r="F1766" s="18"/>
      <c r="G1766" s="18"/>
      <c r="H1766" s="21"/>
      <c r="I1766" s="19"/>
      <c r="J1766" s="8" t="str">
        <f aca="false">IF(OR(E1766="",F1766=""),"",E1766*F1766)</f>
        <v/>
      </c>
      <c r="K1766" s="22" t="str">
        <f aca="false">IF($M1766="","",INDEX('Программа тренировок'!$G$6:$G$25,$M1766))</f>
        <v/>
      </c>
      <c r="L1766" s="23" t="str">
        <f aca="false">IF(OR($M1766="",$F1766="",$G1766=""),"",IF($H1766="Разминка","Разминка",IF($F1766&lt;INDEX('Программа тренировок'!$E$6:$E$25,$M1766),"Ниже диапазона",IF(AND($F1766&gt;=INDEX('Программа тренировок'!$F$6:$F$25,$M1766),$G1766&gt;=INDEX('Программа тренировок'!$L$6:$L$25,$M1766)),"Верх диапазона: пора добавлять вес",IF($G1766&lt;INDEX('Программа тренировок'!$L$6:$L$25,$M1766),"RIR ниже цели","В диапазоне")))))</f>
        <v/>
      </c>
      <c r="M1766" s="23" t="str">
        <f aca="false">IF($C1766="","",IFERROR(MATCH($C1766,'Программа тренировок'!$C$6:$C$25,0),""))</f>
        <v/>
      </c>
    </row>
    <row r="1767" customFormat="false" ht="15" hidden="false" customHeight="true" outlineLevel="0" collapsed="false">
      <c r="A1767" s="20"/>
      <c r="B1767" s="21"/>
      <c r="C1767" s="19"/>
      <c r="D1767" s="18"/>
      <c r="E1767" s="17"/>
      <c r="F1767" s="18"/>
      <c r="G1767" s="18"/>
      <c r="H1767" s="21"/>
      <c r="I1767" s="19"/>
      <c r="J1767" s="8" t="str">
        <f aca="false">IF(OR(E1767="",F1767=""),"",E1767*F1767)</f>
        <v/>
      </c>
      <c r="K1767" s="22" t="str">
        <f aca="false">IF($M1767="","",INDEX('Программа тренировок'!$G$6:$G$25,$M1767))</f>
        <v/>
      </c>
      <c r="L1767" s="23" t="str">
        <f aca="false">IF(OR($M1767="",$F1767="",$G1767=""),"",IF($H1767="Разминка","Разминка",IF($F1767&lt;INDEX('Программа тренировок'!$E$6:$E$25,$M1767),"Ниже диапазона",IF(AND($F1767&gt;=INDEX('Программа тренировок'!$F$6:$F$25,$M1767),$G1767&gt;=INDEX('Программа тренировок'!$L$6:$L$25,$M1767)),"Верх диапазона: пора добавлять вес",IF($G1767&lt;INDEX('Программа тренировок'!$L$6:$L$25,$M1767),"RIR ниже цели","В диапазоне")))))</f>
        <v/>
      </c>
      <c r="M1767" s="23" t="str">
        <f aca="false">IF($C1767="","",IFERROR(MATCH($C1767,'Программа тренировок'!$C$6:$C$25,0),""))</f>
        <v/>
      </c>
    </row>
    <row r="1768" customFormat="false" ht="15" hidden="false" customHeight="true" outlineLevel="0" collapsed="false">
      <c r="A1768" s="20"/>
      <c r="B1768" s="21"/>
      <c r="C1768" s="19"/>
      <c r="D1768" s="18"/>
      <c r="E1768" s="17"/>
      <c r="F1768" s="18"/>
      <c r="G1768" s="18"/>
      <c r="H1768" s="21"/>
      <c r="I1768" s="19"/>
      <c r="J1768" s="8" t="str">
        <f aca="false">IF(OR(E1768="",F1768=""),"",E1768*F1768)</f>
        <v/>
      </c>
      <c r="K1768" s="22" t="str">
        <f aca="false">IF($M1768="","",INDEX('Программа тренировок'!$G$6:$G$25,$M1768))</f>
        <v/>
      </c>
      <c r="L1768" s="23" t="str">
        <f aca="false">IF(OR($M1768="",$F1768="",$G1768=""),"",IF($H1768="Разминка","Разминка",IF($F1768&lt;INDEX('Программа тренировок'!$E$6:$E$25,$M1768),"Ниже диапазона",IF(AND($F1768&gt;=INDEX('Программа тренировок'!$F$6:$F$25,$M1768),$G1768&gt;=INDEX('Программа тренировок'!$L$6:$L$25,$M1768)),"Верх диапазона: пора добавлять вес",IF($G1768&lt;INDEX('Программа тренировок'!$L$6:$L$25,$M1768),"RIR ниже цели","В диапазоне")))))</f>
        <v/>
      </c>
      <c r="M1768" s="23" t="str">
        <f aca="false">IF($C1768="","",IFERROR(MATCH($C1768,'Программа тренировок'!$C$6:$C$25,0),""))</f>
        <v/>
      </c>
    </row>
    <row r="1769" customFormat="false" ht="15" hidden="false" customHeight="true" outlineLevel="0" collapsed="false">
      <c r="A1769" s="20"/>
      <c r="B1769" s="21"/>
      <c r="C1769" s="19"/>
      <c r="D1769" s="18"/>
      <c r="E1769" s="17"/>
      <c r="F1769" s="18"/>
      <c r="G1769" s="18"/>
      <c r="H1769" s="21"/>
      <c r="I1769" s="19"/>
      <c r="J1769" s="8" t="str">
        <f aca="false">IF(OR(E1769="",F1769=""),"",E1769*F1769)</f>
        <v/>
      </c>
      <c r="K1769" s="22" t="str">
        <f aca="false">IF($M1769="","",INDEX('Программа тренировок'!$G$6:$G$25,$M1769))</f>
        <v/>
      </c>
      <c r="L1769" s="23" t="str">
        <f aca="false">IF(OR($M1769="",$F1769="",$G1769=""),"",IF($H1769="Разминка","Разминка",IF($F1769&lt;INDEX('Программа тренировок'!$E$6:$E$25,$M1769),"Ниже диапазона",IF(AND($F1769&gt;=INDEX('Программа тренировок'!$F$6:$F$25,$M1769),$G1769&gt;=INDEX('Программа тренировок'!$L$6:$L$25,$M1769)),"Верх диапазона: пора добавлять вес",IF($G1769&lt;INDEX('Программа тренировок'!$L$6:$L$25,$M1769),"RIR ниже цели","В диапазоне")))))</f>
        <v/>
      </c>
      <c r="M1769" s="23" t="str">
        <f aca="false">IF($C1769="","",IFERROR(MATCH($C1769,'Программа тренировок'!$C$6:$C$25,0),""))</f>
        <v/>
      </c>
    </row>
    <row r="1770" customFormat="false" ht="15" hidden="false" customHeight="true" outlineLevel="0" collapsed="false">
      <c r="A1770" s="20"/>
      <c r="B1770" s="21"/>
      <c r="C1770" s="19"/>
      <c r="D1770" s="18"/>
      <c r="E1770" s="17"/>
      <c r="F1770" s="18"/>
      <c r="G1770" s="18"/>
      <c r="H1770" s="21"/>
      <c r="I1770" s="19"/>
      <c r="J1770" s="8" t="str">
        <f aca="false">IF(OR(E1770="",F1770=""),"",E1770*F1770)</f>
        <v/>
      </c>
      <c r="K1770" s="22" t="str">
        <f aca="false">IF($M1770="","",INDEX('Программа тренировок'!$G$6:$G$25,$M1770))</f>
        <v/>
      </c>
      <c r="L1770" s="23" t="str">
        <f aca="false">IF(OR($M1770="",$F1770="",$G1770=""),"",IF($H1770="Разминка","Разминка",IF($F1770&lt;INDEX('Программа тренировок'!$E$6:$E$25,$M1770),"Ниже диапазона",IF(AND($F1770&gt;=INDEX('Программа тренировок'!$F$6:$F$25,$M1770),$G1770&gt;=INDEX('Программа тренировок'!$L$6:$L$25,$M1770)),"Верх диапазона: пора добавлять вес",IF($G1770&lt;INDEX('Программа тренировок'!$L$6:$L$25,$M1770),"RIR ниже цели","В диапазоне")))))</f>
        <v/>
      </c>
      <c r="M1770" s="23" t="str">
        <f aca="false">IF($C1770="","",IFERROR(MATCH($C1770,'Программа тренировок'!$C$6:$C$25,0),""))</f>
        <v/>
      </c>
    </row>
    <row r="1771" customFormat="false" ht="15" hidden="false" customHeight="true" outlineLevel="0" collapsed="false">
      <c r="A1771" s="20"/>
      <c r="B1771" s="21"/>
      <c r="C1771" s="19"/>
      <c r="D1771" s="18"/>
      <c r="E1771" s="17"/>
      <c r="F1771" s="18"/>
      <c r="G1771" s="18"/>
      <c r="H1771" s="21"/>
      <c r="I1771" s="19"/>
      <c r="J1771" s="8" t="str">
        <f aca="false">IF(OR(E1771="",F1771=""),"",E1771*F1771)</f>
        <v/>
      </c>
      <c r="K1771" s="22" t="str">
        <f aca="false">IF($M1771="","",INDEX('Программа тренировок'!$G$6:$G$25,$M1771))</f>
        <v/>
      </c>
      <c r="L1771" s="23" t="str">
        <f aca="false">IF(OR($M1771="",$F1771="",$G1771=""),"",IF($H1771="Разминка","Разминка",IF($F1771&lt;INDEX('Программа тренировок'!$E$6:$E$25,$M1771),"Ниже диапазона",IF(AND($F1771&gt;=INDEX('Программа тренировок'!$F$6:$F$25,$M1771),$G1771&gt;=INDEX('Программа тренировок'!$L$6:$L$25,$M1771)),"Верх диапазона: пора добавлять вес",IF($G1771&lt;INDEX('Программа тренировок'!$L$6:$L$25,$M1771),"RIR ниже цели","В диапазоне")))))</f>
        <v/>
      </c>
      <c r="M1771" s="23" t="str">
        <f aca="false">IF($C1771="","",IFERROR(MATCH($C1771,'Программа тренировок'!$C$6:$C$25,0),""))</f>
        <v/>
      </c>
    </row>
    <row r="1772" customFormat="false" ht="15" hidden="false" customHeight="true" outlineLevel="0" collapsed="false">
      <c r="A1772" s="20"/>
      <c r="B1772" s="21"/>
      <c r="C1772" s="19"/>
      <c r="D1772" s="18"/>
      <c r="E1772" s="17"/>
      <c r="F1772" s="18"/>
      <c r="G1772" s="18"/>
      <c r="H1772" s="21"/>
      <c r="I1772" s="19"/>
      <c r="J1772" s="8" t="str">
        <f aca="false">IF(OR(E1772="",F1772=""),"",E1772*F1772)</f>
        <v/>
      </c>
      <c r="K1772" s="22" t="str">
        <f aca="false">IF($M1772="","",INDEX('Программа тренировок'!$G$6:$G$25,$M1772))</f>
        <v/>
      </c>
      <c r="L1772" s="23" t="str">
        <f aca="false">IF(OR($M1772="",$F1772="",$G1772=""),"",IF($H1772="Разминка","Разминка",IF($F1772&lt;INDEX('Программа тренировок'!$E$6:$E$25,$M1772),"Ниже диапазона",IF(AND($F1772&gt;=INDEX('Программа тренировок'!$F$6:$F$25,$M1772),$G1772&gt;=INDEX('Программа тренировок'!$L$6:$L$25,$M1772)),"Верх диапазона: пора добавлять вес",IF($G1772&lt;INDEX('Программа тренировок'!$L$6:$L$25,$M1772),"RIR ниже цели","В диапазоне")))))</f>
        <v/>
      </c>
      <c r="M1772" s="23" t="str">
        <f aca="false">IF($C1772="","",IFERROR(MATCH($C1772,'Программа тренировок'!$C$6:$C$25,0),""))</f>
        <v/>
      </c>
    </row>
    <row r="1773" customFormat="false" ht="15" hidden="false" customHeight="true" outlineLevel="0" collapsed="false">
      <c r="A1773" s="20"/>
      <c r="B1773" s="21"/>
      <c r="C1773" s="19"/>
      <c r="D1773" s="18"/>
      <c r="E1773" s="17"/>
      <c r="F1773" s="18"/>
      <c r="G1773" s="18"/>
      <c r="H1773" s="21"/>
      <c r="I1773" s="19"/>
      <c r="J1773" s="8" t="str">
        <f aca="false">IF(OR(E1773="",F1773=""),"",E1773*F1773)</f>
        <v/>
      </c>
      <c r="K1773" s="22" t="str">
        <f aca="false">IF($M1773="","",INDEX('Программа тренировок'!$G$6:$G$25,$M1773))</f>
        <v/>
      </c>
      <c r="L1773" s="23" t="str">
        <f aca="false">IF(OR($M1773="",$F1773="",$G1773=""),"",IF($H1773="Разминка","Разминка",IF($F1773&lt;INDEX('Программа тренировок'!$E$6:$E$25,$M1773),"Ниже диапазона",IF(AND($F1773&gt;=INDEX('Программа тренировок'!$F$6:$F$25,$M1773),$G1773&gt;=INDEX('Программа тренировок'!$L$6:$L$25,$M1773)),"Верх диапазона: пора добавлять вес",IF($G1773&lt;INDEX('Программа тренировок'!$L$6:$L$25,$M1773),"RIR ниже цели","В диапазоне")))))</f>
        <v/>
      </c>
      <c r="M1773" s="23" t="str">
        <f aca="false">IF($C1773="","",IFERROR(MATCH($C1773,'Программа тренировок'!$C$6:$C$25,0),""))</f>
        <v/>
      </c>
    </row>
    <row r="1774" customFormat="false" ht="15" hidden="false" customHeight="true" outlineLevel="0" collapsed="false">
      <c r="A1774" s="20"/>
      <c r="B1774" s="21"/>
      <c r="C1774" s="19"/>
      <c r="D1774" s="18"/>
      <c r="E1774" s="17"/>
      <c r="F1774" s="18"/>
      <c r="G1774" s="18"/>
      <c r="H1774" s="21"/>
      <c r="I1774" s="19"/>
      <c r="J1774" s="8" t="str">
        <f aca="false">IF(OR(E1774="",F1774=""),"",E1774*F1774)</f>
        <v/>
      </c>
      <c r="K1774" s="22" t="str">
        <f aca="false">IF($M1774="","",INDEX('Программа тренировок'!$G$6:$G$25,$M1774))</f>
        <v/>
      </c>
      <c r="L1774" s="23" t="str">
        <f aca="false">IF(OR($M1774="",$F1774="",$G1774=""),"",IF($H1774="Разминка","Разминка",IF($F1774&lt;INDEX('Программа тренировок'!$E$6:$E$25,$M1774),"Ниже диапазона",IF(AND($F1774&gt;=INDEX('Программа тренировок'!$F$6:$F$25,$M1774),$G1774&gt;=INDEX('Программа тренировок'!$L$6:$L$25,$M1774)),"Верх диапазона: пора добавлять вес",IF($G1774&lt;INDEX('Программа тренировок'!$L$6:$L$25,$M1774),"RIR ниже цели","В диапазоне")))))</f>
        <v/>
      </c>
      <c r="M1774" s="23" t="str">
        <f aca="false">IF($C1774="","",IFERROR(MATCH($C1774,'Программа тренировок'!$C$6:$C$25,0),""))</f>
        <v/>
      </c>
    </row>
    <row r="1775" customFormat="false" ht="15" hidden="false" customHeight="true" outlineLevel="0" collapsed="false">
      <c r="A1775" s="20"/>
      <c r="B1775" s="21"/>
      <c r="C1775" s="19"/>
      <c r="D1775" s="18"/>
      <c r="E1775" s="17"/>
      <c r="F1775" s="18"/>
      <c r="G1775" s="18"/>
      <c r="H1775" s="21"/>
      <c r="I1775" s="19"/>
      <c r="J1775" s="8" t="str">
        <f aca="false">IF(OR(E1775="",F1775=""),"",E1775*F1775)</f>
        <v/>
      </c>
      <c r="K1775" s="22" t="str">
        <f aca="false">IF($M1775="","",INDEX('Программа тренировок'!$G$6:$G$25,$M1775))</f>
        <v/>
      </c>
      <c r="L1775" s="23" t="str">
        <f aca="false">IF(OR($M1775="",$F1775="",$G1775=""),"",IF($H1775="Разминка","Разминка",IF($F1775&lt;INDEX('Программа тренировок'!$E$6:$E$25,$M1775),"Ниже диапазона",IF(AND($F1775&gt;=INDEX('Программа тренировок'!$F$6:$F$25,$M1775),$G1775&gt;=INDEX('Программа тренировок'!$L$6:$L$25,$M1775)),"Верх диапазона: пора добавлять вес",IF($G1775&lt;INDEX('Программа тренировок'!$L$6:$L$25,$M1775),"RIR ниже цели","В диапазоне")))))</f>
        <v/>
      </c>
      <c r="M1775" s="23" t="str">
        <f aca="false">IF($C1775="","",IFERROR(MATCH($C1775,'Программа тренировок'!$C$6:$C$25,0),""))</f>
        <v/>
      </c>
    </row>
    <row r="1776" customFormat="false" ht="15" hidden="false" customHeight="true" outlineLevel="0" collapsed="false">
      <c r="A1776" s="20"/>
      <c r="B1776" s="21"/>
      <c r="C1776" s="19"/>
      <c r="D1776" s="18"/>
      <c r="E1776" s="17"/>
      <c r="F1776" s="18"/>
      <c r="G1776" s="18"/>
      <c r="H1776" s="21"/>
      <c r="I1776" s="19"/>
      <c r="J1776" s="8" t="str">
        <f aca="false">IF(OR(E1776="",F1776=""),"",E1776*F1776)</f>
        <v/>
      </c>
      <c r="K1776" s="22" t="str">
        <f aca="false">IF($M1776="","",INDEX('Программа тренировок'!$G$6:$G$25,$M1776))</f>
        <v/>
      </c>
      <c r="L1776" s="23" t="str">
        <f aca="false">IF(OR($M1776="",$F1776="",$G1776=""),"",IF($H1776="Разминка","Разминка",IF($F1776&lt;INDEX('Программа тренировок'!$E$6:$E$25,$M1776),"Ниже диапазона",IF(AND($F1776&gt;=INDEX('Программа тренировок'!$F$6:$F$25,$M1776),$G1776&gt;=INDEX('Программа тренировок'!$L$6:$L$25,$M1776)),"Верх диапазона: пора добавлять вес",IF($G1776&lt;INDEX('Программа тренировок'!$L$6:$L$25,$M1776),"RIR ниже цели","В диапазоне")))))</f>
        <v/>
      </c>
      <c r="M1776" s="23" t="str">
        <f aca="false">IF($C1776="","",IFERROR(MATCH($C1776,'Программа тренировок'!$C$6:$C$25,0),""))</f>
        <v/>
      </c>
    </row>
    <row r="1777" customFormat="false" ht="15" hidden="false" customHeight="true" outlineLevel="0" collapsed="false">
      <c r="A1777" s="20"/>
      <c r="B1777" s="21"/>
      <c r="C1777" s="19"/>
      <c r="D1777" s="18"/>
      <c r="E1777" s="17"/>
      <c r="F1777" s="18"/>
      <c r="G1777" s="18"/>
      <c r="H1777" s="21"/>
      <c r="I1777" s="19"/>
      <c r="J1777" s="8" t="str">
        <f aca="false">IF(OR(E1777="",F1777=""),"",E1777*F1777)</f>
        <v/>
      </c>
      <c r="K1777" s="22" t="str">
        <f aca="false">IF($M1777="","",INDEX('Программа тренировок'!$G$6:$G$25,$M1777))</f>
        <v/>
      </c>
      <c r="L1777" s="23" t="str">
        <f aca="false">IF(OR($M1777="",$F1777="",$G1777=""),"",IF($H1777="Разминка","Разминка",IF($F1777&lt;INDEX('Программа тренировок'!$E$6:$E$25,$M1777),"Ниже диапазона",IF(AND($F1777&gt;=INDEX('Программа тренировок'!$F$6:$F$25,$M1777),$G1777&gt;=INDEX('Программа тренировок'!$L$6:$L$25,$M1777)),"Верх диапазона: пора добавлять вес",IF($G1777&lt;INDEX('Программа тренировок'!$L$6:$L$25,$M1777),"RIR ниже цели","В диапазоне")))))</f>
        <v/>
      </c>
      <c r="M1777" s="23" t="str">
        <f aca="false">IF($C1777="","",IFERROR(MATCH($C1777,'Программа тренировок'!$C$6:$C$25,0),""))</f>
        <v/>
      </c>
    </row>
    <row r="1778" customFormat="false" ht="15" hidden="false" customHeight="true" outlineLevel="0" collapsed="false">
      <c r="A1778" s="20"/>
      <c r="B1778" s="21"/>
      <c r="C1778" s="19"/>
      <c r="D1778" s="18"/>
      <c r="E1778" s="17"/>
      <c r="F1778" s="18"/>
      <c r="G1778" s="18"/>
      <c r="H1778" s="21"/>
      <c r="I1778" s="19"/>
      <c r="J1778" s="8" t="str">
        <f aca="false">IF(OR(E1778="",F1778=""),"",E1778*F1778)</f>
        <v/>
      </c>
      <c r="K1778" s="22" t="str">
        <f aca="false">IF($M1778="","",INDEX('Программа тренировок'!$G$6:$G$25,$M1778))</f>
        <v/>
      </c>
      <c r="L1778" s="23" t="str">
        <f aca="false">IF(OR($M1778="",$F1778="",$G1778=""),"",IF($H1778="Разминка","Разминка",IF($F1778&lt;INDEX('Программа тренировок'!$E$6:$E$25,$M1778),"Ниже диапазона",IF(AND($F1778&gt;=INDEX('Программа тренировок'!$F$6:$F$25,$M1778),$G1778&gt;=INDEX('Программа тренировок'!$L$6:$L$25,$M1778)),"Верх диапазона: пора добавлять вес",IF($G1778&lt;INDEX('Программа тренировок'!$L$6:$L$25,$M1778),"RIR ниже цели","В диапазоне")))))</f>
        <v/>
      </c>
      <c r="M1778" s="23" t="str">
        <f aca="false">IF($C1778="","",IFERROR(MATCH($C1778,'Программа тренировок'!$C$6:$C$25,0),""))</f>
        <v/>
      </c>
    </row>
    <row r="1779" customFormat="false" ht="15" hidden="false" customHeight="true" outlineLevel="0" collapsed="false">
      <c r="A1779" s="20"/>
      <c r="B1779" s="21"/>
      <c r="C1779" s="19"/>
      <c r="D1779" s="18"/>
      <c r="E1779" s="17"/>
      <c r="F1779" s="18"/>
      <c r="G1779" s="18"/>
      <c r="H1779" s="21"/>
      <c r="I1779" s="19"/>
      <c r="J1779" s="8" t="str">
        <f aca="false">IF(OR(E1779="",F1779=""),"",E1779*F1779)</f>
        <v/>
      </c>
      <c r="K1779" s="22" t="str">
        <f aca="false">IF($M1779="","",INDEX('Программа тренировок'!$G$6:$G$25,$M1779))</f>
        <v/>
      </c>
      <c r="L1779" s="23" t="str">
        <f aca="false">IF(OR($M1779="",$F1779="",$G1779=""),"",IF($H1779="Разминка","Разминка",IF($F1779&lt;INDEX('Программа тренировок'!$E$6:$E$25,$M1779),"Ниже диапазона",IF(AND($F1779&gt;=INDEX('Программа тренировок'!$F$6:$F$25,$M1779),$G1779&gt;=INDEX('Программа тренировок'!$L$6:$L$25,$M1779)),"Верх диапазона: пора добавлять вес",IF($G1779&lt;INDEX('Программа тренировок'!$L$6:$L$25,$M1779),"RIR ниже цели","В диапазоне")))))</f>
        <v/>
      </c>
      <c r="M1779" s="23" t="str">
        <f aca="false">IF($C1779="","",IFERROR(MATCH($C1779,'Программа тренировок'!$C$6:$C$25,0),""))</f>
        <v/>
      </c>
    </row>
    <row r="1780" customFormat="false" ht="15" hidden="false" customHeight="true" outlineLevel="0" collapsed="false">
      <c r="A1780" s="20"/>
      <c r="B1780" s="21"/>
      <c r="C1780" s="19"/>
      <c r="D1780" s="18"/>
      <c r="E1780" s="17"/>
      <c r="F1780" s="18"/>
      <c r="G1780" s="18"/>
      <c r="H1780" s="21"/>
      <c r="I1780" s="19"/>
      <c r="J1780" s="8" t="str">
        <f aca="false">IF(OR(E1780="",F1780=""),"",E1780*F1780)</f>
        <v/>
      </c>
      <c r="K1780" s="22" t="str">
        <f aca="false">IF($M1780="","",INDEX('Программа тренировок'!$G$6:$G$25,$M1780))</f>
        <v/>
      </c>
      <c r="L1780" s="23" t="str">
        <f aca="false">IF(OR($M1780="",$F1780="",$G1780=""),"",IF($H1780="Разминка","Разминка",IF($F1780&lt;INDEX('Программа тренировок'!$E$6:$E$25,$M1780),"Ниже диапазона",IF(AND($F1780&gt;=INDEX('Программа тренировок'!$F$6:$F$25,$M1780),$G1780&gt;=INDEX('Программа тренировок'!$L$6:$L$25,$M1780)),"Верх диапазона: пора добавлять вес",IF($G1780&lt;INDEX('Программа тренировок'!$L$6:$L$25,$M1780),"RIR ниже цели","В диапазоне")))))</f>
        <v/>
      </c>
      <c r="M1780" s="23" t="str">
        <f aca="false">IF($C1780="","",IFERROR(MATCH($C1780,'Программа тренировок'!$C$6:$C$25,0),""))</f>
        <v/>
      </c>
    </row>
    <row r="1781" customFormat="false" ht="15" hidden="false" customHeight="true" outlineLevel="0" collapsed="false">
      <c r="A1781" s="20"/>
      <c r="B1781" s="21"/>
      <c r="C1781" s="19"/>
      <c r="D1781" s="18"/>
      <c r="E1781" s="17"/>
      <c r="F1781" s="18"/>
      <c r="G1781" s="18"/>
      <c r="H1781" s="21"/>
      <c r="I1781" s="19"/>
      <c r="J1781" s="8" t="str">
        <f aca="false">IF(OR(E1781="",F1781=""),"",E1781*F1781)</f>
        <v/>
      </c>
      <c r="K1781" s="22" t="str">
        <f aca="false">IF($M1781="","",INDEX('Программа тренировок'!$G$6:$G$25,$M1781))</f>
        <v/>
      </c>
      <c r="L1781" s="23" t="str">
        <f aca="false">IF(OR($M1781="",$F1781="",$G1781=""),"",IF($H1781="Разминка","Разминка",IF($F1781&lt;INDEX('Программа тренировок'!$E$6:$E$25,$M1781),"Ниже диапазона",IF(AND($F1781&gt;=INDEX('Программа тренировок'!$F$6:$F$25,$M1781),$G1781&gt;=INDEX('Программа тренировок'!$L$6:$L$25,$M1781)),"Верх диапазона: пора добавлять вес",IF($G1781&lt;INDEX('Программа тренировок'!$L$6:$L$25,$M1781),"RIR ниже цели","В диапазоне")))))</f>
        <v/>
      </c>
      <c r="M1781" s="23" t="str">
        <f aca="false">IF($C1781="","",IFERROR(MATCH($C1781,'Программа тренировок'!$C$6:$C$25,0),""))</f>
        <v/>
      </c>
    </row>
    <row r="1782" customFormat="false" ht="15" hidden="false" customHeight="true" outlineLevel="0" collapsed="false">
      <c r="A1782" s="20"/>
      <c r="B1782" s="21"/>
      <c r="C1782" s="19"/>
      <c r="D1782" s="18"/>
      <c r="E1782" s="17"/>
      <c r="F1782" s="18"/>
      <c r="G1782" s="18"/>
      <c r="H1782" s="21"/>
      <c r="I1782" s="19"/>
      <c r="J1782" s="8" t="str">
        <f aca="false">IF(OR(E1782="",F1782=""),"",E1782*F1782)</f>
        <v/>
      </c>
      <c r="K1782" s="22" t="str">
        <f aca="false">IF($M1782="","",INDEX('Программа тренировок'!$G$6:$G$25,$M1782))</f>
        <v/>
      </c>
      <c r="L1782" s="23" t="str">
        <f aca="false">IF(OR($M1782="",$F1782="",$G1782=""),"",IF($H1782="Разминка","Разминка",IF($F1782&lt;INDEX('Программа тренировок'!$E$6:$E$25,$M1782),"Ниже диапазона",IF(AND($F1782&gt;=INDEX('Программа тренировок'!$F$6:$F$25,$M1782),$G1782&gt;=INDEX('Программа тренировок'!$L$6:$L$25,$M1782)),"Верх диапазона: пора добавлять вес",IF($G1782&lt;INDEX('Программа тренировок'!$L$6:$L$25,$M1782),"RIR ниже цели","В диапазоне")))))</f>
        <v/>
      </c>
      <c r="M1782" s="23" t="str">
        <f aca="false">IF($C1782="","",IFERROR(MATCH($C1782,'Программа тренировок'!$C$6:$C$25,0),""))</f>
        <v/>
      </c>
    </row>
    <row r="1783" customFormat="false" ht="15" hidden="false" customHeight="true" outlineLevel="0" collapsed="false">
      <c r="A1783" s="20"/>
      <c r="B1783" s="21"/>
      <c r="C1783" s="19"/>
      <c r="D1783" s="18"/>
      <c r="E1783" s="17"/>
      <c r="F1783" s="18"/>
      <c r="G1783" s="18"/>
      <c r="H1783" s="21"/>
      <c r="I1783" s="19"/>
      <c r="J1783" s="8" t="str">
        <f aca="false">IF(OR(E1783="",F1783=""),"",E1783*F1783)</f>
        <v/>
      </c>
      <c r="K1783" s="22" t="str">
        <f aca="false">IF($M1783="","",INDEX('Программа тренировок'!$G$6:$G$25,$M1783))</f>
        <v/>
      </c>
      <c r="L1783" s="23" t="str">
        <f aca="false">IF(OR($M1783="",$F1783="",$G1783=""),"",IF($H1783="Разминка","Разминка",IF($F1783&lt;INDEX('Программа тренировок'!$E$6:$E$25,$M1783),"Ниже диапазона",IF(AND($F1783&gt;=INDEX('Программа тренировок'!$F$6:$F$25,$M1783),$G1783&gt;=INDEX('Программа тренировок'!$L$6:$L$25,$M1783)),"Верх диапазона: пора добавлять вес",IF($G1783&lt;INDEX('Программа тренировок'!$L$6:$L$25,$M1783),"RIR ниже цели","В диапазоне")))))</f>
        <v/>
      </c>
      <c r="M1783" s="23" t="str">
        <f aca="false">IF($C1783="","",IFERROR(MATCH($C1783,'Программа тренировок'!$C$6:$C$25,0),""))</f>
        <v/>
      </c>
    </row>
    <row r="1784" customFormat="false" ht="15" hidden="false" customHeight="true" outlineLevel="0" collapsed="false">
      <c r="A1784" s="20"/>
      <c r="B1784" s="21"/>
      <c r="C1784" s="19"/>
      <c r="D1784" s="18"/>
      <c r="E1784" s="17"/>
      <c r="F1784" s="18"/>
      <c r="G1784" s="18"/>
      <c r="H1784" s="21"/>
      <c r="I1784" s="19"/>
      <c r="J1784" s="8" t="str">
        <f aca="false">IF(OR(E1784="",F1784=""),"",E1784*F1784)</f>
        <v/>
      </c>
      <c r="K1784" s="22" t="str">
        <f aca="false">IF($M1784="","",INDEX('Программа тренировок'!$G$6:$G$25,$M1784))</f>
        <v/>
      </c>
      <c r="L1784" s="23" t="str">
        <f aca="false">IF(OR($M1784="",$F1784="",$G1784=""),"",IF($H1784="Разминка","Разминка",IF($F1784&lt;INDEX('Программа тренировок'!$E$6:$E$25,$M1784),"Ниже диапазона",IF(AND($F1784&gt;=INDEX('Программа тренировок'!$F$6:$F$25,$M1784),$G1784&gt;=INDEX('Программа тренировок'!$L$6:$L$25,$M1784)),"Верх диапазона: пора добавлять вес",IF($G1784&lt;INDEX('Программа тренировок'!$L$6:$L$25,$M1784),"RIR ниже цели","В диапазоне")))))</f>
        <v/>
      </c>
      <c r="M1784" s="23" t="str">
        <f aca="false">IF($C1784="","",IFERROR(MATCH($C1784,'Программа тренировок'!$C$6:$C$25,0),""))</f>
        <v/>
      </c>
    </row>
    <row r="1785" customFormat="false" ht="15" hidden="false" customHeight="true" outlineLevel="0" collapsed="false">
      <c r="A1785" s="20"/>
      <c r="B1785" s="21"/>
      <c r="C1785" s="19"/>
      <c r="D1785" s="18"/>
      <c r="E1785" s="17"/>
      <c r="F1785" s="18"/>
      <c r="G1785" s="18"/>
      <c r="H1785" s="21"/>
      <c r="I1785" s="19"/>
      <c r="J1785" s="8" t="str">
        <f aca="false">IF(OR(E1785="",F1785=""),"",E1785*F1785)</f>
        <v/>
      </c>
      <c r="K1785" s="22" t="str">
        <f aca="false">IF($M1785="","",INDEX('Программа тренировок'!$G$6:$G$25,$M1785))</f>
        <v/>
      </c>
      <c r="L1785" s="23" t="str">
        <f aca="false">IF(OR($M1785="",$F1785="",$G1785=""),"",IF($H1785="Разминка","Разминка",IF($F1785&lt;INDEX('Программа тренировок'!$E$6:$E$25,$M1785),"Ниже диапазона",IF(AND($F1785&gt;=INDEX('Программа тренировок'!$F$6:$F$25,$M1785),$G1785&gt;=INDEX('Программа тренировок'!$L$6:$L$25,$M1785)),"Верх диапазона: пора добавлять вес",IF($G1785&lt;INDEX('Программа тренировок'!$L$6:$L$25,$M1785),"RIR ниже цели","В диапазоне")))))</f>
        <v/>
      </c>
      <c r="M1785" s="23" t="str">
        <f aca="false">IF($C1785="","",IFERROR(MATCH($C1785,'Программа тренировок'!$C$6:$C$25,0),""))</f>
        <v/>
      </c>
    </row>
    <row r="1786" customFormat="false" ht="15" hidden="false" customHeight="true" outlineLevel="0" collapsed="false">
      <c r="A1786" s="20"/>
      <c r="B1786" s="21"/>
      <c r="C1786" s="19"/>
      <c r="D1786" s="18"/>
      <c r="E1786" s="17"/>
      <c r="F1786" s="18"/>
      <c r="G1786" s="18"/>
      <c r="H1786" s="21"/>
      <c r="I1786" s="19"/>
      <c r="J1786" s="8" t="str">
        <f aca="false">IF(OR(E1786="",F1786=""),"",E1786*F1786)</f>
        <v/>
      </c>
      <c r="K1786" s="22" t="str">
        <f aca="false">IF($M1786="","",INDEX('Программа тренировок'!$G$6:$G$25,$M1786))</f>
        <v/>
      </c>
      <c r="L1786" s="23" t="str">
        <f aca="false">IF(OR($M1786="",$F1786="",$G1786=""),"",IF($H1786="Разминка","Разминка",IF($F1786&lt;INDEX('Программа тренировок'!$E$6:$E$25,$M1786),"Ниже диапазона",IF(AND($F1786&gt;=INDEX('Программа тренировок'!$F$6:$F$25,$M1786),$G1786&gt;=INDEX('Программа тренировок'!$L$6:$L$25,$M1786)),"Верх диапазона: пора добавлять вес",IF($G1786&lt;INDEX('Программа тренировок'!$L$6:$L$25,$M1786),"RIR ниже цели","В диапазоне")))))</f>
        <v/>
      </c>
      <c r="M1786" s="23" t="str">
        <f aca="false">IF($C1786="","",IFERROR(MATCH($C1786,'Программа тренировок'!$C$6:$C$25,0),""))</f>
        <v/>
      </c>
    </row>
    <row r="1787" customFormat="false" ht="15" hidden="false" customHeight="true" outlineLevel="0" collapsed="false">
      <c r="A1787" s="20"/>
      <c r="B1787" s="21"/>
      <c r="C1787" s="19"/>
      <c r="D1787" s="18"/>
      <c r="E1787" s="17"/>
      <c r="F1787" s="18"/>
      <c r="G1787" s="18"/>
      <c r="H1787" s="21"/>
      <c r="I1787" s="19"/>
      <c r="J1787" s="8" t="str">
        <f aca="false">IF(OR(E1787="",F1787=""),"",E1787*F1787)</f>
        <v/>
      </c>
      <c r="K1787" s="22" t="str">
        <f aca="false">IF($M1787="","",INDEX('Программа тренировок'!$G$6:$G$25,$M1787))</f>
        <v/>
      </c>
      <c r="L1787" s="23" t="str">
        <f aca="false">IF(OR($M1787="",$F1787="",$G1787=""),"",IF($H1787="Разминка","Разминка",IF($F1787&lt;INDEX('Программа тренировок'!$E$6:$E$25,$M1787),"Ниже диапазона",IF(AND($F1787&gt;=INDEX('Программа тренировок'!$F$6:$F$25,$M1787),$G1787&gt;=INDEX('Программа тренировок'!$L$6:$L$25,$M1787)),"Верх диапазона: пора добавлять вес",IF($G1787&lt;INDEX('Программа тренировок'!$L$6:$L$25,$M1787),"RIR ниже цели","В диапазоне")))))</f>
        <v/>
      </c>
      <c r="M1787" s="23" t="str">
        <f aca="false">IF($C1787="","",IFERROR(MATCH($C1787,'Программа тренировок'!$C$6:$C$25,0),""))</f>
        <v/>
      </c>
    </row>
    <row r="1788" customFormat="false" ht="15" hidden="false" customHeight="true" outlineLevel="0" collapsed="false">
      <c r="A1788" s="20"/>
      <c r="B1788" s="21"/>
      <c r="C1788" s="19"/>
      <c r="D1788" s="18"/>
      <c r="E1788" s="17"/>
      <c r="F1788" s="18"/>
      <c r="G1788" s="18"/>
      <c r="H1788" s="21"/>
      <c r="I1788" s="19"/>
      <c r="J1788" s="8" t="str">
        <f aca="false">IF(OR(E1788="",F1788=""),"",E1788*F1788)</f>
        <v/>
      </c>
      <c r="K1788" s="22" t="str">
        <f aca="false">IF($M1788="","",INDEX('Программа тренировок'!$G$6:$G$25,$M1788))</f>
        <v/>
      </c>
      <c r="L1788" s="23" t="str">
        <f aca="false">IF(OR($M1788="",$F1788="",$G1788=""),"",IF($H1788="Разминка","Разминка",IF($F1788&lt;INDEX('Программа тренировок'!$E$6:$E$25,$M1788),"Ниже диапазона",IF(AND($F1788&gt;=INDEX('Программа тренировок'!$F$6:$F$25,$M1788),$G1788&gt;=INDEX('Программа тренировок'!$L$6:$L$25,$M1788)),"Верх диапазона: пора добавлять вес",IF($G1788&lt;INDEX('Программа тренировок'!$L$6:$L$25,$M1788),"RIR ниже цели","В диапазоне")))))</f>
        <v/>
      </c>
      <c r="M1788" s="23" t="str">
        <f aca="false">IF($C1788="","",IFERROR(MATCH($C1788,'Программа тренировок'!$C$6:$C$25,0),""))</f>
        <v/>
      </c>
    </row>
    <row r="1789" customFormat="false" ht="15" hidden="false" customHeight="true" outlineLevel="0" collapsed="false">
      <c r="A1789" s="20"/>
      <c r="B1789" s="21"/>
      <c r="C1789" s="19"/>
      <c r="D1789" s="18"/>
      <c r="E1789" s="17"/>
      <c r="F1789" s="18"/>
      <c r="G1789" s="18"/>
      <c r="H1789" s="21"/>
      <c r="I1789" s="19"/>
      <c r="J1789" s="8" t="str">
        <f aca="false">IF(OR(E1789="",F1789=""),"",E1789*F1789)</f>
        <v/>
      </c>
      <c r="K1789" s="22" t="str">
        <f aca="false">IF($M1789="","",INDEX('Программа тренировок'!$G$6:$G$25,$M1789))</f>
        <v/>
      </c>
      <c r="L1789" s="23" t="str">
        <f aca="false">IF(OR($M1789="",$F1789="",$G1789=""),"",IF($H1789="Разминка","Разминка",IF($F1789&lt;INDEX('Программа тренировок'!$E$6:$E$25,$M1789),"Ниже диапазона",IF(AND($F1789&gt;=INDEX('Программа тренировок'!$F$6:$F$25,$M1789),$G1789&gt;=INDEX('Программа тренировок'!$L$6:$L$25,$M1789)),"Верх диапазона: пора добавлять вес",IF($G1789&lt;INDEX('Программа тренировок'!$L$6:$L$25,$M1789),"RIR ниже цели","В диапазоне")))))</f>
        <v/>
      </c>
      <c r="M1789" s="23" t="str">
        <f aca="false">IF($C1789="","",IFERROR(MATCH($C1789,'Программа тренировок'!$C$6:$C$25,0),""))</f>
        <v/>
      </c>
    </row>
    <row r="1790" customFormat="false" ht="15" hidden="false" customHeight="true" outlineLevel="0" collapsed="false">
      <c r="A1790" s="20"/>
      <c r="B1790" s="21"/>
      <c r="C1790" s="19"/>
      <c r="D1790" s="18"/>
      <c r="E1790" s="17"/>
      <c r="F1790" s="18"/>
      <c r="G1790" s="18"/>
      <c r="H1790" s="21"/>
      <c r="I1790" s="19"/>
      <c r="J1790" s="8" t="str">
        <f aca="false">IF(OR(E1790="",F1790=""),"",E1790*F1790)</f>
        <v/>
      </c>
      <c r="K1790" s="22" t="str">
        <f aca="false">IF($M1790="","",INDEX('Программа тренировок'!$G$6:$G$25,$M1790))</f>
        <v/>
      </c>
      <c r="L1790" s="23" t="str">
        <f aca="false">IF(OR($M1790="",$F1790="",$G1790=""),"",IF($H1790="Разминка","Разминка",IF($F1790&lt;INDEX('Программа тренировок'!$E$6:$E$25,$M1790),"Ниже диапазона",IF(AND($F1790&gt;=INDEX('Программа тренировок'!$F$6:$F$25,$M1790),$G1790&gt;=INDEX('Программа тренировок'!$L$6:$L$25,$M1790)),"Верх диапазона: пора добавлять вес",IF($G1790&lt;INDEX('Программа тренировок'!$L$6:$L$25,$M1790),"RIR ниже цели","В диапазоне")))))</f>
        <v/>
      </c>
      <c r="M1790" s="23" t="str">
        <f aca="false">IF($C1790="","",IFERROR(MATCH($C1790,'Программа тренировок'!$C$6:$C$25,0),""))</f>
        <v/>
      </c>
    </row>
    <row r="1791" customFormat="false" ht="15" hidden="false" customHeight="true" outlineLevel="0" collapsed="false">
      <c r="A1791" s="20"/>
      <c r="B1791" s="21"/>
      <c r="C1791" s="19"/>
      <c r="D1791" s="18"/>
      <c r="E1791" s="17"/>
      <c r="F1791" s="18"/>
      <c r="G1791" s="18"/>
      <c r="H1791" s="21"/>
      <c r="I1791" s="19"/>
      <c r="J1791" s="8" t="str">
        <f aca="false">IF(OR(E1791="",F1791=""),"",E1791*F1791)</f>
        <v/>
      </c>
      <c r="K1791" s="22" t="str">
        <f aca="false">IF($M1791="","",INDEX('Программа тренировок'!$G$6:$G$25,$M1791))</f>
        <v/>
      </c>
      <c r="L1791" s="23" t="str">
        <f aca="false">IF(OR($M1791="",$F1791="",$G1791=""),"",IF($H1791="Разминка","Разминка",IF($F1791&lt;INDEX('Программа тренировок'!$E$6:$E$25,$M1791),"Ниже диапазона",IF(AND($F1791&gt;=INDEX('Программа тренировок'!$F$6:$F$25,$M1791),$G1791&gt;=INDEX('Программа тренировок'!$L$6:$L$25,$M1791)),"Верх диапазона: пора добавлять вес",IF($G1791&lt;INDEX('Программа тренировок'!$L$6:$L$25,$M1791),"RIR ниже цели","В диапазоне")))))</f>
        <v/>
      </c>
      <c r="M1791" s="23" t="str">
        <f aca="false">IF($C1791="","",IFERROR(MATCH($C1791,'Программа тренировок'!$C$6:$C$25,0),""))</f>
        <v/>
      </c>
    </row>
    <row r="1792" customFormat="false" ht="15" hidden="false" customHeight="true" outlineLevel="0" collapsed="false">
      <c r="A1792" s="20"/>
      <c r="B1792" s="21"/>
      <c r="C1792" s="19"/>
      <c r="D1792" s="18"/>
      <c r="E1792" s="17"/>
      <c r="F1792" s="18"/>
      <c r="G1792" s="18"/>
      <c r="H1792" s="21"/>
      <c r="I1792" s="19"/>
      <c r="J1792" s="8" t="str">
        <f aca="false">IF(OR(E1792="",F1792=""),"",E1792*F1792)</f>
        <v/>
      </c>
      <c r="K1792" s="22" t="str">
        <f aca="false">IF($M1792="","",INDEX('Программа тренировок'!$G$6:$G$25,$M1792))</f>
        <v/>
      </c>
      <c r="L1792" s="23" t="str">
        <f aca="false">IF(OR($M1792="",$F1792="",$G1792=""),"",IF($H1792="Разминка","Разминка",IF($F1792&lt;INDEX('Программа тренировок'!$E$6:$E$25,$M1792),"Ниже диапазона",IF(AND($F1792&gt;=INDEX('Программа тренировок'!$F$6:$F$25,$M1792),$G1792&gt;=INDEX('Программа тренировок'!$L$6:$L$25,$M1792)),"Верх диапазона: пора добавлять вес",IF($G1792&lt;INDEX('Программа тренировок'!$L$6:$L$25,$M1792),"RIR ниже цели","В диапазоне")))))</f>
        <v/>
      </c>
      <c r="M1792" s="23" t="str">
        <f aca="false">IF($C1792="","",IFERROR(MATCH($C1792,'Программа тренировок'!$C$6:$C$25,0),""))</f>
        <v/>
      </c>
    </row>
    <row r="1793" customFormat="false" ht="15" hidden="false" customHeight="true" outlineLevel="0" collapsed="false">
      <c r="A1793" s="20"/>
      <c r="B1793" s="21"/>
      <c r="C1793" s="19"/>
      <c r="D1793" s="18"/>
      <c r="E1793" s="17"/>
      <c r="F1793" s="18"/>
      <c r="G1793" s="18"/>
      <c r="H1793" s="21"/>
      <c r="I1793" s="19"/>
      <c r="J1793" s="8" t="str">
        <f aca="false">IF(OR(E1793="",F1793=""),"",E1793*F1793)</f>
        <v/>
      </c>
      <c r="K1793" s="22" t="str">
        <f aca="false">IF($M1793="","",INDEX('Программа тренировок'!$G$6:$G$25,$M1793))</f>
        <v/>
      </c>
      <c r="L1793" s="23" t="str">
        <f aca="false">IF(OR($M1793="",$F1793="",$G1793=""),"",IF($H1793="Разминка","Разминка",IF($F1793&lt;INDEX('Программа тренировок'!$E$6:$E$25,$M1793),"Ниже диапазона",IF(AND($F1793&gt;=INDEX('Программа тренировок'!$F$6:$F$25,$M1793),$G1793&gt;=INDEX('Программа тренировок'!$L$6:$L$25,$M1793)),"Верх диапазона: пора добавлять вес",IF($G1793&lt;INDEX('Программа тренировок'!$L$6:$L$25,$M1793),"RIR ниже цели","В диапазоне")))))</f>
        <v/>
      </c>
      <c r="M1793" s="23" t="str">
        <f aca="false">IF($C1793="","",IFERROR(MATCH($C1793,'Программа тренировок'!$C$6:$C$25,0),""))</f>
        <v/>
      </c>
    </row>
    <row r="1794" customFormat="false" ht="15" hidden="false" customHeight="true" outlineLevel="0" collapsed="false">
      <c r="A1794" s="20"/>
      <c r="B1794" s="21"/>
      <c r="C1794" s="19"/>
      <c r="D1794" s="18"/>
      <c r="E1794" s="17"/>
      <c r="F1794" s="18"/>
      <c r="G1794" s="18"/>
      <c r="H1794" s="21"/>
      <c r="I1794" s="19"/>
      <c r="J1794" s="8" t="str">
        <f aca="false">IF(OR(E1794="",F1794=""),"",E1794*F1794)</f>
        <v/>
      </c>
      <c r="K1794" s="22" t="str">
        <f aca="false">IF($M1794="","",INDEX('Программа тренировок'!$G$6:$G$25,$M1794))</f>
        <v/>
      </c>
      <c r="L1794" s="23" t="str">
        <f aca="false">IF(OR($M1794="",$F1794="",$G1794=""),"",IF($H1794="Разминка","Разминка",IF($F1794&lt;INDEX('Программа тренировок'!$E$6:$E$25,$M1794),"Ниже диапазона",IF(AND($F1794&gt;=INDEX('Программа тренировок'!$F$6:$F$25,$M1794),$G1794&gt;=INDEX('Программа тренировок'!$L$6:$L$25,$M1794)),"Верх диапазона: пора добавлять вес",IF($G1794&lt;INDEX('Программа тренировок'!$L$6:$L$25,$M1794),"RIR ниже цели","В диапазоне")))))</f>
        <v/>
      </c>
      <c r="M1794" s="23" t="str">
        <f aca="false">IF($C1794="","",IFERROR(MATCH($C1794,'Программа тренировок'!$C$6:$C$25,0),""))</f>
        <v/>
      </c>
    </row>
    <row r="1795" customFormat="false" ht="15" hidden="false" customHeight="true" outlineLevel="0" collapsed="false">
      <c r="A1795" s="20"/>
      <c r="B1795" s="21"/>
      <c r="C1795" s="19"/>
      <c r="D1795" s="18"/>
      <c r="E1795" s="17"/>
      <c r="F1795" s="18"/>
      <c r="G1795" s="18"/>
      <c r="H1795" s="21"/>
      <c r="I1795" s="19"/>
      <c r="J1795" s="8" t="str">
        <f aca="false">IF(OR(E1795="",F1795=""),"",E1795*F1795)</f>
        <v/>
      </c>
      <c r="K1795" s="22" t="str">
        <f aca="false">IF($M1795="","",INDEX('Программа тренировок'!$G$6:$G$25,$M1795))</f>
        <v/>
      </c>
      <c r="L1795" s="23" t="str">
        <f aca="false">IF(OR($M1795="",$F1795="",$G1795=""),"",IF($H1795="Разминка","Разминка",IF($F1795&lt;INDEX('Программа тренировок'!$E$6:$E$25,$M1795),"Ниже диапазона",IF(AND($F1795&gt;=INDEX('Программа тренировок'!$F$6:$F$25,$M1795),$G1795&gt;=INDEX('Программа тренировок'!$L$6:$L$25,$M1795)),"Верх диапазона: пора добавлять вес",IF($G1795&lt;INDEX('Программа тренировок'!$L$6:$L$25,$M1795),"RIR ниже цели","В диапазоне")))))</f>
        <v/>
      </c>
      <c r="M1795" s="23" t="str">
        <f aca="false">IF($C1795="","",IFERROR(MATCH($C1795,'Программа тренировок'!$C$6:$C$25,0),""))</f>
        <v/>
      </c>
    </row>
    <row r="1796" customFormat="false" ht="15" hidden="false" customHeight="true" outlineLevel="0" collapsed="false">
      <c r="A1796" s="20"/>
      <c r="B1796" s="21"/>
      <c r="C1796" s="19"/>
      <c r="D1796" s="18"/>
      <c r="E1796" s="17"/>
      <c r="F1796" s="18"/>
      <c r="G1796" s="18"/>
      <c r="H1796" s="21"/>
      <c r="I1796" s="19"/>
      <c r="J1796" s="8" t="str">
        <f aca="false">IF(OR(E1796="",F1796=""),"",E1796*F1796)</f>
        <v/>
      </c>
      <c r="K1796" s="22" t="str">
        <f aca="false">IF($M1796="","",INDEX('Программа тренировок'!$G$6:$G$25,$M1796))</f>
        <v/>
      </c>
      <c r="L1796" s="23" t="str">
        <f aca="false">IF(OR($M1796="",$F1796="",$G1796=""),"",IF($H1796="Разминка","Разминка",IF($F1796&lt;INDEX('Программа тренировок'!$E$6:$E$25,$M1796),"Ниже диапазона",IF(AND($F1796&gt;=INDEX('Программа тренировок'!$F$6:$F$25,$M1796),$G1796&gt;=INDEX('Программа тренировок'!$L$6:$L$25,$M1796)),"Верх диапазона: пора добавлять вес",IF($G1796&lt;INDEX('Программа тренировок'!$L$6:$L$25,$M1796),"RIR ниже цели","В диапазоне")))))</f>
        <v/>
      </c>
      <c r="M1796" s="23" t="str">
        <f aca="false">IF($C1796="","",IFERROR(MATCH($C1796,'Программа тренировок'!$C$6:$C$25,0),""))</f>
        <v/>
      </c>
    </row>
    <row r="1797" customFormat="false" ht="15" hidden="false" customHeight="true" outlineLevel="0" collapsed="false">
      <c r="A1797" s="20"/>
      <c r="B1797" s="21"/>
      <c r="C1797" s="19"/>
      <c r="D1797" s="18"/>
      <c r="E1797" s="17"/>
      <c r="F1797" s="18"/>
      <c r="G1797" s="18"/>
      <c r="H1797" s="21"/>
      <c r="I1797" s="19"/>
      <c r="J1797" s="8" t="str">
        <f aca="false">IF(OR(E1797="",F1797=""),"",E1797*F1797)</f>
        <v/>
      </c>
      <c r="K1797" s="22" t="str">
        <f aca="false">IF($M1797="","",INDEX('Программа тренировок'!$G$6:$G$25,$M1797))</f>
        <v/>
      </c>
      <c r="L1797" s="23" t="str">
        <f aca="false">IF(OR($M1797="",$F1797="",$G1797=""),"",IF($H1797="Разминка","Разминка",IF($F1797&lt;INDEX('Программа тренировок'!$E$6:$E$25,$M1797),"Ниже диапазона",IF(AND($F1797&gt;=INDEX('Программа тренировок'!$F$6:$F$25,$M1797),$G1797&gt;=INDEX('Программа тренировок'!$L$6:$L$25,$M1797)),"Верх диапазона: пора добавлять вес",IF($G1797&lt;INDEX('Программа тренировок'!$L$6:$L$25,$M1797),"RIR ниже цели","В диапазоне")))))</f>
        <v/>
      </c>
      <c r="M1797" s="23" t="str">
        <f aca="false">IF($C1797="","",IFERROR(MATCH($C1797,'Программа тренировок'!$C$6:$C$25,0),""))</f>
        <v/>
      </c>
    </row>
    <row r="1798" customFormat="false" ht="15" hidden="false" customHeight="true" outlineLevel="0" collapsed="false">
      <c r="A1798" s="20"/>
      <c r="B1798" s="21"/>
      <c r="C1798" s="19"/>
      <c r="D1798" s="18"/>
      <c r="E1798" s="17"/>
      <c r="F1798" s="18"/>
      <c r="G1798" s="18"/>
      <c r="H1798" s="21"/>
      <c r="I1798" s="19"/>
      <c r="J1798" s="8" t="str">
        <f aca="false">IF(OR(E1798="",F1798=""),"",E1798*F1798)</f>
        <v/>
      </c>
      <c r="K1798" s="22" t="str">
        <f aca="false">IF($M1798="","",INDEX('Программа тренировок'!$G$6:$G$25,$M1798))</f>
        <v/>
      </c>
      <c r="L1798" s="23" t="str">
        <f aca="false">IF(OR($M1798="",$F1798="",$G1798=""),"",IF($H1798="Разминка","Разминка",IF($F1798&lt;INDEX('Программа тренировок'!$E$6:$E$25,$M1798),"Ниже диапазона",IF(AND($F1798&gt;=INDEX('Программа тренировок'!$F$6:$F$25,$M1798),$G1798&gt;=INDEX('Программа тренировок'!$L$6:$L$25,$M1798)),"Верх диапазона: пора добавлять вес",IF($G1798&lt;INDEX('Программа тренировок'!$L$6:$L$25,$M1798),"RIR ниже цели","В диапазоне")))))</f>
        <v/>
      </c>
      <c r="M1798" s="23" t="str">
        <f aca="false">IF($C1798="","",IFERROR(MATCH($C1798,'Программа тренировок'!$C$6:$C$25,0),""))</f>
        <v/>
      </c>
    </row>
    <row r="1799" customFormat="false" ht="15" hidden="false" customHeight="true" outlineLevel="0" collapsed="false">
      <c r="A1799" s="20"/>
      <c r="B1799" s="21"/>
      <c r="C1799" s="19"/>
      <c r="D1799" s="18"/>
      <c r="E1799" s="17"/>
      <c r="F1799" s="18"/>
      <c r="G1799" s="18"/>
      <c r="H1799" s="21"/>
      <c r="I1799" s="19"/>
      <c r="J1799" s="8" t="str">
        <f aca="false">IF(OR(E1799="",F1799=""),"",E1799*F1799)</f>
        <v/>
      </c>
      <c r="K1799" s="22" t="str">
        <f aca="false">IF($M1799="","",INDEX('Программа тренировок'!$G$6:$G$25,$M1799))</f>
        <v/>
      </c>
      <c r="L1799" s="23" t="str">
        <f aca="false">IF(OR($M1799="",$F1799="",$G1799=""),"",IF($H1799="Разминка","Разминка",IF($F1799&lt;INDEX('Программа тренировок'!$E$6:$E$25,$M1799),"Ниже диапазона",IF(AND($F1799&gt;=INDEX('Программа тренировок'!$F$6:$F$25,$M1799),$G1799&gt;=INDEX('Программа тренировок'!$L$6:$L$25,$M1799)),"Верх диапазона: пора добавлять вес",IF($G1799&lt;INDEX('Программа тренировок'!$L$6:$L$25,$M1799),"RIR ниже цели","В диапазоне")))))</f>
        <v/>
      </c>
      <c r="M1799" s="23" t="str">
        <f aca="false">IF($C1799="","",IFERROR(MATCH($C1799,'Программа тренировок'!$C$6:$C$25,0),""))</f>
        <v/>
      </c>
    </row>
    <row r="1800" customFormat="false" ht="15" hidden="false" customHeight="true" outlineLevel="0" collapsed="false">
      <c r="A1800" s="20"/>
      <c r="B1800" s="21"/>
      <c r="C1800" s="19"/>
      <c r="D1800" s="18"/>
      <c r="E1800" s="17"/>
      <c r="F1800" s="18"/>
      <c r="G1800" s="18"/>
      <c r="H1800" s="21"/>
      <c r="I1800" s="19"/>
      <c r="J1800" s="8" t="str">
        <f aca="false">IF(OR(E1800="",F1800=""),"",E1800*F1800)</f>
        <v/>
      </c>
      <c r="K1800" s="22" t="str">
        <f aca="false">IF($M1800="","",INDEX('Программа тренировок'!$G$6:$G$25,$M1800))</f>
        <v/>
      </c>
      <c r="L1800" s="23" t="str">
        <f aca="false">IF(OR($M1800="",$F1800="",$G1800=""),"",IF($H1800="Разминка","Разминка",IF($F1800&lt;INDEX('Программа тренировок'!$E$6:$E$25,$M1800),"Ниже диапазона",IF(AND($F1800&gt;=INDEX('Программа тренировок'!$F$6:$F$25,$M1800),$G1800&gt;=INDEX('Программа тренировок'!$L$6:$L$25,$M1800)),"Верх диапазона: пора добавлять вес",IF($G1800&lt;INDEX('Программа тренировок'!$L$6:$L$25,$M1800),"RIR ниже цели","В диапазоне")))))</f>
        <v/>
      </c>
      <c r="M1800" s="23" t="str">
        <f aca="false">IF($C1800="","",IFERROR(MATCH($C1800,'Программа тренировок'!$C$6:$C$25,0),""))</f>
        <v/>
      </c>
    </row>
    <row r="1801" customFormat="false" ht="15" hidden="false" customHeight="true" outlineLevel="0" collapsed="false">
      <c r="A1801" s="20"/>
      <c r="B1801" s="21"/>
      <c r="C1801" s="19"/>
      <c r="D1801" s="18"/>
      <c r="E1801" s="17"/>
      <c r="F1801" s="18"/>
      <c r="G1801" s="18"/>
      <c r="H1801" s="21"/>
      <c r="I1801" s="19"/>
      <c r="J1801" s="8" t="str">
        <f aca="false">IF(OR(E1801="",F1801=""),"",E1801*F1801)</f>
        <v/>
      </c>
      <c r="K1801" s="22" t="str">
        <f aca="false">IF($M1801="","",INDEX('Программа тренировок'!$G$6:$G$25,$M1801))</f>
        <v/>
      </c>
      <c r="L1801" s="23" t="str">
        <f aca="false">IF(OR($M1801="",$F1801="",$G1801=""),"",IF($H1801="Разминка","Разминка",IF($F1801&lt;INDEX('Программа тренировок'!$E$6:$E$25,$M1801),"Ниже диапазона",IF(AND($F1801&gt;=INDEX('Программа тренировок'!$F$6:$F$25,$M1801),$G1801&gt;=INDEX('Программа тренировок'!$L$6:$L$25,$M1801)),"Верх диапазона: пора добавлять вес",IF($G1801&lt;INDEX('Программа тренировок'!$L$6:$L$25,$M1801),"RIR ниже цели","В диапазоне")))))</f>
        <v/>
      </c>
      <c r="M1801" s="23" t="str">
        <f aca="false">IF($C1801="","",IFERROR(MATCH($C1801,'Программа тренировок'!$C$6:$C$25,0),""))</f>
        <v/>
      </c>
    </row>
    <row r="1802" customFormat="false" ht="15" hidden="false" customHeight="true" outlineLevel="0" collapsed="false">
      <c r="A1802" s="20"/>
      <c r="B1802" s="21"/>
      <c r="C1802" s="19"/>
      <c r="D1802" s="18"/>
      <c r="E1802" s="17"/>
      <c r="F1802" s="18"/>
      <c r="G1802" s="18"/>
      <c r="H1802" s="21"/>
      <c r="I1802" s="19"/>
      <c r="J1802" s="8" t="str">
        <f aca="false">IF(OR(E1802="",F1802=""),"",E1802*F1802)</f>
        <v/>
      </c>
      <c r="K1802" s="22" t="str">
        <f aca="false">IF($M1802="","",INDEX('Программа тренировок'!$G$6:$G$25,$M1802))</f>
        <v/>
      </c>
      <c r="L1802" s="23" t="str">
        <f aca="false">IF(OR($M1802="",$F1802="",$G1802=""),"",IF($H1802="Разминка","Разминка",IF($F1802&lt;INDEX('Программа тренировок'!$E$6:$E$25,$M1802),"Ниже диапазона",IF(AND($F1802&gt;=INDEX('Программа тренировок'!$F$6:$F$25,$M1802),$G1802&gt;=INDEX('Программа тренировок'!$L$6:$L$25,$M1802)),"Верх диапазона: пора добавлять вес",IF($G1802&lt;INDEX('Программа тренировок'!$L$6:$L$25,$M1802),"RIR ниже цели","В диапазоне")))))</f>
        <v/>
      </c>
      <c r="M1802" s="23" t="str">
        <f aca="false">IF($C1802="","",IFERROR(MATCH($C1802,'Программа тренировок'!$C$6:$C$25,0),""))</f>
        <v/>
      </c>
    </row>
    <row r="1803" customFormat="false" ht="15" hidden="false" customHeight="true" outlineLevel="0" collapsed="false">
      <c r="A1803" s="20"/>
      <c r="B1803" s="21"/>
      <c r="C1803" s="19"/>
      <c r="D1803" s="18"/>
      <c r="E1803" s="17"/>
      <c r="F1803" s="18"/>
      <c r="G1803" s="18"/>
      <c r="H1803" s="21"/>
      <c r="I1803" s="19"/>
      <c r="J1803" s="8" t="str">
        <f aca="false">IF(OR(E1803="",F1803=""),"",E1803*F1803)</f>
        <v/>
      </c>
      <c r="K1803" s="22" t="str">
        <f aca="false">IF($M1803="","",INDEX('Программа тренировок'!$G$6:$G$25,$M1803))</f>
        <v/>
      </c>
      <c r="L1803" s="23" t="str">
        <f aca="false">IF(OR($M1803="",$F1803="",$G1803=""),"",IF($H1803="Разминка","Разминка",IF($F1803&lt;INDEX('Программа тренировок'!$E$6:$E$25,$M1803),"Ниже диапазона",IF(AND($F1803&gt;=INDEX('Программа тренировок'!$F$6:$F$25,$M1803),$G1803&gt;=INDEX('Программа тренировок'!$L$6:$L$25,$M1803)),"Верх диапазона: пора добавлять вес",IF($G1803&lt;INDEX('Программа тренировок'!$L$6:$L$25,$M1803),"RIR ниже цели","В диапазоне")))))</f>
        <v/>
      </c>
      <c r="M1803" s="23" t="str">
        <f aca="false">IF($C1803="","",IFERROR(MATCH($C1803,'Программа тренировок'!$C$6:$C$25,0),""))</f>
        <v/>
      </c>
    </row>
    <row r="1804" customFormat="false" ht="15" hidden="false" customHeight="true" outlineLevel="0" collapsed="false">
      <c r="A1804" s="20"/>
      <c r="B1804" s="21"/>
      <c r="C1804" s="19"/>
      <c r="D1804" s="18"/>
      <c r="E1804" s="17"/>
      <c r="F1804" s="18"/>
      <c r="G1804" s="18"/>
      <c r="H1804" s="21"/>
      <c r="I1804" s="19"/>
      <c r="J1804" s="8" t="str">
        <f aca="false">IF(OR(E1804="",F1804=""),"",E1804*F1804)</f>
        <v/>
      </c>
      <c r="K1804" s="22" t="str">
        <f aca="false">IF($M1804="","",INDEX('Программа тренировок'!$G$6:$G$25,$M1804))</f>
        <v/>
      </c>
      <c r="L1804" s="23" t="str">
        <f aca="false">IF(OR($M1804="",$F1804="",$G1804=""),"",IF($H1804="Разминка","Разминка",IF($F1804&lt;INDEX('Программа тренировок'!$E$6:$E$25,$M1804),"Ниже диапазона",IF(AND($F1804&gt;=INDEX('Программа тренировок'!$F$6:$F$25,$M1804),$G1804&gt;=INDEX('Программа тренировок'!$L$6:$L$25,$M1804)),"Верх диапазона: пора добавлять вес",IF($G1804&lt;INDEX('Программа тренировок'!$L$6:$L$25,$M1804),"RIR ниже цели","В диапазоне")))))</f>
        <v/>
      </c>
      <c r="M1804" s="23" t="str">
        <f aca="false">IF($C1804="","",IFERROR(MATCH($C1804,'Программа тренировок'!$C$6:$C$25,0),""))</f>
        <v/>
      </c>
    </row>
    <row r="1805" customFormat="false" ht="15" hidden="false" customHeight="true" outlineLevel="0" collapsed="false">
      <c r="A1805" s="20"/>
      <c r="B1805" s="21"/>
      <c r="C1805" s="19"/>
      <c r="D1805" s="18"/>
      <c r="E1805" s="17"/>
      <c r="F1805" s="18"/>
      <c r="G1805" s="18"/>
      <c r="H1805" s="21"/>
      <c r="I1805" s="19"/>
      <c r="J1805" s="8" t="str">
        <f aca="false">IF(OR(E1805="",F1805=""),"",E1805*F1805)</f>
        <v/>
      </c>
      <c r="K1805" s="22" t="str">
        <f aca="false">IF($M1805="","",INDEX('Программа тренировок'!$G$6:$G$25,$M1805))</f>
        <v/>
      </c>
      <c r="L1805" s="23" t="str">
        <f aca="false">IF(OR($M1805="",$F1805="",$G1805=""),"",IF($H1805="Разминка","Разминка",IF($F1805&lt;INDEX('Программа тренировок'!$E$6:$E$25,$M1805),"Ниже диапазона",IF(AND($F1805&gt;=INDEX('Программа тренировок'!$F$6:$F$25,$M1805),$G1805&gt;=INDEX('Программа тренировок'!$L$6:$L$25,$M1805)),"Верх диапазона: пора добавлять вес",IF($G1805&lt;INDEX('Программа тренировок'!$L$6:$L$25,$M1805),"RIR ниже цели","В диапазоне")))))</f>
        <v/>
      </c>
      <c r="M1805" s="23" t="str">
        <f aca="false">IF($C1805="","",IFERROR(MATCH($C1805,'Программа тренировок'!$C$6:$C$25,0),""))</f>
        <v/>
      </c>
    </row>
    <row r="1806" customFormat="false" ht="15" hidden="false" customHeight="true" outlineLevel="0" collapsed="false">
      <c r="A1806" s="20"/>
      <c r="B1806" s="21"/>
      <c r="C1806" s="19"/>
      <c r="D1806" s="18"/>
      <c r="E1806" s="17"/>
      <c r="F1806" s="18"/>
      <c r="G1806" s="18"/>
      <c r="H1806" s="21"/>
      <c r="I1806" s="19"/>
      <c r="J1806" s="8" t="str">
        <f aca="false">IF(OR(E1806="",F1806=""),"",E1806*F1806)</f>
        <v/>
      </c>
      <c r="K1806" s="22" t="str">
        <f aca="false">IF($M1806="","",INDEX('Программа тренировок'!$G$6:$G$25,$M1806))</f>
        <v/>
      </c>
      <c r="L1806" s="23" t="str">
        <f aca="false">IF(OR($M1806="",$F1806="",$G1806=""),"",IF($H1806="Разминка","Разминка",IF($F1806&lt;INDEX('Программа тренировок'!$E$6:$E$25,$M1806),"Ниже диапазона",IF(AND($F1806&gt;=INDEX('Программа тренировок'!$F$6:$F$25,$M1806),$G1806&gt;=INDEX('Программа тренировок'!$L$6:$L$25,$M1806)),"Верх диапазона: пора добавлять вес",IF($G1806&lt;INDEX('Программа тренировок'!$L$6:$L$25,$M1806),"RIR ниже цели","В диапазоне")))))</f>
        <v/>
      </c>
      <c r="M1806" s="23" t="str">
        <f aca="false">IF($C1806="","",IFERROR(MATCH($C1806,'Программа тренировок'!$C$6:$C$25,0),""))</f>
        <v/>
      </c>
    </row>
    <row r="1807" customFormat="false" ht="15" hidden="false" customHeight="true" outlineLevel="0" collapsed="false">
      <c r="A1807" s="20"/>
      <c r="B1807" s="21"/>
      <c r="C1807" s="19"/>
      <c r="D1807" s="18"/>
      <c r="E1807" s="17"/>
      <c r="F1807" s="18"/>
      <c r="G1807" s="18"/>
      <c r="H1807" s="21"/>
      <c r="I1807" s="19"/>
      <c r="J1807" s="8" t="str">
        <f aca="false">IF(OR(E1807="",F1807=""),"",E1807*F1807)</f>
        <v/>
      </c>
      <c r="K1807" s="22" t="str">
        <f aca="false">IF($M1807="","",INDEX('Программа тренировок'!$G$6:$G$25,$M1807))</f>
        <v/>
      </c>
      <c r="L1807" s="23" t="str">
        <f aca="false">IF(OR($M1807="",$F1807="",$G1807=""),"",IF($H1807="Разминка","Разминка",IF($F1807&lt;INDEX('Программа тренировок'!$E$6:$E$25,$M1807),"Ниже диапазона",IF(AND($F1807&gt;=INDEX('Программа тренировок'!$F$6:$F$25,$M1807),$G1807&gt;=INDEX('Программа тренировок'!$L$6:$L$25,$M1807)),"Верх диапазона: пора добавлять вес",IF($G1807&lt;INDEX('Программа тренировок'!$L$6:$L$25,$M1807),"RIR ниже цели","В диапазоне")))))</f>
        <v/>
      </c>
      <c r="M1807" s="23" t="str">
        <f aca="false">IF($C1807="","",IFERROR(MATCH($C1807,'Программа тренировок'!$C$6:$C$25,0),""))</f>
        <v/>
      </c>
    </row>
    <row r="1808" customFormat="false" ht="15" hidden="false" customHeight="true" outlineLevel="0" collapsed="false">
      <c r="A1808" s="20"/>
      <c r="B1808" s="21"/>
      <c r="C1808" s="19"/>
      <c r="D1808" s="18"/>
      <c r="E1808" s="17"/>
      <c r="F1808" s="18"/>
      <c r="G1808" s="18"/>
      <c r="H1808" s="21"/>
      <c r="I1808" s="19"/>
      <c r="J1808" s="8" t="str">
        <f aca="false">IF(OR(E1808="",F1808=""),"",E1808*F1808)</f>
        <v/>
      </c>
      <c r="K1808" s="22" t="str">
        <f aca="false">IF($M1808="","",INDEX('Программа тренировок'!$G$6:$G$25,$M1808))</f>
        <v/>
      </c>
      <c r="L1808" s="23" t="str">
        <f aca="false">IF(OR($M1808="",$F1808="",$G1808=""),"",IF($H1808="Разминка","Разминка",IF($F1808&lt;INDEX('Программа тренировок'!$E$6:$E$25,$M1808),"Ниже диапазона",IF(AND($F1808&gt;=INDEX('Программа тренировок'!$F$6:$F$25,$M1808),$G1808&gt;=INDEX('Программа тренировок'!$L$6:$L$25,$M1808)),"Верх диапазона: пора добавлять вес",IF($G1808&lt;INDEX('Программа тренировок'!$L$6:$L$25,$M1808),"RIR ниже цели","В диапазоне")))))</f>
        <v/>
      </c>
      <c r="M1808" s="23" t="str">
        <f aca="false">IF($C1808="","",IFERROR(MATCH($C1808,'Программа тренировок'!$C$6:$C$25,0),""))</f>
        <v/>
      </c>
    </row>
    <row r="1809" customFormat="false" ht="15" hidden="false" customHeight="true" outlineLevel="0" collapsed="false">
      <c r="A1809" s="20"/>
      <c r="B1809" s="21"/>
      <c r="C1809" s="19"/>
      <c r="D1809" s="18"/>
      <c r="E1809" s="17"/>
      <c r="F1809" s="18"/>
      <c r="G1809" s="18"/>
      <c r="H1809" s="21"/>
      <c r="I1809" s="19"/>
      <c r="J1809" s="8" t="str">
        <f aca="false">IF(OR(E1809="",F1809=""),"",E1809*F1809)</f>
        <v/>
      </c>
      <c r="K1809" s="22" t="str">
        <f aca="false">IF($M1809="","",INDEX('Программа тренировок'!$G$6:$G$25,$M1809))</f>
        <v/>
      </c>
      <c r="L1809" s="23" t="str">
        <f aca="false">IF(OR($M1809="",$F1809="",$G1809=""),"",IF($H1809="Разминка","Разминка",IF($F1809&lt;INDEX('Программа тренировок'!$E$6:$E$25,$M1809),"Ниже диапазона",IF(AND($F1809&gt;=INDEX('Программа тренировок'!$F$6:$F$25,$M1809),$G1809&gt;=INDEX('Программа тренировок'!$L$6:$L$25,$M1809)),"Верх диапазона: пора добавлять вес",IF($G1809&lt;INDEX('Программа тренировок'!$L$6:$L$25,$M1809),"RIR ниже цели","В диапазоне")))))</f>
        <v/>
      </c>
      <c r="M1809" s="23" t="str">
        <f aca="false">IF($C1809="","",IFERROR(MATCH($C1809,'Программа тренировок'!$C$6:$C$25,0),""))</f>
        <v/>
      </c>
    </row>
    <row r="1810" customFormat="false" ht="15" hidden="false" customHeight="true" outlineLevel="0" collapsed="false">
      <c r="A1810" s="20"/>
      <c r="B1810" s="21"/>
      <c r="C1810" s="19"/>
      <c r="D1810" s="18"/>
      <c r="E1810" s="17"/>
      <c r="F1810" s="18"/>
      <c r="G1810" s="18"/>
      <c r="H1810" s="21"/>
      <c r="I1810" s="19"/>
      <c r="J1810" s="8" t="str">
        <f aca="false">IF(OR(E1810="",F1810=""),"",E1810*F1810)</f>
        <v/>
      </c>
      <c r="K1810" s="22" t="str">
        <f aca="false">IF($M1810="","",INDEX('Программа тренировок'!$G$6:$G$25,$M1810))</f>
        <v/>
      </c>
      <c r="L1810" s="23" t="str">
        <f aca="false">IF(OR($M1810="",$F1810="",$G1810=""),"",IF($H1810="Разминка","Разминка",IF($F1810&lt;INDEX('Программа тренировок'!$E$6:$E$25,$M1810),"Ниже диапазона",IF(AND($F1810&gt;=INDEX('Программа тренировок'!$F$6:$F$25,$M1810),$G1810&gt;=INDEX('Программа тренировок'!$L$6:$L$25,$M1810)),"Верх диапазона: пора добавлять вес",IF($G1810&lt;INDEX('Программа тренировок'!$L$6:$L$25,$M1810),"RIR ниже цели","В диапазоне")))))</f>
        <v/>
      </c>
      <c r="M1810" s="23" t="str">
        <f aca="false">IF($C1810="","",IFERROR(MATCH($C1810,'Программа тренировок'!$C$6:$C$25,0),""))</f>
        <v/>
      </c>
    </row>
    <row r="1811" customFormat="false" ht="15" hidden="false" customHeight="true" outlineLevel="0" collapsed="false">
      <c r="A1811" s="20"/>
      <c r="B1811" s="21"/>
      <c r="C1811" s="19"/>
      <c r="D1811" s="18"/>
      <c r="E1811" s="17"/>
      <c r="F1811" s="18"/>
      <c r="G1811" s="18"/>
      <c r="H1811" s="21"/>
      <c r="I1811" s="19"/>
      <c r="J1811" s="8" t="str">
        <f aca="false">IF(OR(E1811="",F1811=""),"",E1811*F1811)</f>
        <v/>
      </c>
      <c r="K1811" s="22" t="str">
        <f aca="false">IF($M1811="","",INDEX('Программа тренировок'!$G$6:$G$25,$M1811))</f>
        <v/>
      </c>
      <c r="L1811" s="23" t="str">
        <f aca="false">IF(OR($M1811="",$F1811="",$G1811=""),"",IF($H1811="Разминка","Разминка",IF($F1811&lt;INDEX('Программа тренировок'!$E$6:$E$25,$M1811),"Ниже диапазона",IF(AND($F1811&gt;=INDEX('Программа тренировок'!$F$6:$F$25,$M1811),$G1811&gt;=INDEX('Программа тренировок'!$L$6:$L$25,$M1811)),"Верх диапазона: пора добавлять вес",IF($G1811&lt;INDEX('Программа тренировок'!$L$6:$L$25,$M1811),"RIR ниже цели","В диапазоне")))))</f>
        <v/>
      </c>
      <c r="M1811" s="23" t="str">
        <f aca="false">IF($C1811="","",IFERROR(MATCH($C1811,'Программа тренировок'!$C$6:$C$25,0),""))</f>
        <v/>
      </c>
    </row>
    <row r="1812" customFormat="false" ht="15" hidden="false" customHeight="true" outlineLevel="0" collapsed="false">
      <c r="A1812" s="20"/>
      <c r="B1812" s="21"/>
      <c r="C1812" s="19"/>
      <c r="D1812" s="18"/>
      <c r="E1812" s="17"/>
      <c r="F1812" s="18"/>
      <c r="G1812" s="18"/>
      <c r="H1812" s="21"/>
      <c r="I1812" s="19"/>
      <c r="J1812" s="8" t="str">
        <f aca="false">IF(OR(E1812="",F1812=""),"",E1812*F1812)</f>
        <v/>
      </c>
      <c r="K1812" s="22" t="str">
        <f aca="false">IF($M1812="","",INDEX('Программа тренировок'!$G$6:$G$25,$M1812))</f>
        <v/>
      </c>
      <c r="L1812" s="23" t="str">
        <f aca="false">IF(OR($M1812="",$F1812="",$G1812=""),"",IF($H1812="Разминка","Разминка",IF($F1812&lt;INDEX('Программа тренировок'!$E$6:$E$25,$M1812),"Ниже диапазона",IF(AND($F1812&gt;=INDEX('Программа тренировок'!$F$6:$F$25,$M1812),$G1812&gt;=INDEX('Программа тренировок'!$L$6:$L$25,$M1812)),"Верх диапазона: пора добавлять вес",IF($G1812&lt;INDEX('Программа тренировок'!$L$6:$L$25,$M1812),"RIR ниже цели","В диапазоне")))))</f>
        <v/>
      </c>
      <c r="M1812" s="23" t="str">
        <f aca="false">IF($C1812="","",IFERROR(MATCH($C1812,'Программа тренировок'!$C$6:$C$25,0),""))</f>
        <v/>
      </c>
    </row>
    <row r="1813" customFormat="false" ht="15" hidden="false" customHeight="true" outlineLevel="0" collapsed="false">
      <c r="A1813" s="20"/>
      <c r="B1813" s="21"/>
      <c r="C1813" s="19"/>
      <c r="D1813" s="18"/>
      <c r="E1813" s="17"/>
      <c r="F1813" s="18"/>
      <c r="G1813" s="18"/>
      <c r="H1813" s="21"/>
      <c r="I1813" s="19"/>
      <c r="J1813" s="8" t="str">
        <f aca="false">IF(OR(E1813="",F1813=""),"",E1813*F1813)</f>
        <v/>
      </c>
      <c r="K1813" s="22" t="str">
        <f aca="false">IF($M1813="","",INDEX('Программа тренировок'!$G$6:$G$25,$M1813))</f>
        <v/>
      </c>
      <c r="L1813" s="23" t="str">
        <f aca="false">IF(OR($M1813="",$F1813="",$G1813=""),"",IF($H1813="Разминка","Разминка",IF($F1813&lt;INDEX('Программа тренировок'!$E$6:$E$25,$M1813),"Ниже диапазона",IF(AND($F1813&gt;=INDEX('Программа тренировок'!$F$6:$F$25,$M1813),$G1813&gt;=INDEX('Программа тренировок'!$L$6:$L$25,$M1813)),"Верх диапазона: пора добавлять вес",IF($G1813&lt;INDEX('Программа тренировок'!$L$6:$L$25,$M1813),"RIR ниже цели","В диапазоне")))))</f>
        <v/>
      </c>
      <c r="M1813" s="23" t="str">
        <f aca="false">IF($C1813="","",IFERROR(MATCH($C1813,'Программа тренировок'!$C$6:$C$25,0),""))</f>
        <v/>
      </c>
    </row>
    <row r="1814" customFormat="false" ht="15" hidden="false" customHeight="true" outlineLevel="0" collapsed="false">
      <c r="A1814" s="20"/>
      <c r="B1814" s="21"/>
      <c r="C1814" s="19"/>
      <c r="D1814" s="18"/>
      <c r="E1814" s="17"/>
      <c r="F1814" s="18"/>
      <c r="G1814" s="18"/>
      <c r="H1814" s="21"/>
      <c r="I1814" s="19"/>
      <c r="J1814" s="8" t="str">
        <f aca="false">IF(OR(E1814="",F1814=""),"",E1814*F1814)</f>
        <v/>
      </c>
      <c r="K1814" s="22" t="str">
        <f aca="false">IF($M1814="","",INDEX('Программа тренировок'!$G$6:$G$25,$M1814))</f>
        <v/>
      </c>
      <c r="L1814" s="23" t="str">
        <f aca="false">IF(OR($M1814="",$F1814="",$G1814=""),"",IF($H1814="Разминка","Разминка",IF($F1814&lt;INDEX('Программа тренировок'!$E$6:$E$25,$M1814),"Ниже диапазона",IF(AND($F1814&gt;=INDEX('Программа тренировок'!$F$6:$F$25,$M1814),$G1814&gt;=INDEX('Программа тренировок'!$L$6:$L$25,$M1814)),"Верх диапазона: пора добавлять вес",IF($G1814&lt;INDEX('Программа тренировок'!$L$6:$L$25,$M1814),"RIR ниже цели","В диапазоне")))))</f>
        <v/>
      </c>
      <c r="M1814" s="23" t="str">
        <f aca="false">IF($C1814="","",IFERROR(MATCH($C1814,'Программа тренировок'!$C$6:$C$25,0),""))</f>
        <v/>
      </c>
    </row>
    <row r="1815" customFormat="false" ht="15" hidden="false" customHeight="true" outlineLevel="0" collapsed="false">
      <c r="A1815" s="20"/>
      <c r="B1815" s="21"/>
      <c r="C1815" s="19"/>
      <c r="D1815" s="18"/>
      <c r="E1815" s="17"/>
      <c r="F1815" s="18"/>
      <c r="G1815" s="18"/>
      <c r="H1815" s="21"/>
      <c r="I1815" s="19"/>
      <c r="J1815" s="8" t="str">
        <f aca="false">IF(OR(E1815="",F1815=""),"",E1815*F1815)</f>
        <v/>
      </c>
      <c r="K1815" s="22" t="str">
        <f aca="false">IF($M1815="","",INDEX('Программа тренировок'!$G$6:$G$25,$M1815))</f>
        <v/>
      </c>
      <c r="L1815" s="23" t="str">
        <f aca="false">IF(OR($M1815="",$F1815="",$G1815=""),"",IF($H1815="Разминка","Разминка",IF($F1815&lt;INDEX('Программа тренировок'!$E$6:$E$25,$M1815),"Ниже диапазона",IF(AND($F1815&gt;=INDEX('Программа тренировок'!$F$6:$F$25,$M1815),$G1815&gt;=INDEX('Программа тренировок'!$L$6:$L$25,$M1815)),"Верх диапазона: пора добавлять вес",IF($G1815&lt;INDEX('Программа тренировок'!$L$6:$L$25,$M1815),"RIR ниже цели","В диапазоне")))))</f>
        <v/>
      </c>
      <c r="M1815" s="23" t="str">
        <f aca="false">IF($C1815="","",IFERROR(MATCH($C1815,'Программа тренировок'!$C$6:$C$25,0),""))</f>
        <v/>
      </c>
    </row>
    <row r="1816" customFormat="false" ht="15" hidden="false" customHeight="true" outlineLevel="0" collapsed="false">
      <c r="A1816" s="20"/>
      <c r="B1816" s="21"/>
      <c r="C1816" s="19"/>
      <c r="D1816" s="18"/>
      <c r="E1816" s="17"/>
      <c r="F1816" s="18"/>
      <c r="G1816" s="18"/>
      <c r="H1816" s="21"/>
      <c r="I1816" s="19"/>
      <c r="J1816" s="8" t="str">
        <f aca="false">IF(OR(E1816="",F1816=""),"",E1816*F1816)</f>
        <v/>
      </c>
      <c r="K1816" s="22" t="str">
        <f aca="false">IF($M1816="","",INDEX('Программа тренировок'!$G$6:$G$25,$M1816))</f>
        <v/>
      </c>
      <c r="L1816" s="23" t="str">
        <f aca="false">IF(OR($M1816="",$F1816="",$G1816=""),"",IF($H1816="Разминка","Разминка",IF($F1816&lt;INDEX('Программа тренировок'!$E$6:$E$25,$M1816),"Ниже диапазона",IF(AND($F1816&gt;=INDEX('Программа тренировок'!$F$6:$F$25,$M1816),$G1816&gt;=INDEX('Программа тренировок'!$L$6:$L$25,$M1816)),"Верх диапазона: пора добавлять вес",IF($G1816&lt;INDEX('Программа тренировок'!$L$6:$L$25,$M1816),"RIR ниже цели","В диапазоне")))))</f>
        <v/>
      </c>
      <c r="M1816" s="23" t="str">
        <f aca="false">IF($C1816="","",IFERROR(MATCH($C1816,'Программа тренировок'!$C$6:$C$25,0),""))</f>
        <v/>
      </c>
    </row>
    <row r="1817" customFormat="false" ht="15" hidden="false" customHeight="true" outlineLevel="0" collapsed="false">
      <c r="A1817" s="20"/>
      <c r="B1817" s="21"/>
      <c r="C1817" s="19"/>
      <c r="D1817" s="18"/>
      <c r="E1817" s="17"/>
      <c r="F1817" s="18"/>
      <c r="G1817" s="18"/>
      <c r="H1817" s="21"/>
      <c r="I1817" s="19"/>
      <c r="J1817" s="8" t="str">
        <f aca="false">IF(OR(E1817="",F1817=""),"",E1817*F1817)</f>
        <v/>
      </c>
      <c r="K1817" s="22" t="str">
        <f aca="false">IF($M1817="","",INDEX('Программа тренировок'!$G$6:$G$25,$M1817))</f>
        <v/>
      </c>
      <c r="L1817" s="23" t="str">
        <f aca="false">IF(OR($M1817="",$F1817="",$G1817=""),"",IF($H1817="Разминка","Разминка",IF($F1817&lt;INDEX('Программа тренировок'!$E$6:$E$25,$M1817),"Ниже диапазона",IF(AND($F1817&gt;=INDEX('Программа тренировок'!$F$6:$F$25,$M1817),$G1817&gt;=INDEX('Программа тренировок'!$L$6:$L$25,$M1817)),"Верх диапазона: пора добавлять вес",IF($G1817&lt;INDEX('Программа тренировок'!$L$6:$L$25,$M1817),"RIR ниже цели","В диапазоне")))))</f>
        <v/>
      </c>
      <c r="M1817" s="23" t="str">
        <f aca="false">IF($C1817="","",IFERROR(MATCH($C1817,'Программа тренировок'!$C$6:$C$25,0),""))</f>
        <v/>
      </c>
    </row>
    <row r="1818" customFormat="false" ht="15" hidden="false" customHeight="true" outlineLevel="0" collapsed="false">
      <c r="A1818" s="20"/>
      <c r="B1818" s="21"/>
      <c r="C1818" s="19"/>
      <c r="D1818" s="18"/>
      <c r="E1818" s="17"/>
      <c r="F1818" s="18"/>
      <c r="G1818" s="18"/>
      <c r="H1818" s="21"/>
      <c r="I1818" s="19"/>
      <c r="J1818" s="8" t="str">
        <f aca="false">IF(OR(E1818="",F1818=""),"",E1818*F1818)</f>
        <v/>
      </c>
      <c r="K1818" s="22" t="str">
        <f aca="false">IF($M1818="","",INDEX('Программа тренировок'!$G$6:$G$25,$M1818))</f>
        <v/>
      </c>
      <c r="L1818" s="23" t="str">
        <f aca="false">IF(OR($M1818="",$F1818="",$G1818=""),"",IF($H1818="Разминка","Разминка",IF($F1818&lt;INDEX('Программа тренировок'!$E$6:$E$25,$M1818),"Ниже диапазона",IF(AND($F1818&gt;=INDEX('Программа тренировок'!$F$6:$F$25,$M1818),$G1818&gt;=INDEX('Программа тренировок'!$L$6:$L$25,$M1818)),"Верх диапазона: пора добавлять вес",IF($G1818&lt;INDEX('Программа тренировок'!$L$6:$L$25,$M1818),"RIR ниже цели","В диапазоне")))))</f>
        <v/>
      </c>
      <c r="M1818" s="23" t="str">
        <f aca="false">IF($C1818="","",IFERROR(MATCH($C1818,'Программа тренировок'!$C$6:$C$25,0),""))</f>
        <v/>
      </c>
    </row>
    <row r="1819" customFormat="false" ht="15" hidden="false" customHeight="true" outlineLevel="0" collapsed="false">
      <c r="A1819" s="20"/>
      <c r="B1819" s="21"/>
      <c r="C1819" s="19"/>
      <c r="D1819" s="18"/>
      <c r="E1819" s="17"/>
      <c r="F1819" s="18"/>
      <c r="G1819" s="18"/>
      <c r="H1819" s="21"/>
      <c r="I1819" s="19"/>
      <c r="J1819" s="8" t="str">
        <f aca="false">IF(OR(E1819="",F1819=""),"",E1819*F1819)</f>
        <v/>
      </c>
      <c r="K1819" s="22" t="str">
        <f aca="false">IF($M1819="","",INDEX('Программа тренировок'!$G$6:$G$25,$M1819))</f>
        <v/>
      </c>
      <c r="L1819" s="23" t="str">
        <f aca="false">IF(OR($M1819="",$F1819="",$G1819=""),"",IF($H1819="Разминка","Разминка",IF($F1819&lt;INDEX('Программа тренировок'!$E$6:$E$25,$M1819),"Ниже диапазона",IF(AND($F1819&gt;=INDEX('Программа тренировок'!$F$6:$F$25,$M1819),$G1819&gt;=INDEX('Программа тренировок'!$L$6:$L$25,$M1819)),"Верх диапазона: пора добавлять вес",IF($G1819&lt;INDEX('Программа тренировок'!$L$6:$L$25,$M1819),"RIR ниже цели","В диапазоне")))))</f>
        <v/>
      </c>
      <c r="M1819" s="23" t="str">
        <f aca="false">IF($C1819="","",IFERROR(MATCH($C1819,'Программа тренировок'!$C$6:$C$25,0),""))</f>
        <v/>
      </c>
    </row>
    <row r="1820" customFormat="false" ht="15" hidden="false" customHeight="true" outlineLevel="0" collapsed="false">
      <c r="A1820" s="20"/>
      <c r="B1820" s="21"/>
      <c r="C1820" s="19"/>
      <c r="D1820" s="18"/>
      <c r="E1820" s="17"/>
      <c r="F1820" s="18"/>
      <c r="G1820" s="18"/>
      <c r="H1820" s="21"/>
      <c r="I1820" s="19"/>
      <c r="J1820" s="8" t="str">
        <f aca="false">IF(OR(E1820="",F1820=""),"",E1820*F1820)</f>
        <v/>
      </c>
      <c r="K1820" s="22" t="str">
        <f aca="false">IF($M1820="","",INDEX('Программа тренировок'!$G$6:$G$25,$M1820))</f>
        <v/>
      </c>
      <c r="L1820" s="23" t="str">
        <f aca="false">IF(OR($M1820="",$F1820="",$G1820=""),"",IF($H1820="Разминка","Разминка",IF($F1820&lt;INDEX('Программа тренировок'!$E$6:$E$25,$M1820),"Ниже диапазона",IF(AND($F1820&gt;=INDEX('Программа тренировок'!$F$6:$F$25,$M1820),$G1820&gt;=INDEX('Программа тренировок'!$L$6:$L$25,$M1820)),"Верх диапазона: пора добавлять вес",IF($G1820&lt;INDEX('Программа тренировок'!$L$6:$L$25,$M1820),"RIR ниже цели","В диапазоне")))))</f>
        <v/>
      </c>
      <c r="M1820" s="23" t="str">
        <f aca="false">IF($C1820="","",IFERROR(MATCH($C1820,'Программа тренировок'!$C$6:$C$25,0),""))</f>
        <v/>
      </c>
    </row>
    <row r="1821" customFormat="false" ht="15" hidden="false" customHeight="true" outlineLevel="0" collapsed="false">
      <c r="A1821" s="20"/>
      <c r="B1821" s="21"/>
      <c r="C1821" s="19"/>
      <c r="D1821" s="18"/>
      <c r="E1821" s="17"/>
      <c r="F1821" s="18"/>
      <c r="G1821" s="18"/>
      <c r="H1821" s="21"/>
      <c r="I1821" s="19"/>
      <c r="J1821" s="8" t="str">
        <f aca="false">IF(OR(E1821="",F1821=""),"",E1821*F1821)</f>
        <v/>
      </c>
      <c r="K1821" s="22" t="str">
        <f aca="false">IF($M1821="","",INDEX('Программа тренировок'!$G$6:$G$25,$M1821))</f>
        <v/>
      </c>
      <c r="L1821" s="23" t="str">
        <f aca="false">IF(OR($M1821="",$F1821="",$G1821=""),"",IF($H1821="Разминка","Разминка",IF($F1821&lt;INDEX('Программа тренировок'!$E$6:$E$25,$M1821),"Ниже диапазона",IF(AND($F1821&gt;=INDEX('Программа тренировок'!$F$6:$F$25,$M1821),$G1821&gt;=INDEX('Программа тренировок'!$L$6:$L$25,$M1821)),"Верх диапазона: пора добавлять вес",IF($G1821&lt;INDEX('Программа тренировок'!$L$6:$L$25,$M1821),"RIR ниже цели","В диапазоне")))))</f>
        <v/>
      </c>
      <c r="M1821" s="23" t="str">
        <f aca="false">IF($C1821="","",IFERROR(MATCH($C1821,'Программа тренировок'!$C$6:$C$25,0),""))</f>
        <v/>
      </c>
    </row>
    <row r="1822" customFormat="false" ht="15" hidden="false" customHeight="true" outlineLevel="0" collapsed="false">
      <c r="A1822" s="20"/>
      <c r="B1822" s="21"/>
      <c r="C1822" s="19"/>
      <c r="D1822" s="18"/>
      <c r="E1822" s="17"/>
      <c r="F1822" s="18"/>
      <c r="G1822" s="18"/>
      <c r="H1822" s="21"/>
      <c r="I1822" s="19"/>
      <c r="J1822" s="8" t="str">
        <f aca="false">IF(OR(E1822="",F1822=""),"",E1822*F1822)</f>
        <v/>
      </c>
      <c r="K1822" s="22" t="str">
        <f aca="false">IF($M1822="","",INDEX('Программа тренировок'!$G$6:$G$25,$M1822))</f>
        <v/>
      </c>
      <c r="L1822" s="23" t="str">
        <f aca="false">IF(OR($M1822="",$F1822="",$G1822=""),"",IF($H1822="Разминка","Разминка",IF($F1822&lt;INDEX('Программа тренировок'!$E$6:$E$25,$M1822),"Ниже диапазона",IF(AND($F1822&gt;=INDEX('Программа тренировок'!$F$6:$F$25,$M1822),$G1822&gt;=INDEX('Программа тренировок'!$L$6:$L$25,$M1822)),"Верх диапазона: пора добавлять вес",IF($G1822&lt;INDEX('Программа тренировок'!$L$6:$L$25,$M1822),"RIR ниже цели","В диапазоне")))))</f>
        <v/>
      </c>
      <c r="M1822" s="23" t="str">
        <f aca="false">IF($C1822="","",IFERROR(MATCH($C1822,'Программа тренировок'!$C$6:$C$25,0),""))</f>
        <v/>
      </c>
    </row>
    <row r="1823" customFormat="false" ht="15" hidden="false" customHeight="true" outlineLevel="0" collapsed="false">
      <c r="A1823" s="20"/>
      <c r="B1823" s="21"/>
      <c r="C1823" s="19"/>
      <c r="D1823" s="18"/>
      <c r="E1823" s="17"/>
      <c r="F1823" s="18"/>
      <c r="G1823" s="18"/>
      <c r="H1823" s="21"/>
      <c r="I1823" s="19"/>
      <c r="J1823" s="8" t="str">
        <f aca="false">IF(OR(E1823="",F1823=""),"",E1823*F1823)</f>
        <v/>
      </c>
      <c r="K1823" s="22" t="str">
        <f aca="false">IF($M1823="","",INDEX('Программа тренировок'!$G$6:$G$25,$M1823))</f>
        <v/>
      </c>
      <c r="L1823" s="23" t="str">
        <f aca="false">IF(OR($M1823="",$F1823="",$G1823=""),"",IF($H1823="Разминка","Разминка",IF($F1823&lt;INDEX('Программа тренировок'!$E$6:$E$25,$M1823),"Ниже диапазона",IF(AND($F1823&gt;=INDEX('Программа тренировок'!$F$6:$F$25,$M1823),$G1823&gt;=INDEX('Программа тренировок'!$L$6:$L$25,$M1823)),"Верх диапазона: пора добавлять вес",IF($G1823&lt;INDEX('Программа тренировок'!$L$6:$L$25,$M1823),"RIR ниже цели","В диапазоне")))))</f>
        <v/>
      </c>
      <c r="M1823" s="23" t="str">
        <f aca="false">IF($C1823="","",IFERROR(MATCH($C1823,'Программа тренировок'!$C$6:$C$25,0),""))</f>
        <v/>
      </c>
    </row>
    <row r="1824" customFormat="false" ht="15" hidden="false" customHeight="true" outlineLevel="0" collapsed="false">
      <c r="A1824" s="20"/>
      <c r="B1824" s="21"/>
      <c r="C1824" s="19"/>
      <c r="D1824" s="18"/>
      <c r="E1824" s="17"/>
      <c r="F1824" s="18"/>
      <c r="G1824" s="18"/>
      <c r="H1824" s="21"/>
      <c r="I1824" s="19"/>
      <c r="J1824" s="8" t="str">
        <f aca="false">IF(OR(E1824="",F1824=""),"",E1824*F1824)</f>
        <v/>
      </c>
      <c r="K1824" s="22" t="str">
        <f aca="false">IF($M1824="","",INDEX('Программа тренировок'!$G$6:$G$25,$M1824))</f>
        <v/>
      </c>
      <c r="L1824" s="23" t="str">
        <f aca="false">IF(OR($M1824="",$F1824="",$G1824=""),"",IF($H1824="Разминка","Разминка",IF($F1824&lt;INDEX('Программа тренировок'!$E$6:$E$25,$M1824),"Ниже диапазона",IF(AND($F1824&gt;=INDEX('Программа тренировок'!$F$6:$F$25,$M1824),$G1824&gt;=INDEX('Программа тренировок'!$L$6:$L$25,$M1824)),"Верх диапазона: пора добавлять вес",IF($G1824&lt;INDEX('Программа тренировок'!$L$6:$L$25,$M1824),"RIR ниже цели","В диапазоне")))))</f>
        <v/>
      </c>
      <c r="M1824" s="23" t="str">
        <f aca="false">IF($C1824="","",IFERROR(MATCH($C1824,'Программа тренировок'!$C$6:$C$25,0),""))</f>
        <v/>
      </c>
    </row>
    <row r="1825" customFormat="false" ht="15" hidden="false" customHeight="true" outlineLevel="0" collapsed="false">
      <c r="A1825" s="20"/>
      <c r="B1825" s="21"/>
      <c r="C1825" s="19"/>
      <c r="D1825" s="18"/>
      <c r="E1825" s="17"/>
      <c r="F1825" s="18"/>
      <c r="G1825" s="18"/>
      <c r="H1825" s="21"/>
      <c r="I1825" s="19"/>
      <c r="J1825" s="8" t="str">
        <f aca="false">IF(OR(E1825="",F1825=""),"",E1825*F1825)</f>
        <v/>
      </c>
      <c r="K1825" s="22" t="str">
        <f aca="false">IF($M1825="","",INDEX('Программа тренировок'!$G$6:$G$25,$M1825))</f>
        <v/>
      </c>
      <c r="L1825" s="23" t="str">
        <f aca="false">IF(OR($M1825="",$F1825="",$G1825=""),"",IF($H1825="Разминка","Разминка",IF($F1825&lt;INDEX('Программа тренировок'!$E$6:$E$25,$M1825),"Ниже диапазона",IF(AND($F1825&gt;=INDEX('Программа тренировок'!$F$6:$F$25,$M1825),$G1825&gt;=INDEX('Программа тренировок'!$L$6:$L$25,$M1825)),"Верх диапазона: пора добавлять вес",IF($G1825&lt;INDEX('Программа тренировок'!$L$6:$L$25,$M1825),"RIR ниже цели","В диапазоне")))))</f>
        <v/>
      </c>
      <c r="M1825" s="23" t="str">
        <f aca="false">IF($C1825="","",IFERROR(MATCH($C1825,'Программа тренировок'!$C$6:$C$25,0),""))</f>
        <v/>
      </c>
    </row>
    <row r="1826" customFormat="false" ht="15" hidden="false" customHeight="true" outlineLevel="0" collapsed="false">
      <c r="A1826" s="20"/>
      <c r="B1826" s="21"/>
      <c r="C1826" s="19"/>
      <c r="D1826" s="18"/>
      <c r="E1826" s="17"/>
      <c r="F1826" s="18"/>
      <c r="G1826" s="18"/>
      <c r="H1826" s="21"/>
      <c r="I1826" s="19"/>
      <c r="J1826" s="8" t="str">
        <f aca="false">IF(OR(E1826="",F1826=""),"",E1826*F1826)</f>
        <v/>
      </c>
      <c r="K1826" s="22" t="str">
        <f aca="false">IF($M1826="","",INDEX('Программа тренировок'!$G$6:$G$25,$M1826))</f>
        <v/>
      </c>
      <c r="L1826" s="23" t="str">
        <f aca="false">IF(OR($M1826="",$F1826="",$G1826=""),"",IF($H1826="Разминка","Разминка",IF($F1826&lt;INDEX('Программа тренировок'!$E$6:$E$25,$M1826),"Ниже диапазона",IF(AND($F1826&gt;=INDEX('Программа тренировок'!$F$6:$F$25,$M1826),$G1826&gt;=INDEX('Программа тренировок'!$L$6:$L$25,$M1826)),"Верх диапазона: пора добавлять вес",IF($G1826&lt;INDEX('Программа тренировок'!$L$6:$L$25,$M1826),"RIR ниже цели","В диапазоне")))))</f>
        <v/>
      </c>
      <c r="M1826" s="23" t="str">
        <f aca="false">IF($C1826="","",IFERROR(MATCH($C1826,'Программа тренировок'!$C$6:$C$25,0),""))</f>
        <v/>
      </c>
    </row>
    <row r="1827" customFormat="false" ht="15" hidden="false" customHeight="true" outlineLevel="0" collapsed="false">
      <c r="A1827" s="20"/>
      <c r="B1827" s="21"/>
      <c r="C1827" s="19"/>
      <c r="D1827" s="18"/>
      <c r="E1827" s="17"/>
      <c r="F1827" s="18"/>
      <c r="G1827" s="18"/>
      <c r="H1827" s="21"/>
      <c r="I1827" s="19"/>
      <c r="J1827" s="8" t="str">
        <f aca="false">IF(OR(E1827="",F1827=""),"",E1827*F1827)</f>
        <v/>
      </c>
      <c r="K1827" s="22" t="str">
        <f aca="false">IF($M1827="","",INDEX('Программа тренировок'!$G$6:$G$25,$M1827))</f>
        <v/>
      </c>
      <c r="L1827" s="23" t="str">
        <f aca="false">IF(OR($M1827="",$F1827="",$G1827=""),"",IF($H1827="Разминка","Разминка",IF($F1827&lt;INDEX('Программа тренировок'!$E$6:$E$25,$M1827),"Ниже диапазона",IF(AND($F1827&gt;=INDEX('Программа тренировок'!$F$6:$F$25,$M1827),$G1827&gt;=INDEX('Программа тренировок'!$L$6:$L$25,$M1827)),"Верх диапазона: пора добавлять вес",IF($G1827&lt;INDEX('Программа тренировок'!$L$6:$L$25,$M1827),"RIR ниже цели","В диапазоне")))))</f>
        <v/>
      </c>
      <c r="M1827" s="23" t="str">
        <f aca="false">IF($C1827="","",IFERROR(MATCH($C1827,'Программа тренировок'!$C$6:$C$25,0),""))</f>
        <v/>
      </c>
    </row>
    <row r="1828" customFormat="false" ht="15" hidden="false" customHeight="true" outlineLevel="0" collapsed="false">
      <c r="A1828" s="20"/>
      <c r="B1828" s="21"/>
      <c r="C1828" s="19"/>
      <c r="D1828" s="18"/>
      <c r="E1828" s="17"/>
      <c r="F1828" s="18"/>
      <c r="G1828" s="18"/>
      <c r="H1828" s="21"/>
      <c r="I1828" s="19"/>
      <c r="J1828" s="8" t="str">
        <f aca="false">IF(OR(E1828="",F1828=""),"",E1828*F1828)</f>
        <v/>
      </c>
      <c r="K1828" s="22" t="str">
        <f aca="false">IF($M1828="","",INDEX('Программа тренировок'!$G$6:$G$25,$M1828))</f>
        <v/>
      </c>
      <c r="L1828" s="23" t="str">
        <f aca="false">IF(OR($M1828="",$F1828="",$G1828=""),"",IF($H1828="Разминка","Разминка",IF($F1828&lt;INDEX('Программа тренировок'!$E$6:$E$25,$M1828),"Ниже диапазона",IF(AND($F1828&gt;=INDEX('Программа тренировок'!$F$6:$F$25,$M1828),$G1828&gt;=INDEX('Программа тренировок'!$L$6:$L$25,$M1828)),"Верх диапазона: пора добавлять вес",IF($G1828&lt;INDEX('Программа тренировок'!$L$6:$L$25,$M1828),"RIR ниже цели","В диапазоне")))))</f>
        <v/>
      </c>
      <c r="M1828" s="23" t="str">
        <f aca="false">IF($C1828="","",IFERROR(MATCH($C1828,'Программа тренировок'!$C$6:$C$25,0),""))</f>
        <v/>
      </c>
    </row>
    <row r="1829" customFormat="false" ht="15" hidden="false" customHeight="true" outlineLevel="0" collapsed="false">
      <c r="A1829" s="20"/>
      <c r="B1829" s="21"/>
      <c r="C1829" s="19"/>
      <c r="D1829" s="18"/>
      <c r="E1829" s="17"/>
      <c r="F1829" s="18"/>
      <c r="G1829" s="18"/>
      <c r="H1829" s="21"/>
      <c r="I1829" s="19"/>
      <c r="J1829" s="8" t="str">
        <f aca="false">IF(OR(E1829="",F1829=""),"",E1829*F1829)</f>
        <v/>
      </c>
      <c r="K1829" s="22" t="str">
        <f aca="false">IF($M1829="","",INDEX('Программа тренировок'!$G$6:$G$25,$M1829))</f>
        <v/>
      </c>
      <c r="L1829" s="23" t="str">
        <f aca="false">IF(OR($M1829="",$F1829="",$G1829=""),"",IF($H1829="Разминка","Разминка",IF($F1829&lt;INDEX('Программа тренировок'!$E$6:$E$25,$M1829),"Ниже диапазона",IF(AND($F1829&gt;=INDEX('Программа тренировок'!$F$6:$F$25,$M1829),$G1829&gt;=INDEX('Программа тренировок'!$L$6:$L$25,$M1829)),"Верх диапазона: пора добавлять вес",IF($G1829&lt;INDEX('Программа тренировок'!$L$6:$L$25,$M1829),"RIR ниже цели","В диапазоне")))))</f>
        <v/>
      </c>
      <c r="M1829" s="23" t="str">
        <f aca="false">IF($C1829="","",IFERROR(MATCH($C1829,'Программа тренировок'!$C$6:$C$25,0),""))</f>
        <v/>
      </c>
    </row>
    <row r="1830" customFormat="false" ht="15" hidden="false" customHeight="true" outlineLevel="0" collapsed="false">
      <c r="A1830" s="20"/>
      <c r="B1830" s="21"/>
      <c r="C1830" s="19"/>
      <c r="D1830" s="18"/>
      <c r="E1830" s="17"/>
      <c r="F1830" s="18"/>
      <c r="G1830" s="18"/>
      <c r="H1830" s="21"/>
      <c r="I1830" s="19"/>
      <c r="J1830" s="8" t="str">
        <f aca="false">IF(OR(E1830="",F1830=""),"",E1830*F1830)</f>
        <v/>
      </c>
      <c r="K1830" s="22" t="str">
        <f aca="false">IF($M1830="","",INDEX('Программа тренировок'!$G$6:$G$25,$M1830))</f>
        <v/>
      </c>
      <c r="L1830" s="23" t="str">
        <f aca="false">IF(OR($M1830="",$F1830="",$G1830=""),"",IF($H1830="Разминка","Разминка",IF($F1830&lt;INDEX('Программа тренировок'!$E$6:$E$25,$M1830),"Ниже диапазона",IF(AND($F1830&gt;=INDEX('Программа тренировок'!$F$6:$F$25,$M1830),$G1830&gt;=INDEX('Программа тренировок'!$L$6:$L$25,$M1830)),"Верх диапазона: пора добавлять вес",IF($G1830&lt;INDEX('Программа тренировок'!$L$6:$L$25,$M1830),"RIR ниже цели","В диапазоне")))))</f>
        <v/>
      </c>
      <c r="M1830" s="23" t="str">
        <f aca="false">IF($C1830="","",IFERROR(MATCH($C1830,'Программа тренировок'!$C$6:$C$25,0),""))</f>
        <v/>
      </c>
    </row>
    <row r="1831" customFormat="false" ht="15" hidden="false" customHeight="true" outlineLevel="0" collapsed="false">
      <c r="A1831" s="20"/>
      <c r="B1831" s="21"/>
      <c r="C1831" s="19"/>
      <c r="D1831" s="18"/>
      <c r="E1831" s="17"/>
      <c r="F1831" s="18"/>
      <c r="G1831" s="18"/>
      <c r="H1831" s="21"/>
      <c r="I1831" s="19"/>
      <c r="J1831" s="8" t="str">
        <f aca="false">IF(OR(E1831="",F1831=""),"",E1831*F1831)</f>
        <v/>
      </c>
      <c r="K1831" s="22" t="str">
        <f aca="false">IF($M1831="","",INDEX('Программа тренировок'!$G$6:$G$25,$M1831))</f>
        <v/>
      </c>
      <c r="L1831" s="23" t="str">
        <f aca="false">IF(OR($M1831="",$F1831="",$G1831=""),"",IF($H1831="Разминка","Разминка",IF($F1831&lt;INDEX('Программа тренировок'!$E$6:$E$25,$M1831),"Ниже диапазона",IF(AND($F1831&gt;=INDEX('Программа тренировок'!$F$6:$F$25,$M1831),$G1831&gt;=INDEX('Программа тренировок'!$L$6:$L$25,$M1831)),"Верх диапазона: пора добавлять вес",IF($G1831&lt;INDEX('Программа тренировок'!$L$6:$L$25,$M1831),"RIR ниже цели","В диапазоне")))))</f>
        <v/>
      </c>
      <c r="M1831" s="23" t="str">
        <f aca="false">IF($C1831="","",IFERROR(MATCH($C1831,'Программа тренировок'!$C$6:$C$25,0),""))</f>
        <v/>
      </c>
    </row>
    <row r="1832" customFormat="false" ht="15" hidden="false" customHeight="true" outlineLevel="0" collapsed="false">
      <c r="A1832" s="20"/>
      <c r="B1832" s="21"/>
      <c r="C1832" s="19"/>
      <c r="D1832" s="18"/>
      <c r="E1832" s="17"/>
      <c r="F1832" s="18"/>
      <c r="G1832" s="18"/>
      <c r="H1832" s="21"/>
      <c r="I1832" s="19"/>
      <c r="J1832" s="8" t="str">
        <f aca="false">IF(OR(E1832="",F1832=""),"",E1832*F1832)</f>
        <v/>
      </c>
      <c r="K1832" s="22" t="str">
        <f aca="false">IF($M1832="","",INDEX('Программа тренировок'!$G$6:$G$25,$M1832))</f>
        <v/>
      </c>
      <c r="L1832" s="23" t="str">
        <f aca="false">IF(OR($M1832="",$F1832="",$G1832=""),"",IF($H1832="Разминка","Разминка",IF($F1832&lt;INDEX('Программа тренировок'!$E$6:$E$25,$M1832),"Ниже диапазона",IF(AND($F1832&gt;=INDEX('Программа тренировок'!$F$6:$F$25,$M1832),$G1832&gt;=INDEX('Программа тренировок'!$L$6:$L$25,$M1832)),"Верх диапазона: пора добавлять вес",IF($G1832&lt;INDEX('Программа тренировок'!$L$6:$L$25,$M1832),"RIR ниже цели","В диапазоне")))))</f>
        <v/>
      </c>
      <c r="M1832" s="23" t="str">
        <f aca="false">IF($C1832="","",IFERROR(MATCH($C1832,'Программа тренировок'!$C$6:$C$25,0),""))</f>
        <v/>
      </c>
    </row>
    <row r="1833" customFormat="false" ht="15" hidden="false" customHeight="true" outlineLevel="0" collapsed="false">
      <c r="A1833" s="20"/>
      <c r="B1833" s="21"/>
      <c r="C1833" s="19"/>
      <c r="D1833" s="18"/>
      <c r="E1833" s="17"/>
      <c r="F1833" s="18"/>
      <c r="G1833" s="18"/>
      <c r="H1833" s="21"/>
      <c r="I1833" s="19"/>
      <c r="J1833" s="8" t="str">
        <f aca="false">IF(OR(E1833="",F1833=""),"",E1833*F1833)</f>
        <v/>
      </c>
      <c r="K1833" s="22" t="str">
        <f aca="false">IF($M1833="","",INDEX('Программа тренировок'!$G$6:$G$25,$M1833))</f>
        <v/>
      </c>
      <c r="L1833" s="23" t="str">
        <f aca="false">IF(OR($M1833="",$F1833="",$G1833=""),"",IF($H1833="Разминка","Разминка",IF($F1833&lt;INDEX('Программа тренировок'!$E$6:$E$25,$M1833),"Ниже диапазона",IF(AND($F1833&gt;=INDEX('Программа тренировок'!$F$6:$F$25,$M1833),$G1833&gt;=INDEX('Программа тренировок'!$L$6:$L$25,$M1833)),"Верх диапазона: пора добавлять вес",IF($G1833&lt;INDEX('Программа тренировок'!$L$6:$L$25,$M1833),"RIR ниже цели","В диапазоне")))))</f>
        <v/>
      </c>
      <c r="M1833" s="23" t="str">
        <f aca="false">IF($C1833="","",IFERROR(MATCH($C1833,'Программа тренировок'!$C$6:$C$25,0),""))</f>
        <v/>
      </c>
    </row>
    <row r="1834" customFormat="false" ht="15" hidden="false" customHeight="true" outlineLevel="0" collapsed="false">
      <c r="A1834" s="20"/>
      <c r="B1834" s="21"/>
      <c r="C1834" s="19"/>
      <c r="D1834" s="18"/>
      <c r="E1834" s="17"/>
      <c r="F1834" s="18"/>
      <c r="G1834" s="18"/>
      <c r="H1834" s="21"/>
      <c r="I1834" s="19"/>
      <c r="J1834" s="8" t="str">
        <f aca="false">IF(OR(E1834="",F1834=""),"",E1834*F1834)</f>
        <v/>
      </c>
      <c r="K1834" s="22" t="str">
        <f aca="false">IF($M1834="","",INDEX('Программа тренировок'!$G$6:$G$25,$M1834))</f>
        <v/>
      </c>
      <c r="L1834" s="23" t="str">
        <f aca="false">IF(OR($M1834="",$F1834="",$G1834=""),"",IF($H1834="Разминка","Разминка",IF($F1834&lt;INDEX('Программа тренировок'!$E$6:$E$25,$M1834),"Ниже диапазона",IF(AND($F1834&gt;=INDEX('Программа тренировок'!$F$6:$F$25,$M1834),$G1834&gt;=INDEX('Программа тренировок'!$L$6:$L$25,$M1834)),"Верх диапазона: пора добавлять вес",IF($G1834&lt;INDEX('Программа тренировок'!$L$6:$L$25,$M1834),"RIR ниже цели","В диапазоне")))))</f>
        <v/>
      </c>
      <c r="M1834" s="23" t="str">
        <f aca="false">IF($C1834="","",IFERROR(MATCH($C1834,'Программа тренировок'!$C$6:$C$25,0),""))</f>
        <v/>
      </c>
    </row>
    <row r="1835" customFormat="false" ht="15" hidden="false" customHeight="true" outlineLevel="0" collapsed="false">
      <c r="A1835" s="20"/>
      <c r="B1835" s="21"/>
      <c r="C1835" s="19"/>
      <c r="D1835" s="18"/>
      <c r="E1835" s="17"/>
      <c r="F1835" s="18"/>
      <c r="G1835" s="18"/>
      <c r="H1835" s="21"/>
      <c r="I1835" s="19"/>
      <c r="J1835" s="8" t="str">
        <f aca="false">IF(OR(E1835="",F1835=""),"",E1835*F1835)</f>
        <v/>
      </c>
      <c r="K1835" s="22" t="str">
        <f aca="false">IF($M1835="","",INDEX('Программа тренировок'!$G$6:$G$25,$M1835))</f>
        <v/>
      </c>
      <c r="L1835" s="23" t="str">
        <f aca="false">IF(OR($M1835="",$F1835="",$G1835=""),"",IF($H1835="Разминка","Разминка",IF($F1835&lt;INDEX('Программа тренировок'!$E$6:$E$25,$M1835),"Ниже диапазона",IF(AND($F1835&gt;=INDEX('Программа тренировок'!$F$6:$F$25,$M1835),$G1835&gt;=INDEX('Программа тренировок'!$L$6:$L$25,$M1835)),"Верх диапазона: пора добавлять вес",IF($G1835&lt;INDEX('Программа тренировок'!$L$6:$L$25,$M1835),"RIR ниже цели","В диапазоне")))))</f>
        <v/>
      </c>
      <c r="M1835" s="23" t="str">
        <f aca="false">IF($C1835="","",IFERROR(MATCH($C1835,'Программа тренировок'!$C$6:$C$25,0),""))</f>
        <v/>
      </c>
    </row>
    <row r="1836" customFormat="false" ht="15" hidden="false" customHeight="true" outlineLevel="0" collapsed="false">
      <c r="A1836" s="20"/>
      <c r="B1836" s="21"/>
      <c r="C1836" s="19"/>
      <c r="D1836" s="18"/>
      <c r="E1836" s="17"/>
      <c r="F1836" s="18"/>
      <c r="G1836" s="18"/>
      <c r="H1836" s="21"/>
      <c r="I1836" s="19"/>
      <c r="J1836" s="8" t="str">
        <f aca="false">IF(OR(E1836="",F1836=""),"",E1836*F1836)</f>
        <v/>
      </c>
      <c r="K1836" s="22" t="str">
        <f aca="false">IF($M1836="","",INDEX('Программа тренировок'!$G$6:$G$25,$M1836))</f>
        <v/>
      </c>
      <c r="L1836" s="23" t="str">
        <f aca="false">IF(OR($M1836="",$F1836="",$G1836=""),"",IF($H1836="Разминка","Разминка",IF($F1836&lt;INDEX('Программа тренировок'!$E$6:$E$25,$M1836),"Ниже диапазона",IF(AND($F1836&gt;=INDEX('Программа тренировок'!$F$6:$F$25,$M1836),$G1836&gt;=INDEX('Программа тренировок'!$L$6:$L$25,$M1836)),"Верх диапазона: пора добавлять вес",IF($G1836&lt;INDEX('Программа тренировок'!$L$6:$L$25,$M1836),"RIR ниже цели","В диапазоне")))))</f>
        <v/>
      </c>
      <c r="M1836" s="23" t="str">
        <f aca="false">IF($C1836="","",IFERROR(MATCH($C1836,'Программа тренировок'!$C$6:$C$25,0),""))</f>
        <v/>
      </c>
    </row>
    <row r="1837" customFormat="false" ht="15" hidden="false" customHeight="true" outlineLevel="0" collapsed="false">
      <c r="A1837" s="20"/>
      <c r="B1837" s="21"/>
      <c r="C1837" s="19"/>
      <c r="D1837" s="18"/>
      <c r="E1837" s="17"/>
      <c r="F1837" s="18"/>
      <c r="G1837" s="18"/>
      <c r="H1837" s="21"/>
      <c r="I1837" s="19"/>
      <c r="J1837" s="8" t="str">
        <f aca="false">IF(OR(E1837="",F1837=""),"",E1837*F1837)</f>
        <v/>
      </c>
      <c r="K1837" s="22" t="str">
        <f aca="false">IF($M1837="","",INDEX('Программа тренировок'!$G$6:$G$25,$M1837))</f>
        <v/>
      </c>
      <c r="L1837" s="23" t="str">
        <f aca="false">IF(OR($M1837="",$F1837="",$G1837=""),"",IF($H1837="Разминка","Разминка",IF($F1837&lt;INDEX('Программа тренировок'!$E$6:$E$25,$M1837),"Ниже диапазона",IF(AND($F1837&gt;=INDEX('Программа тренировок'!$F$6:$F$25,$M1837),$G1837&gt;=INDEX('Программа тренировок'!$L$6:$L$25,$M1837)),"Верх диапазона: пора добавлять вес",IF($G1837&lt;INDEX('Программа тренировок'!$L$6:$L$25,$M1837),"RIR ниже цели","В диапазоне")))))</f>
        <v/>
      </c>
      <c r="M1837" s="23" t="str">
        <f aca="false">IF($C1837="","",IFERROR(MATCH($C1837,'Программа тренировок'!$C$6:$C$25,0),""))</f>
        <v/>
      </c>
    </row>
    <row r="1838" customFormat="false" ht="15" hidden="false" customHeight="true" outlineLevel="0" collapsed="false">
      <c r="A1838" s="20"/>
      <c r="B1838" s="21"/>
      <c r="C1838" s="19"/>
      <c r="D1838" s="18"/>
      <c r="E1838" s="17"/>
      <c r="F1838" s="18"/>
      <c r="G1838" s="18"/>
      <c r="H1838" s="21"/>
      <c r="I1838" s="19"/>
      <c r="J1838" s="8" t="str">
        <f aca="false">IF(OR(E1838="",F1838=""),"",E1838*F1838)</f>
        <v/>
      </c>
      <c r="K1838" s="22" t="str">
        <f aca="false">IF($M1838="","",INDEX('Программа тренировок'!$G$6:$G$25,$M1838))</f>
        <v/>
      </c>
      <c r="L1838" s="23" t="str">
        <f aca="false">IF(OR($M1838="",$F1838="",$G1838=""),"",IF($H1838="Разминка","Разминка",IF($F1838&lt;INDEX('Программа тренировок'!$E$6:$E$25,$M1838),"Ниже диапазона",IF(AND($F1838&gt;=INDEX('Программа тренировок'!$F$6:$F$25,$M1838),$G1838&gt;=INDEX('Программа тренировок'!$L$6:$L$25,$M1838)),"Верх диапазона: пора добавлять вес",IF($G1838&lt;INDEX('Программа тренировок'!$L$6:$L$25,$M1838),"RIR ниже цели","В диапазоне")))))</f>
        <v/>
      </c>
      <c r="M1838" s="23" t="str">
        <f aca="false">IF($C1838="","",IFERROR(MATCH($C1838,'Программа тренировок'!$C$6:$C$25,0),""))</f>
        <v/>
      </c>
    </row>
    <row r="1839" customFormat="false" ht="15" hidden="false" customHeight="true" outlineLevel="0" collapsed="false">
      <c r="A1839" s="20"/>
      <c r="B1839" s="21"/>
      <c r="C1839" s="19"/>
      <c r="D1839" s="18"/>
      <c r="E1839" s="17"/>
      <c r="F1839" s="18"/>
      <c r="G1839" s="18"/>
      <c r="H1839" s="21"/>
      <c r="I1839" s="19"/>
      <c r="J1839" s="8" t="str">
        <f aca="false">IF(OR(E1839="",F1839=""),"",E1839*F1839)</f>
        <v/>
      </c>
      <c r="K1839" s="22" t="str">
        <f aca="false">IF($M1839="","",INDEX('Программа тренировок'!$G$6:$G$25,$M1839))</f>
        <v/>
      </c>
      <c r="L1839" s="23" t="str">
        <f aca="false">IF(OR($M1839="",$F1839="",$G1839=""),"",IF($H1839="Разминка","Разминка",IF($F1839&lt;INDEX('Программа тренировок'!$E$6:$E$25,$M1839),"Ниже диапазона",IF(AND($F1839&gt;=INDEX('Программа тренировок'!$F$6:$F$25,$M1839),$G1839&gt;=INDEX('Программа тренировок'!$L$6:$L$25,$M1839)),"Верх диапазона: пора добавлять вес",IF($G1839&lt;INDEX('Программа тренировок'!$L$6:$L$25,$M1839),"RIR ниже цели","В диапазоне")))))</f>
        <v/>
      </c>
      <c r="M1839" s="23" t="str">
        <f aca="false">IF($C1839="","",IFERROR(MATCH($C1839,'Программа тренировок'!$C$6:$C$25,0),""))</f>
        <v/>
      </c>
    </row>
    <row r="1840" customFormat="false" ht="15" hidden="false" customHeight="true" outlineLevel="0" collapsed="false">
      <c r="A1840" s="20"/>
      <c r="B1840" s="21"/>
      <c r="C1840" s="19"/>
      <c r="D1840" s="18"/>
      <c r="E1840" s="17"/>
      <c r="F1840" s="18"/>
      <c r="G1840" s="18"/>
      <c r="H1840" s="21"/>
      <c r="I1840" s="19"/>
      <c r="J1840" s="8" t="str">
        <f aca="false">IF(OR(E1840="",F1840=""),"",E1840*F1840)</f>
        <v/>
      </c>
      <c r="K1840" s="22" t="str">
        <f aca="false">IF($M1840="","",INDEX('Программа тренировок'!$G$6:$G$25,$M1840))</f>
        <v/>
      </c>
      <c r="L1840" s="23" t="str">
        <f aca="false">IF(OR($M1840="",$F1840="",$G1840=""),"",IF($H1840="Разминка","Разминка",IF($F1840&lt;INDEX('Программа тренировок'!$E$6:$E$25,$M1840),"Ниже диапазона",IF(AND($F1840&gt;=INDEX('Программа тренировок'!$F$6:$F$25,$M1840),$G1840&gt;=INDEX('Программа тренировок'!$L$6:$L$25,$M1840)),"Верх диапазона: пора добавлять вес",IF($G1840&lt;INDEX('Программа тренировок'!$L$6:$L$25,$M1840),"RIR ниже цели","В диапазоне")))))</f>
        <v/>
      </c>
      <c r="M1840" s="23" t="str">
        <f aca="false">IF($C1840="","",IFERROR(MATCH($C1840,'Программа тренировок'!$C$6:$C$25,0),""))</f>
        <v/>
      </c>
    </row>
    <row r="1841" customFormat="false" ht="15" hidden="false" customHeight="true" outlineLevel="0" collapsed="false">
      <c r="A1841" s="20"/>
      <c r="B1841" s="21"/>
      <c r="C1841" s="19"/>
      <c r="D1841" s="18"/>
      <c r="E1841" s="17"/>
      <c r="F1841" s="18"/>
      <c r="G1841" s="18"/>
      <c r="H1841" s="21"/>
      <c r="I1841" s="19"/>
      <c r="J1841" s="8" t="str">
        <f aca="false">IF(OR(E1841="",F1841=""),"",E1841*F1841)</f>
        <v/>
      </c>
      <c r="K1841" s="22" t="str">
        <f aca="false">IF($M1841="","",INDEX('Программа тренировок'!$G$6:$G$25,$M1841))</f>
        <v/>
      </c>
      <c r="L1841" s="23" t="str">
        <f aca="false">IF(OR($M1841="",$F1841="",$G1841=""),"",IF($H1841="Разминка","Разминка",IF($F1841&lt;INDEX('Программа тренировок'!$E$6:$E$25,$M1841),"Ниже диапазона",IF(AND($F1841&gt;=INDEX('Программа тренировок'!$F$6:$F$25,$M1841),$G1841&gt;=INDEX('Программа тренировок'!$L$6:$L$25,$M1841)),"Верх диапазона: пора добавлять вес",IF($G1841&lt;INDEX('Программа тренировок'!$L$6:$L$25,$M1841),"RIR ниже цели","В диапазоне")))))</f>
        <v/>
      </c>
      <c r="M1841" s="23" t="str">
        <f aca="false">IF($C1841="","",IFERROR(MATCH($C1841,'Программа тренировок'!$C$6:$C$25,0),""))</f>
        <v/>
      </c>
    </row>
    <row r="1842" customFormat="false" ht="15" hidden="false" customHeight="true" outlineLevel="0" collapsed="false">
      <c r="A1842" s="20"/>
      <c r="B1842" s="21"/>
      <c r="C1842" s="19"/>
      <c r="D1842" s="18"/>
      <c r="E1842" s="17"/>
      <c r="F1842" s="18"/>
      <c r="G1842" s="18"/>
      <c r="H1842" s="21"/>
      <c r="I1842" s="19"/>
      <c r="J1842" s="8" t="str">
        <f aca="false">IF(OR(E1842="",F1842=""),"",E1842*F1842)</f>
        <v/>
      </c>
      <c r="K1842" s="22" t="str">
        <f aca="false">IF($M1842="","",INDEX('Программа тренировок'!$G$6:$G$25,$M1842))</f>
        <v/>
      </c>
      <c r="L1842" s="23" t="str">
        <f aca="false">IF(OR($M1842="",$F1842="",$G1842=""),"",IF($H1842="Разминка","Разминка",IF($F1842&lt;INDEX('Программа тренировок'!$E$6:$E$25,$M1842),"Ниже диапазона",IF(AND($F1842&gt;=INDEX('Программа тренировок'!$F$6:$F$25,$M1842),$G1842&gt;=INDEX('Программа тренировок'!$L$6:$L$25,$M1842)),"Верх диапазона: пора добавлять вес",IF($G1842&lt;INDEX('Программа тренировок'!$L$6:$L$25,$M1842),"RIR ниже цели","В диапазоне")))))</f>
        <v/>
      </c>
      <c r="M1842" s="23" t="str">
        <f aca="false">IF($C1842="","",IFERROR(MATCH($C1842,'Программа тренировок'!$C$6:$C$25,0),""))</f>
        <v/>
      </c>
    </row>
    <row r="1843" customFormat="false" ht="15" hidden="false" customHeight="true" outlineLevel="0" collapsed="false">
      <c r="A1843" s="20"/>
      <c r="B1843" s="21"/>
      <c r="C1843" s="19"/>
      <c r="D1843" s="18"/>
      <c r="E1843" s="17"/>
      <c r="F1843" s="18"/>
      <c r="G1843" s="18"/>
      <c r="H1843" s="21"/>
      <c r="I1843" s="19"/>
      <c r="J1843" s="8" t="str">
        <f aca="false">IF(OR(E1843="",F1843=""),"",E1843*F1843)</f>
        <v/>
      </c>
      <c r="K1843" s="22" t="str">
        <f aca="false">IF($M1843="","",INDEX('Программа тренировок'!$G$6:$G$25,$M1843))</f>
        <v/>
      </c>
      <c r="L1843" s="23" t="str">
        <f aca="false">IF(OR($M1843="",$F1843="",$G1843=""),"",IF($H1843="Разминка","Разминка",IF($F1843&lt;INDEX('Программа тренировок'!$E$6:$E$25,$M1843),"Ниже диапазона",IF(AND($F1843&gt;=INDEX('Программа тренировок'!$F$6:$F$25,$M1843),$G1843&gt;=INDEX('Программа тренировок'!$L$6:$L$25,$M1843)),"Верх диапазона: пора добавлять вес",IF($G1843&lt;INDEX('Программа тренировок'!$L$6:$L$25,$M1843),"RIR ниже цели","В диапазоне")))))</f>
        <v/>
      </c>
      <c r="M1843" s="23" t="str">
        <f aca="false">IF($C1843="","",IFERROR(MATCH($C1843,'Программа тренировок'!$C$6:$C$25,0),""))</f>
        <v/>
      </c>
    </row>
    <row r="1844" customFormat="false" ht="15" hidden="false" customHeight="true" outlineLevel="0" collapsed="false">
      <c r="A1844" s="20"/>
      <c r="B1844" s="21"/>
      <c r="C1844" s="19"/>
      <c r="D1844" s="18"/>
      <c r="E1844" s="17"/>
      <c r="F1844" s="18"/>
      <c r="G1844" s="18"/>
      <c r="H1844" s="21"/>
      <c r="I1844" s="19"/>
      <c r="J1844" s="8" t="str">
        <f aca="false">IF(OR(E1844="",F1844=""),"",E1844*F1844)</f>
        <v/>
      </c>
      <c r="K1844" s="22" t="str">
        <f aca="false">IF($M1844="","",INDEX('Программа тренировок'!$G$6:$G$25,$M1844))</f>
        <v/>
      </c>
      <c r="L1844" s="23" t="str">
        <f aca="false">IF(OR($M1844="",$F1844="",$G1844=""),"",IF($H1844="Разминка","Разминка",IF($F1844&lt;INDEX('Программа тренировок'!$E$6:$E$25,$M1844),"Ниже диапазона",IF(AND($F1844&gt;=INDEX('Программа тренировок'!$F$6:$F$25,$M1844),$G1844&gt;=INDEX('Программа тренировок'!$L$6:$L$25,$M1844)),"Верх диапазона: пора добавлять вес",IF($G1844&lt;INDEX('Программа тренировок'!$L$6:$L$25,$M1844),"RIR ниже цели","В диапазоне")))))</f>
        <v/>
      </c>
      <c r="M1844" s="23" t="str">
        <f aca="false">IF($C1844="","",IFERROR(MATCH($C1844,'Программа тренировок'!$C$6:$C$25,0),""))</f>
        <v/>
      </c>
    </row>
    <row r="1845" customFormat="false" ht="15" hidden="false" customHeight="true" outlineLevel="0" collapsed="false">
      <c r="A1845" s="20"/>
      <c r="B1845" s="21"/>
      <c r="C1845" s="19"/>
      <c r="D1845" s="18"/>
      <c r="E1845" s="17"/>
      <c r="F1845" s="18"/>
      <c r="G1845" s="18"/>
      <c r="H1845" s="21"/>
      <c r="I1845" s="19"/>
      <c r="J1845" s="8" t="str">
        <f aca="false">IF(OR(E1845="",F1845=""),"",E1845*F1845)</f>
        <v/>
      </c>
      <c r="K1845" s="22" t="str">
        <f aca="false">IF($M1845="","",INDEX('Программа тренировок'!$G$6:$G$25,$M1845))</f>
        <v/>
      </c>
      <c r="L1845" s="23" t="str">
        <f aca="false">IF(OR($M1845="",$F1845="",$G1845=""),"",IF($H1845="Разминка","Разминка",IF($F1845&lt;INDEX('Программа тренировок'!$E$6:$E$25,$M1845),"Ниже диапазона",IF(AND($F1845&gt;=INDEX('Программа тренировок'!$F$6:$F$25,$M1845),$G1845&gt;=INDEX('Программа тренировок'!$L$6:$L$25,$M1845)),"Верх диапазона: пора добавлять вес",IF($G1845&lt;INDEX('Программа тренировок'!$L$6:$L$25,$M1845),"RIR ниже цели","В диапазоне")))))</f>
        <v/>
      </c>
      <c r="M1845" s="23" t="str">
        <f aca="false">IF($C1845="","",IFERROR(MATCH($C1845,'Программа тренировок'!$C$6:$C$25,0),""))</f>
        <v/>
      </c>
    </row>
    <row r="1846" customFormat="false" ht="15" hidden="false" customHeight="true" outlineLevel="0" collapsed="false">
      <c r="A1846" s="20"/>
      <c r="B1846" s="21"/>
      <c r="C1846" s="19"/>
      <c r="D1846" s="18"/>
      <c r="E1846" s="17"/>
      <c r="F1846" s="18"/>
      <c r="G1846" s="18"/>
      <c r="H1846" s="21"/>
      <c r="I1846" s="19"/>
      <c r="J1846" s="8" t="str">
        <f aca="false">IF(OR(E1846="",F1846=""),"",E1846*F1846)</f>
        <v/>
      </c>
      <c r="K1846" s="22" t="str">
        <f aca="false">IF($M1846="","",INDEX('Программа тренировок'!$G$6:$G$25,$M1846))</f>
        <v/>
      </c>
      <c r="L1846" s="23" t="str">
        <f aca="false">IF(OR($M1846="",$F1846="",$G1846=""),"",IF($H1846="Разминка","Разминка",IF($F1846&lt;INDEX('Программа тренировок'!$E$6:$E$25,$M1846),"Ниже диапазона",IF(AND($F1846&gt;=INDEX('Программа тренировок'!$F$6:$F$25,$M1846),$G1846&gt;=INDEX('Программа тренировок'!$L$6:$L$25,$M1846)),"Верх диапазона: пора добавлять вес",IF($G1846&lt;INDEX('Программа тренировок'!$L$6:$L$25,$M1846),"RIR ниже цели","В диапазоне")))))</f>
        <v/>
      </c>
      <c r="M1846" s="23" t="str">
        <f aca="false">IF($C1846="","",IFERROR(MATCH($C1846,'Программа тренировок'!$C$6:$C$25,0),""))</f>
        <v/>
      </c>
    </row>
    <row r="1847" customFormat="false" ht="15" hidden="false" customHeight="true" outlineLevel="0" collapsed="false">
      <c r="A1847" s="20"/>
      <c r="B1847" s="21"/>
      <c r="C1847" s="19"/>
      <c r="D1847" s="18"/>
      <c r="E1847" s="17"/>
      <c r="F1847" s="18"/>
      <c r="G1847" s="18"/>
      <c r="H1847" s="21"/>
      <c r="I1847" s="19"/>
      <c r="J1847" s="8" t="str">
        <f aca="false">IF(OR(E1847="",F1847=""),"",E1847*F1847)</f>
        <v/>
      </c>
      <c r="K1847" s="22" t="str">
        <f aca="false">IF($M1847="","",INDEX('Программа тренировок'!$G$6:$G$25,$M1847))</f>
        <v/>
      </c>
      <c r="L1847" s="23" t="str">
        <f aca="false">IF(OR($M1847="",$F1847="",$G1847=""),"",IF($H1847="Разминка","Разминка",IF($F1847&lt;INDEX('Программа тренировок'!$E$6:$E$25,$M1847),"Ниже диапазона",IF(AND($F1847&gt;=INDEX('Программа тренировок'!$F$6:$F$25,$M1847),$G1847&gt;=INDEX('Программа тренировок'!$L$6:$L$25,$M1847)),"Верх диапазона: пора добавлять вес",IF($G1847&lt;INDEX('Программа тренировок'!$L$6:$L$25,$M1847),"RIR ниже цели","В диапазоне")))))</f>
        <v/>
      </c>
      <c r="M1847" s="23" t="str">
        <f aca="false">IF($C1847="","",IFERROR(MATCH($C1847,'Программа тренировок'!$C$6:$C$25,0),""))</f>
        <v/>
      </c>
    </row>
    <row r="1848" customFormat="false" ht="15" hidden="false" customHeight="true" outlineLevel="0" collapsed="false">
      <c r="A1848" s="20"/>
      <c r="B1848" s="21"/>
      <c r="C1848" s="19"/>
      <c r="D1848" s="18"/>
      <c r="E1848" s="17"/>
      <c r="F1848" s="18"/>
      <c r="G1848" s="18"/>
      <c r="H1848" s="21"/>
      <c r="I1848" s="19"/>
      <c r="J1848" s="8" t="str">
        <f aca="false">IF(OR(E1848="",F1848=""),"",E1848*F1848)</f>
        <v/>
      </c>
      <c r="K1848" s="22" t="str">
        <f aca="false">IF($M1848="","",INDEX('Программа тренировок'!$G$6:$G$25,$M1848))</f>
        <v/>
      </c>
      <c r="L1848" s="23" t="str">
        <f aca="false">IF(OR($M1848="",$F1848="",$G1848=""),"",IF($H1848="Разминка","Разминка",IF($F1848&lt;INDEX('Программа тренировок'!$E$6:$E$25,$M1848),"Ниже диапазона",IF(AND($F1848&gt;=INDEX('Программа тренировок'!$F$6:$F$25,$M1848),$G1848&gt;=INDEX('Программа тренировок'!$L$6:$L$25,$M1848)),"Верх диапазона: пора добавлять вес",IF($G1848&lt;INDEX('Программа тренировок'!$L$6:$L$25,$M1848),"RIR ниже цели","В диапазоне")))))</f>
        <v/>
      </c>
      <c r="M1848" s="23" t="str">
        <f aca="false">IF($C1848="","",IFERROR(MATCH($C1848,'Программа тренировок'!$C$6:$C$25,0),""))</f>
        <v/>
      </c>
    </row>
    <row r="1849" customFormat="false" ht="15" hidden="false" customHeight="true" outlineLevel="0" collapsed="false">
      <c r="A1849" s="20"/>
      <c r="B1849" s="21"/>
      <c r="C1849" s="19"/>
      <c r="D1849" s="18"/>
      <c r="E1849" s="17"/>
      <c r="F1849" s="18"/>
      <c r="G1849" s="18"/>
      <c r="H1849" s="21"/>
      <c r="I1849" s="19"/>
      <c r="J1849" s="8" t="str">
        <f aca="false">IF(OR(E1849="",F1849=""),"",E1849*F1849)</f>
        <v/>
      </c>
      <c r="K1849" s="22" t="str">
        <f aca="false">IF($M1849="","",INDEX('Программа тренировок'!$G$6:$G$25,$M1849))</f>
        <v/>
      </c>
      <c r="L1849" s="23" t="str">
        <f aca="false">IF(OR($M1849="",$F1849="",$G1849=""),"",IF($H1849="Разминка","Разминка",IF($F1849&lt;INDEX('Программа тренировок'!$E$6:$E$25,$M1849),"Ниже диапазона",IF(AND($F1849&gt;=INDEX('Программа тренировок'!$F$6:$F$25,$M1849),$G1849&gt;=INDEX('Программа тренировок'!$L$6:$L$25,$M1849)),"Верх диапазона: пора добавлять вес",IF($G1849&lt;INDEX('Программа тренировок'!$L$6:$L$25,$M1849),"RIR ниже цели","В диапазоне")))))</f>
        <v/>
      </c>
      <c r="M1849" s="23" t="str">
        <f aca="false">IF($C1849="","",IFERROR(MATCH($C1849,'Программа тренировок'!$C$6:$C$25,0),""))</f>
        <v/>
      </c>
    </row>
    <row r="1850" customFormat="false" ht="15" hidden="false" customHeight="true" outlineLevel="0" collapsed="false">
      <c r="A1850" s="20"/>
      <c r="B1850" s="21"/>
      <c r="C1850" s="19"/>
      <c r="D1850" s="18"/>
      <c r="E1850" s="17"/>
      <c r="F1850" s="18"/>
      <c r="G1850" s="18"/>
      <c r="H1850" s="21"/>
      <c r="I1850" s="19"/>
      <c r="J1850" s="8" t="str">
        <f aca="false">IF(OR(E1850="",F1850=""),"",E1850*F1850)</f>
        <v/>
      </c>
      <c r="K1850" s="22" t="str">
        <f aca="false">IF($M1850="","",INDEX('Программа тренировок'!$G$6:$G$25,$M1850))</f>
        <v/>
      </c>
      <c r="L1850" s="23" t="str">
        <f aca="false">IF(OR($M1850="",$F1850="",$G1850=""),"",IF($H1850="Разминка","Разминка",IF($F1850&lt;INDEX('Программа тренировок'!$E$6:$E$25,$M1850),"Ниже диапазона",IF(AND($F1850&gt;=INDEX('Программа тренировок'!$F$6:$F$25,$M1850),$G1850&gt;=INDEX('Программа тренировок'!$L$6:$L$25,$M1850)),"Верх диапазона: пора добавлять вес",IF($G1850&lt;INDEX('Программа тренировок'!$L$6:$L$25,$M1850),"RIR ниже цели","В диапазоне")))))</f>
        <v/>
      </c>
      <c r="M1850" s="23" t="str">
        <f aca="false">IF($C1850="","",IFERROR(MATCH($C1850,'Программа тренировок'!$C$6:$C$25,0),""))</f>
        <v/>
      </c>
    </row>
    <row r="1851" customFormat="false" ht="15" hidden="false" customHeight="true" outlineLevel="0" collapsed="false">
      <c r="A1851" s="20"/>
      <c r="B1851" s="21"/>
      <c r="C1851" s="19"/>
      <c r="D1851" s="18"/>
      <c r="E1851" s="17"/>
      <c r="F1851" s="18"/>
      <c r="G1851" s="18"/>
      <c r="H1851" s="21"/>
      <c r="I1851" s="19"/>
      <c r="J1851" s="8" t="str">
        <f aca="false">IF(OR(E1851="",F1851=""),"",E1851*F1851)</f>
        <v/>
      </c>
      <c r="K1851" s="22" t="str">
        <f aca="false">IF($M1851="","",INDEX('Программа тренировок'!$G$6:$G$25,$M1851))</f>
        <v/>
      </c>
      <c r="L1851" s="23" t="str">
        <f aca="false">IF(OR($M1851="",$F1851="",$G1851=""),"",IF($H1851="Разминка","Разминка",IF($F1851&lt;INDEX('Программа тренировок'!$E$6:$E$25,$M1851),"Ниже диапазона",IF(AND($F1851&gt;=INDEX('Программа тренировок'!$F$6:$F$25,$M1851),$G1851&gt;=INDEX('Программа тренировок'!$L$6:$L$25,$M1851)),"Верх диапазона: пора добавлять вес",IF($G1851&lt;INDEX('Программа тренировок'!$L$6:$L$25,$M1851),"RIR ниже цели","В диапазоне")))))</f>
        <v/>
      </c>
      <c r="M1851" s="23" t="str">
        <f aca="false">IF($C1851="","",IFERROR(MATCH($C1851,'Программа тренировок'!$C$6:$C$25,0),""))</f>
        <v/>
      </c>
    </row>
    <row r="1852" customFormat="false" ht="15" hidden="false" customHeight="true" outlineLevel="0" collapsed="false">
      <c r="A1852" s="20"/>
      <c r="B1852" s="21"/>
      <c r="C1852" s="19"/>
      <c r="D1852" s="18"/>
      <c r="E1852" s="17"/>
      <c r="F1852" s="18"/>
      <c r="G1852" s="18"/>
      <c r="H1852" s="21"/>
      <c r="I1852" s="19"/>
      <c r="J1852" s="8" t="str">
        <f aca="false">IF(OR(E1852="",F1852=""),"",E1852*F1852)</f>
        <v/>
      </c>
      <c r="K1852" s="22" t="str">
        <f aca="false">IF($M1852="","",INDEX('Программа тренировок'!$G$6:$G$25,$M1852))</f>
        <v/>
      </c>
      <c r="L1852" s="23" t="str">
        <f aca="false">IF(OR($M1852="",$F1852="",$G1852=""),"",IF($H1852="Разминка","Разминка",IF($F1852&lt;INDEX('Программа тренировок'!$E$6:$E$25,$M1852),"Ниже диапазона",IF(AND($F1852&gt;=INDEX('Программа тренировок'!$F$6:$F$25,$M1852),$G1852&gt;=INDEX('Программа тренировок'!$L$6:$L$25,$M1852)),"Верх диапазона: пора добавлять вес",IF($G1852&lt;INDEX('Программа тренировок'!$L$6:$L$25,$M1852),"RIR ниже цели","В диапазоне")))))</f>
        <v/>
      </c>
      <c r="M1852" s="23" t="str">
        <f aca="false">IF($C1852="","",IFERROR(MATCH($C1852,'Программа тренировок'!$C$6:$C$25,0),""))</f>
        <v/>
      </c>
    </row>
    <row r="1853" customFormat="false" ht="15" hidden="false" customHeight="true" outlineLevel="0" collapsed="false">
      <c r="A1853" s="20"/>
      <c r="B1853" s="21"/>
      <c r="C1853" s="19"/>
      <c r="D1853" s="18"/>
      <c r="E1853" s="17"/>
      <c r="F1853" s="18"/>
      <c r="G1853" s="18"/>
      <c r="H1853" s="21"/>
      <c r="I1853" s="19"/>
      <c r="J1853" s="8" t="str">
        <f aca="false">IF(OR(E1853="",F1853=""),"",E1853*F1853)</f>
        <v/>
      </c>
      <c r="K1853" s="22" t="str">
        <f aca="false">IF($M1853="","",INDEX('Программа тренировок'!$G$6:$G$25,$M1853))</f>
        <v/>
      </c>
      <c r="L1853" s="23" t="str">
        <f aca="false">IF(OR($M1853="",$F1853="",$G1853=""),"",IF($H1853="Разминка","Разминка",IF($F1853&lt;INDEX('Программа тренировок'!$E$6:$E$25,$M1853),"Ниже диапазона",IF(AND($F1853&gt;=INDEX('Программа тренировок'!$F$6:$F$25,$M1853),$G1853&gt;=INDEX('Программа тренировок'!$L$6:$L$25,$M1853)),"Верх диапазона: пора добавлять вес",IF($G1853&lt;INDEX('Программа тренировок'!$L$6:$L$25,$M1853),"RIR ниже цели","В диапазоне")))))</f>
        <v/>
      </c>
      <c r="M1853" s="23" t="str">
        <f aca="false">IF($C1853="","",IFERROR(MATCH($C1853,'Программа тренировок'!$C$6:$C$25,0),""))</f>
        <v/>
      </c>
    </row>
    <row r="1854" customFormat="false" ht="15" hidden="false" customHeight="true" outlineLevel="0" collapsed="false">
      <c r="A1854" s="20"/>
      <c r="B1854" s="21"/>
      <c r="C1854" s="19"/>
      <c r="D1854" s="18"/>
      <c r="E1854" s="17"/>
      <c r="F1854" s="18"/>
      <c r="G1854" s="18"/>
      <c r="H1854" s="21"/>
      <c r="I1854" s="19"/>
      <c r="J1854" s="8" t="str">
        <f aca="false">IF(OR(E1854="",F1854=""),"",E1854*F1854)</f>
        <v/>
      </c>
      <c r="K1854" s="22" t="str">
        <f aca="false">IF($M1854="","",INDEX('Программа тренировок'!$G$6:$G$25,$M1854))</f>
        <v/>
      </c>
      <c r="L1854" s="23" t="str">
        <f aca="false">IF(OR($M1854="",$F1854="",$G1854=""),"",IF($H1854="Разминка","Разминка",IF($F1854&lt;INDEX('Программа тренировок'!$E$6:$E$25,$M1854),"Ниже диапазона",IF(AND($F1854&gt;=INDEX('Программа тренировок'!$F$6:$F$25,$M1854),$G1854&gt;=INDEX('Программа тренировок'!$L$6:$L$25,$M1854)),"Верх диапазона: пора добавлять вес",IF($G1854&lt;INDEX('Программа тренировок'!$L$6:$L$25,$M1854),"RIR ниже цели","В диапазоне")))))</f>
        <v/>
      </c>
      <c r="M1854" s="23" t="str">
        <f aca="false">IF($C1854="","",IFERROR(MATCH($C1854,'Программа тренировок'!$C$6:$C$25,0),""))</f>
        <v/>
      </c>
    </row>
    <row r="1855" customFormat="false" ht="15" hidden="false" customHeight="true" outlineLevel="0" collapsed="false">
      <c r="A1855" s="20"/>
      <c r="B1855" s="21"/>
      <c r="C1855" s="19"/>
      <c r="D1855" s="18"/>
      <c r="E1855" s="17"/>
      <c r="F1855" s="18"/>
      <c r="G1855" s="18"/>
      <c r="H1855" s="21"/>
      <c r="I1855" s="19"/>
      <c r="J1855" s="8" t="str">
        <f aca="false">IF(OR(E1855="",F1855=""),"",E1855*F1855)</f>
        <v/>
      </c>
      <c r="K1855" s="22" t="str">
        <f aca="false">IF($M1855="","",INDEX('Программа тренировок'!$G$6:$G$25,$M1855))</f>
        <v/>
      </c>
      <c r="L1855" s="23" t="str">
        <f aca="false">IF(OR($M1855="",$F1855="",$G1855=""),"",IF($H1855="Разминка","Разминка",IF($F1855&lt;INDEX('Программа тренировок'!$E$6:$E$25,$M1855),"Ниже диапазона",IF(AND($F1855&gt;=INDEX('Программа тренировок'!$F$6:$F$25,$M1855),$G1855&gt;=INDEX('Программа тренировок'!$L$6:$L$25,$M1855)),"Верх диапазона: пора добавлять вес",IF($G1855&lt;INDEX('Программа тренировок'!$L$6:$L$25,$M1855),"RIR ниже цели","В диапазоне")))))</f>
        <v/>
      </c>
      <c r="M1855" s="23" t="str">
        <f aca="false">IF($C1855="","",IFERROR(MATCH($C1855,'Программа тренировок'!$C$6:$C$25,0),""))</f>
        <v/>
      </c>
    </row>
    <row r="1856" customFormat="false" ht="15" hidden="false" customHeight="true" outlineLevel="0" collapsed="false">
      <c r="A1856" s="20"/>
      <c r="B1856" s="21"/>
      <c r="C1856" s="19"/>
      <c r="D1856" s="18"/>
      <c r="E1856" s="17"/>
      <c r="F1856" s="18"/>
      <c r="G1856" s="18"/>
      <c r="H1856" s="21"/>
      <c r="I1856" s="19"/>
      <c r="J1856" s="8" t="str">
        <f aca="false">IF(OR(E1856="",F1856=""),"",E1856*F1856)</f>
        <v/>
      </c>
      <c r="K1856" s="22" t="str">
        <f aca="false">IF($M1856="","",INDEX('Программа тренировок'!$G$6:$G$25,$M1856))</f>
        <v/>
      </c>
      <c r="L1856" s="23" t="str">
        <f aca="false">IF(OR($M1856="",$F1856="",$G1856=""),"",IF($H1856="Разминка","Разминка",IF($F1856&lt;INDEX('Программа тренировок'!$E$6:$E$25,$M1856),"Ниже диапазона",IF(AND($F1856&gt;=INDEX('Программа тренировок'!$F$6:$F$25,$M1856),$G1856&gt;=INDEX('Программа тренировок'!$L$6:$L$25,$M1856)),"Верх диапазона: пора добавлять вес",IF($G1856&lt;INDEX('Программа тренировок'!$L$6:$L$25,$M1856),"RIR ниже цели","В диапазоне")))))</f>
        <v/>
      </c>
      <c r="M1856" s="23" t="str">
        <f aca="false">IF($C1856="","",IFERROR(MATCH($C1856,'Программа тренировок'!$C$6:$C$25,0),""))</f>
        <v/>
      </c>
    </row>
    <row r="1857" customFormat="false" ht="15" hidden="false" customHeight="true" outlineLevel="0" collapsed="false">
      <c r="A1857" s="20"/>
      <c r="B1857" s="21"/>
      <c r="C1857" s="19"/>
      <c r="D1857" s="18"/>
      <c r="E1857" s="17"/>
      <c r="F1857" s="18"/>
      <c r="G1857" s="18"/>
      <c r="H1857" s="21"/>
      <c r="I1857" s="19"/>
      <c r="J1857" s="8" t="str">
        <f aca="false">IF(OR(E1857="",F1857=""),"",E1857*F1857)</f>
        <v/>
      </c>
      <c r="K1857" s="22" t="str">
        <f aca="false">IF($M1857="","",INDEX('Программа тренировок'!$G$6:$G$25,$M1857))</f>
        <v/>
      </c>
      <c r="L1857" s="23" t="str">
        <f aca="false">IF(OR($M1857="",$F1857="",$G1857=""),"",IF($H1857="Разминка","Разминка",IF($F1857&lt;INDEX('Программа тренировок'!$E$6:$E$25,$M1857),"Ниже диапазона",IF(AND($F1857&gt;=INDEX('Программа тренировок'!$F$6:$F$25,$M1857),$G1857&gt;=INDEX('Программа тренировок'!$L$6:$L$25,$M1857)),"Верх диапазона: пора добавлять вес",IF($G1857&lt;INDEX('Программа тренировок'!$L$6:$L$25,$M1857),"RIR ниже цели","В диапазоне")))))</f>
        <v/>
      </c>
      <c r="M1857" s="23" t="str">
        <f aca="false">IF($C1857="","",IFERROR(MATCH($C1857,'Программа тренировок'!$C$6:$C$25,0),""))</f>
        <v/>
      </c>
    </row>
    <row r="1858" customFormat="false" ht="15" hidden="false" customHeight="true" outlineLevel="0" collapsed="false">
      <c r="A1858" s="20"/>
      <c r="B1858" s="21"/>
      <c r="C1858" s="19"/>
      <c r="D1858" s="18"/>
      <c r="E1858" s="17"/>
      <c r="F1858" s="18"/>
      <c r="G1858" s="18"/>
      <c r="H1858" s="21"/>
      <c r="I1858" s="19"/>
      <c r="J1858" s="8" t="str">
        <f aca="false">IF(OR(E1858="",F1858=""),"",E1858*F1858)</f>
        <v/>
      </c>
      <c r="K1858" s="22" t="str">
        <f aca="false">IF($M1858="","",INDEX('Программа тренировок'!$G$6:$G$25,$M1858))</f>
        <v/>
      </c>
      <c r="L1858" s="23" t="str">
        <f aca="false">IF(OR($M1858="",$F1858="",$G1858=""),"",IF($H1858="Разминка","Разминка",IF($F1858&lt;INDEX('Программа тренировок'!$E$6:$E$25,$M1858),"Ниже диапазона",IF(AND($F1858&gt;=INDEX('Программа тренировок'!$F$6:$F$25,$M1858),$G1858&gt;=INDEX('Программа тренировок'!$L$6:$L$25,$M1858)),"Верх диапазона: пора добавлять вес",IF($G1858&lt;INDEX('Программа тренировок'!$L$6:$L$25,$M1858),"RIR ниже цели","В диапазоне")))))</f>
        <v/>
      </c>
      <c r="M1858" s="23" t="str">
        <f aca="false">IF($C1858="","",IFERROR(MATCH($C1858,'Программа тренировок'!$C$6:$C$25,0),""))</f>
        <v/>
      </c>
    </row>
    <row r="1859" customFormat="false" ht="15" hidden="false" customHeight="true" outlineLevel="0" collapsed="false">
      <c r="A1859" s="20"/>
      <c r="B1859" s="21"/>
      <c r="C1859" s="19"/>
      <c r="D1859" s="18"/>
      <c r="E1859" s="17"/>
      <c r="F1859" s="18"/>
      <c r="G1859" s="18"/>
      <c r="H1859" s="21"/>
      <c r="I1859" s="19"/>
      <c r="J1859" s="8" t="str">
        <f aca="false">IF(OR(E1859="",F1859=""),"",E1859*F1859)</f>
        <v/>
      </c>
      <c r="K1859" s="22" t="str">
        <f aca="false">IF($M1859="","",INDEX('Программа тренировок'!$G$6:$G$25,$M1859))</f>
        <v/>
      </c>
      <c r="L1859" s="23" t="str">
        <f aca="false">IF(OR($M1859="",$F1859="",$G1859=""),"",IF($H1859="Разминка","Разминка",IF($F1859&lt;INDEX('Программа тренировок'!$E$6:$E$25,$M1859),"Ниже диапазона",IF(AND($F1859&gt;=INDEX('Программа тренировок'!$F$6:$F$25,$M1859),$G1859&gt;=INDEX('Программа тренировок'!$L$6:$L$25,$M1859)),"Верх диапазона: пора добавлять вес",IF($G1859&lt;INDEX('Программа тренировок'!$L$6:$L$25,$M1859),"RIR ниже цели","В диапазоне")))))</f>
        <v/>
      </c>
      <c r="M1859" s="23" t="str">
        <f aca="false">IF($C1859="","",IFERROR(MATCH($C1859,'Программа тренировок'!$C$6:$C$25,0),""))</f>
        <v/>
      </c>
    </row>
    <row r="1860" customFormat="false" ht="15" hidden="false" customHeight="true" outlineLevel="0" collapsed="false">
      <c r="A1860" s="20"/>
      <c r="B1860" s="21"/>
      <c r="C1860" s="19"/>
      <c r="D1860" s="18"/>
      <c r="E1860" s="17"/>
      <c r="F1860" s="18"/>
      <c r="G1860" s="18"/>
      <c r="H1860" s="21"/>
      <c r="I1860" s="19"/>
      <c r="J1860" s="8" t="str">
        <f aca="false">IF(OR(E1860="",F1860=""),"",E1860*F1860)</f>
        <v/>
      </c>
      <c r="K1860" s="22" t="str">
        <f aca="false">IF($M1860="","",INDEX('Программа тренировок'!$G$6:$G$25,$M1860))</f>
        <v/>
      </c>
      <c r="L1860" s="23" t="str">
        <f aca="false">IF(OR($M1860="",$F1860="",$G1860=""),"",IF($H1860="Разминка","Разминка",IF($F1860&lt;INDEX('Программа тренировок'!$E$6:$E$25,$M1860),"Ниже диапазона",IF(AND($F1860&gt;=INDEX('Программа тренировок'!$F$6:$F$25,$M1860),$G1860&gt;=INDEX('Программа тренировок'!$L$6:$L$25,$M1860)),"Верх диапазона: пора добавлять вес",IF($G1860&lt;INDEX('Программа тренировок'!$L$6:$L$25,$M1860),"RIR ниже цели","В диапазоне")))))</f>
        <v/>
      </c>
      <c r="M1860" s="23" t="str">
        <f aca="false">IF($C1860="","",IFERROR(MATCH($C1860,'Программа тренировок'!$C$6:$C$25,0),""))</f>
        <v/>
      </c>
    </row>
    <row r="1861" customFormat="false" ht="15" hidden="false" customHeight="true" outlineLevel="0" collapsed="false">
      <c r="A1861" s="20"/>
      <c r="B1861" s="21"/>
      <c r="C1861" s="19"/>
      <c r="D1861" s="18"/>
      <c r="E1861" s="17"/>
      <c r="F1861" s="18"/>
      <c r="G1861" s="18"/>
      <c r="H1861" s="21"/>
      <c r="I1861" s="19"/>
      <c r="J1861" s="8" t="str">
        <f aca="false">IF(OR(E1861="",F1861=""),"",E1861*F1861)</f>
        <v/>
      </c>
      <c r="K1861" s="22" t="str">
        <f aca="false">IF($M1861="","",INDEX('Программа тренировок'!$G$6:$G$25,$M1861))</f>
        <v/>
      </c>
      <c r="L1861" s="23" t="str">
        <f aca="false">IF(OR($M1861="",$F1861="",$G1861=""),"",IF($H1861="Разминка","Разминка",IF($F1861&lt;INDEX('Программа тренировок'!$E$6:$E$25,$M1861),"Ниже диапазона",IF(AND($F1861&gt;=INDEX('Программа тренировок'!$F$6:$F$25,$M1861),$G1861&gt;=INDEX('Программа тренировок'!$L$6:$L$25,$M1861)),"Верх диапазона: пора добавлять вес",IF($G1861&lt;INDEX('Программа тренировок'!$L$6:$L$25,$M1861),"RIR ниже цели","В диапазоне")))))</f>
        <v/>
      </c>
      <c r="M1861" s="23" t="str">
        <f aca="false">IF($C1861="","",IFERROR(MATCH($C1861,'Программа тренировок'!$C$6:$C$25,0),""))</f>
        <v/>
      </c>
    </row>
    <row r="1862" customFormat="false" ht="15" hidden="false" customHeight="true" outlineLevel="0" collapsed="false">
      <c r="A1862" s="20"/>
      <c r="B1862" s="21"/>
      <c r="C1862" s="19"/>
      <c r="D1862" s="18"/>
      <c r="E1862" s="17"/>
      <c r="F1862" s="18"/>
      <c r="G1862" s="18"/>
      <c r="H1862" s="21"/>
      <c r="I1862" s="19"/>
      <c r="J1862" s="8" t="str">
        <f aca="false">IF(OR(E1862="",F1862=""),"",E1862*F1862)</f>
        <v/>
      </c>
      <c r="K1862" s="22" t="str">
        <f aca="false">IF($M1862="","",INDEX('Программа тренировок'!$G$6:$G$25,$M1862))</f>
        <v/>
      </c>
      <c r="L1862" s="23" t="str">
        <f aca="false">IF(OR($M1862="",$F1862="",$G1862=""),"",IF($H1862="Разминка","Разминка",IF($F1862&lt;INDEX('Программа тренировок'!$E$6:$E$25,$M1862),"Ниже диапазона",IF(AND($F1862&gt;=INDEX('Программа тренировок'!$F$6:$F$25,$M1862),$G1862&gt;=INDEX('Программа тренировок'!$L$6:$L$25,$M1862)),"Верх диапазона: пора добавлять вес",IF($G1862&lt;INDEX('Программа тренировок'!$L$6:$L$25,$M1862),"RIR ниже цели","В диапазоне")))))</f>
        <v/>
      </c>
      <c r="M1862" s="23" t="str">
        <f aca="false">IF($C1862="","",IFERROR(MATCH($C1862,'Программа тренировок'!$C$6:$C$25,0),""))</f>
        <v/>
      </c>
    </row>
    <row r="1863" customFormat="false" ht="15" hidden="false" customHeight="true" outlineLevel="0" collapsed="false">
      <c r="A1863" s="20"/>
      <c r="B1863" s="21"/>
      <c r="C1863" s="19"/>
      <c r="D1863" s="18"/>
      <c r="E1863" s="17"/>
      <c r="F1863" s="18"/>
      <c r="G1863" s="18"/>
      <c r="H1863" s="21"/>
      <c r="I1863" s="19"/>
      <c r="J1863" s="8" t="str">
        <f aca="false">IF(OR(E1863="",F1863=""),"",E1863*F1863)</f>
        <v/>
      </c>
      <c r="K1863" s="22" t="str">
        <f aca="false">IF($M1863="","",INDEX('Программа тренировок'!$G$6:$G$25,$M1863))</f>
        <v/>
      </c>
      <c r="L1863" s="23" t="str">
        <f aca="false">IF(OR($M1863="",$F1863="",$G1863=""),"",IF($H1863="Разминка","Разминка",IF($F1863&lt;INDEX('Программа тренировок'!$E$6:$E$25,$M1863),"Ниже диапазона",IF(AND($F1863&gt;=INDEX('Программа тренировок'!$F$6:$F$25,$M1863),$G1863&gt;=INDEX('Программа тренировок'!$L$6:$L$25,$M1863)),"Верх диапазона: пора добавлять вес",IF($G1863&lt;INDEX('Программа тренировок'!$L$6:$L$25,$M1863),"RIR ниже цели","В диапазоне")))))</f>
        <v/>
      </c>
      <c r="M1863" s="23" t="str">
        <f aca="false">IF($C1863="","",IFERROR(MATCH($C1863,'Программа тренировок'!$C$6:$C$25,0),""))</f>
        <v/>
      </c>
    </row>
    <row r="1864" customFormat="false" ht="15" hidden="false" customHeight="true" outlineLevel="0" collapsed="false">
      <c r="A1864" s="20"/>
      <c r="B1864" s="21"/>
      <c r="C1864" s="19"/>
      <c r="D1864" s="18"/>
      <c r="E1864" s="17"/>
      <c r="F1864" s="18"/>
      <c r="G1864" s="18"/>
      <c r="H1864" s="21"/>
      <c r="I1864" s="19"/>
      <c r="J1864" s="8" t="str">
        <f aca="false">IF(OR(E1864="",F1864=""),"",E1864*F1864)</f>
        <v/>
      </c>
      <c r="K1864" s="22" t="str">
        <f aca="false">IF($M1864="","",INDEX('Программа тренировок'!$G$6:$G$25,$M1864))</f>
        <v/>
      </c>
      <c r="L1864" s="23" t="str">
        <f aca="false">IF(OR($M1864="",$F1864="",$G1864=""),"",IF($H1864="Разминка","Разминка",IF($F1864&lt;INDEX('Программа тренировок'!$E$6:$E$25,$M1864),"Ниже диапазона",IF(AND($F1864&gt;=INDEX('Программа тренировок'!$F$6:$F$25,$M1864),$G1864&gt;=INDEX('Программа тренировок'!$L$6:$L$25,$M1864)),"Верх диапазона: пора добавлять вес",IF($G1864&lt;INDEX('Программа тренировок'!$L$6:$L$25,$M1864),"RIR ниже цели","В диапазоне")))))</f>
        <v/>
      </c>
      <c r="M1864" s="23" t="str">
        <f aca="false">IF($C1864="","",IFERROR(MATCH($C1864,'Программа тренировок'!$C$6:$C$25,0),""))</f>
        <v/>
      </c>
    </row>
    <row r="1865" customFormat="false" ht="15" hidden="false" customHeight="true" outlineLevel="0" collapsed="false">
      <c r="A1865" s="20"/>
      <c r="B1865" s="21"/>
      <c r="C1865" s="19"/>
      <c r="D1865" s="18"/>
      <c r="E1865" s="17"/>
      <c r="F1865" s="18"/>
      <c r="G1865" s="18"/>
      <c r="H1865" s="21"/>
      <c r="I1865" s="19"/>
      <c r="J1865" s="8" t="str">
        <f aca="false">IF(OR(E1865="",F1865=""),"",E1865*F1865)</f>
        <v/>
      </c>
      <c r="K1865" s="22" t="str">
        <f aca="false">IF($M1865="","",INDEX('Программа тренировок'!$G$6:$G$25,$M1865))</f>
        <v/>
      </c>
      <c r="L1865" s="23" t="str">
        <f aca="false">IF(OR($M1865="",$F1865="",$G1865=""),"",IF($H1865="Разминка","Разминка",IF($F1865&lt;INDEX('Программа тренировок'!$E$6:$E$25,$M1865),"Ниже диапазона",IF(AND($F1865&gt;=INDEX('Программа тренировок'!$F$6:$F$25,$M1865),$G1865&gt;=INDEX('Программа тренировок'!$L$6:$L$25,$M1865)),"Верх диапазона: пора добавлять вес",IF($G1865&lt;INDEX('Программа тренировок'!$L$6:$L$25,$M1865),"RIR ниже цели","В диапазоне")))))</f>
        <v/>
      </c>
      <c r="M1865" s="23" t="str">
        <f aca="false">IF($C1865="","",IFERROR(MATCH($C1865,'Программа тренировок'!$C$6:$C$25,0),""))</f>
        <v/>
      </c>
    </row>
    <row r="1866" customFormat="false" ht="15" hidden="false" customHeight="true" outlineLevel="0" collapsed="false">
      <c r="A1866" s="20"/>
      <c r="B1866" s="21"/>
      <c r="C1866" s="19"/>
      <c r="D1866" s="18"/>
      <c r="E1866" s="17"/>
      <c r="F1866" s="18"/>
      <c r="G1866" s="18"/>
      <c r="H1866" s="21"/>
      <c r="I1866" s="19"/>
      <c r="J1866" s="8" t="str">
        <f aca="false">IF(OR(E1866="",F1866=""),"",E1866*F1866)</f>
        <v/>
      </c>
      <c r="K1866" s="22" t="str">
        <f aca="false">IF($M1866="","",INDEX('Программа тренировок'!$G$6:$G$25,$M1866))</f>
        <v/>
      </c>
      <c r="L1866" s="23" t="str">
        <f aca="false">IF(OR($M1866="",$F1866="",$G1866=""),"",IF($H1866="Разминка","Разминка",IF($F1866&lt;INDEX('Программа тренировок'!$E$6:$E$25,$M1866),"Ниже диапазона",IF(AND($F1866&gt;=INDEX('Программа тренировок'!$F$6:$F$25,$M1866),$G1866&gt;=INDEX('Программа тренировок'!$L$6:$L$25,$M1866)),"Верх диапазона: пора добавлять вес",IF($G1866&lt;INDEX('Программа тренировок'!$L$6:$L$25,$M1866),"RIR ниже цели","В диапазоне")))))</f>
        <v/>
      </c>
      <c r="M1866" s="23" t="str">
        <f aca="false">IF($C1866="","",IFERROR(MATCH($C1866,'Программа тренировок'!$C$6:$C$25,0),""))</f>
        <v/>
      </c>
    </row>
    <row r="1867" customFormat="false" ht="15" hidden="false" customHeight="true" outlineLevel="0" collapsed="false">
      <c r="A1867" s="20"/>
      <c r="B1867" s="21"/>
      <c r="C1867" s="19"/>
      <c r="D1867" s="18"/>
      <c r="E1867" s="17"/>
      <c r="F1867" s="18"/>
      <c r="G1867" s="18"/>
      <c r="H1867" s="21"/>
      <c r="I1867" s="19"/>
      <c r="J1867" s="8" t="str">
        <f aca="false">IF(OR(E1867="",F1867=""),"",E1867*F1867)</f>
        <v/>
      </c>
      <c r="K1867" s="22" t="str">
        <f aca="false">IF($M1867="","",INDEX('Программа тренировок'!$G$6:$G$25,$M1867))</f>
        <v/>
      </c>
      <c r="L1867" s="23" t="str">
        <f aca="false">IF(OR($M1867="",$F1867="",$G1867=""),"",IF($H1867="Разминка","Разминка",IF($F1867&lt;INDEX('Программа тренировок'!$E$6:$E$25,$M1867),"Ниже диапазона",IF(AND($F1867&gt;=INDEX('Программа тренировок'!$F$6:$F$25,$M1867),$G1867&gt;=INDEX('Программа тренировок'!$L$6:$L$25,$M1867)),"Верх диапазона: пора добавлять вес",IF($G1867&lt;INDEX('Программа тренировок'!$L$6:$L$25,$M1867),"RIR ниже цели","В диапазоне")))))</f>
        <v/>
      </c>
      <c r="M1867" s="23" t="str">
        <f aca="false">IF($C1867="","",IFERROR(MATCH($C1867,'Программа тренировок'!$C$6:$C$25,0),""))</f>
        <v/>
      </c>
    </row>
    <row r="1868" customFormat="false" ht="15" hidden="false" customHeight="true" outlineLevel="0" collapsed="false">
      <c r="A1868" s="20"/>
      <c r="B1868" s="21"/>
      <c r="C1868" s="19"/>
      <c r="D1868" s="18"/>
      <c r="E1868" s="17"/>
      <c r="F1868" s="18"/>
      <c r="G1868" s="18"/>
      <c r="H1868" s="21"/>
      <c r="I1868" s="19"/>
      <c r="J1868" s="8" t="str">
        <f aca="false">IF(OR(E1868="",F1868=""),"",E1868*F1868)</f>
        <v/>
      </c>
      <c r="K1868" s="22" t="str">
        <f aca="false">IF($M1868="","",INDEX('Программа тренировок'!$G$6:$G$25,$M1868))</f>
        <v/>
      </c>
      <c r="L1868" s="23" t="str">
        <f aca="false">IF(OR($M1868="",$F1868="",$G1868=""),"",IF($H1868="Разминка","Разминка",IF($F1868&lt;INDEX('Программа тренировок'!$E$6:$E$25,$M1868),"Ниже диапазона",IF(AND($F1868&gt;=INDEX('Программа тренировок'!$F$6:$F$25,$M1868),$G1868&gt;=INDEX('Программа тренировок'!$L$6:$L$25,$M1868)),"Верх диапазона: пора добавлять вес",IF($G1868&lt;INDEX('Программа тренировок'!$L$6:$L$25,$M1868),"RIR ниже цели","В диапазоне")))))</f>
        <v/>
      </c>
      <c r="M1868" s="23" t="str">
        <f aca="false">IF($C1868="","",IFERROR(MATCH($C1868,'Программа тренировок'!$C$6:$C$25,0),""))</f>
        <v/>
      </c>
    </row>
    <row r="1869" customFormat="false" ht="15" hidden="false" customHeight="true" outlineLevel="0" collapsed="false">
      <c r="A1869" s="20"/>
      <c r="B1869" s="21"/>
      <c r="C1869" s="19"/>
      <c r="D1869" s="18"/>
      <c r="E1869" s="17"/>
      <c r="F1869" s="18"/>
      <c r="G1869" s="18"/>
      <c r="H1869" s="21"/>
      <c r="I1869" s="19"/>
      <c r="J1869" s="8" t="str">
        <f aca="false">IF(OR(E1869="",F1869=""),"",E1869*F1869)</f>
        <v/>
      </c>
      <c r="K1869" s="22" t="str">
        <f aca="false">IF($M1869="","",INDEX('Программа тренировок'!$G$6:$G$25,$M1869))</f>
        <v/>
      </c>
      <c r="L1869" s="23" t="str">
        <f aca="false">IF(OR($M1869="",$F1869="",$G1869=""),"",IF($H1869="Разминка","Разминка",IF($F1869&lt;INDEX('Программа тренировок'!$E$6:$E$25,$M1869),"Ниже диапазона",IF(AND($F1869&gt;=INDEX('Программа тренировок'!$F$6:$F$25,$M1869),$G1869&gt;=INDEX('Программа тренировок'!$L$6:$L$25,$M1869)),"Верх диапазона: пора добавлять вес",IF($G1869&lt;INDEX('Программа тренировок'!$L$6:$L$25,$M1869),"RIR ниже цели","В диапазоне")))))</f>
        <v/>
      </c>
      <c r="M1869" s="23" t="str">
        <f aca="false">IF($C1869="","",IFERROR(MATCH($C1869,'Программа тренировок'!$C$6:$C$25,0),""))</f>
        <v/>
      </c>
    </row>
    <row r="1870" customFormat="false" ht="15" hidden="false" customHeight="true" outlineLevel="0" collapsed="false">
      <c r="A1870" s="20"/>
      <c r="B1870" s="21"/>
      <c r="C1870" s="19"/>
      <c r="D1870" s="18"/>
      <c r="E1870" s="17"/>
      <c r="F1870" s="18"/>
      <c r="G1870" s="18"/>
      <c r="H1870" s="21"/>
      <c r="I1870" s="19"/>
      <c r="J1870" s="8" t="str">
        <f aca="false">IF(OR(E1870="",F1870=""),"",E1870*F1870)</f>
        <v/>
      </c>
      <c r="K1870" s="22" t="str">
        <f aca="false">IF($M1870="","",INDEX('Программа тренировок'!$G$6:$G$25,$M1870))</f>
        <v/>
      </c>
      <c r="L1870" s="23" t="str">
        <f aca="false">IF(OR($M1870="",$F1870="",$G1870=""),"",IF($H1870="Разминка","Разминка",IF($F1870&lt;INDEX('Программа тренировок'!$E$6:$E$25,$M1870),"Ниже диапазона",IF(AND($F1870&gt;=INDEX('Программа тренировок'!$F$6:$F$25,$M1870),$G1870&gt;=INDEX('Программа тренировок'!$L$6:$L$25,$M1870)),"Верх диапазона: пора добавлять вес",IF($G1870&lt;INDEX('Программа тренировок'!$L$6:$L$25,$M1870),"RIR ниже цели","В диапазоне")))))</f>
        <v/>
      </c>
      <c r="M1870" s="23" t="str">
        <f aca="false">IF($C1870="","",IFERROR(MATCH($C1870,'Программа тренировок'!$C$6:$C$25,0),""))</f>
        <v/>
      </c>
    </row>
    <row r="1871" customFormat="false" ht="15" hidden="false" customHeight="true" outlineLevel="0" collapsed="false">
      <c r="A1871" s="20"/>
      <c r="B1871" s="21"/>
      <c r="C1871" s="19"/>
      <c r="D1871" s="18"/>
      <c r="E1871" s="17"/>
      <c r="F1871" s="18"/>
      <c r="G1871" s="18"/>
      <c r="H1871" s="21"/>
      <c r="I1871" s="19"/>
      <c r="J1871" s="8" t="str">
        <f aca="false">IF(OR(E1871="",F1871=""),"",E1871*F1871)</f>
        <v/>
      </c>
      <c r="K1871" s="22" t="str">
        <f aca="false">IF($M1871="","",INDEX('Программа тренировок'!$G$6:$G$25,$M1871))</f>
        <v/>
      </c>
      <c r="L1871" s="23" t="str">
        <f aca="false">IF(OR($M1871="",$F1871="",$G1871=""),"",IF($H1871="Разминка","Разминка",IF($F1871&lt;INDEX('Программа тренировок'!$E$6:$E$25,$M1871),"Ниже диапазона",IF(AND($F1871&gt;=INDEX('Программа тренировок'!$F$6:$F$25,$M1871),$G1871&gt;=INDEX('Программа тренировок'!$L$6:$L$25,$M1871)),"Верх диапазона: пора добавлять вес",IF($G1871&lt;INDEX('Программа тренировок'!$L$6:$L$25,$M1871),"RIR ниже цели","В диапазоне")))))</f>
        <v/>
      </c>
      <c r="M1871" s="23" t="str">
        <f aca="false">IF($C1871="","",IFERROR(MATCH($C1871,'Программа тренировок'!$C$6:$C$25,0),""))</f>
        <v/>
      </c>
    </row>
    <row r="1872" customFormat="false" ht="15" hidden="false" customHeight="true" outlineLevel="0" collapsed="false">
      <c r="A1872" s="20"/>
      <c r="B1872" s="21"/>
      <c r="C1872" s="19"/>
      <c r="D1872" s="18"/>
      <c r="E1872" s="17"/>
      <c r="F1872" s="18"/>
      <c r="G1872" s="18"/>
      <c r="H1872" s="21"/>
      <c r="I1872" s="19"/>
      <c r="J1872" s="8" t="str">
        <f aca="false">IF(OR(E1872="",F1872=""),"",E1872*F1872)</f>
        <v/>
      </c>
      <c r="K1872" s="22" t="str">
        <f aca="false">IF($M1872="","",INDEX('Программа тренировок'!$G$6:$G$25,$M1872))</f>
        <v/>
      </c>
      <c r="L1872" s="23" t="str">
        <f aca="false">IF(OR($M1872="",$F1872="",$G1872=""),"",IF($H1872="Разминка","Разминка",IF($F1872&lt;INDEX('Программа тренировок'!$E$6:$E$25,$M1872),"Ниже диапазона",IF(AND($F1872&gt;=INDEX('Программа тренировок'!$F$6:$F$25,$M1872),$G1872&gt;=INDEX('Программа тренировок'!$L$6:$L$25,$M1872)),"Верх диапазона: пора добавлять вес",IF($G1872&lt;INDEX('Программа тренировок'!$L$6:$L$25,$M1872),"RIR ниже цели","В диапазоне")))))</f>
        <v/>
      </c>
      <c r="M1872" s="23" t="str">
        <f aca="false">IF($C1872="","",IFERROR(MATCH($C1872,'Программа тренировок'!$C$6:$C$25,0),""))</f>
        <v/>
      </c>
    </row>
    <row r="1873" customFormat="false" ht="15" hidden="false" customHeight="true" outlineLevel="0" collapsed="false">
      <c r="A1873" s="20"/>
      <c r="B1873" s="21"/>
      <c r="C1873" s="19"/>
      <c r="D1873" s="18"/>
      <c r="E1873" s="17"/>
      <c r="F1873" s="18"/>
      <c r="G1873" s="18"/>
      <c r="H1873" s="21"/>
      <c r="I1873" s="19"/>
      <c r="J1873" s="8" t="str">
        <f aca="false">IF(OR(E1873="",F1873=""),"",E1873*F1873)</f>
        <v/>
      </c>
      <c r="K1873" s="22" t="str">
        <f aca="false">IF($M1873="","",INDEX('Программа тренировок'!$G$6:$G$25,$M1873))</f>
        <v/>
      </c>
      <c r="L1873" s="23" t="str">
        <f aca="false">IF(OR($M1873="",$F1873="",$G1873=""),"",IF($H1873="Разминка","Разминка",IF($F1873&lt;INDEX('Программа тренировок'!$E$6:$E$25,$M1873),"Ниже диапазона",IF(AND($F1873&gt;=INDEX('Программа тренировок'!$F$6:$F$25,$M1873),$G1873&gt;=INDEX('Программа тренировок'!$L$6:$L$25,$M1873)),"Верх диапазона: пора добавлять вес",IF($G1873&lt;INDEX('Программа тренировок'!$L$6:$L$25,$M1873),"RIR ниже цели","В диапазоне")))))</f>
        <v/>
      </c>
      <c r="M1873" s="23" t="str">
        <f aca="false">IF($C1873="","",IFERROR(MATCH($C1873,'Программа тренировок'!$C$6:$C$25,0),""))</f>
        <v/>
      </c>
    </row>
    <row r="1874" customFormat="false" ht="15" hidden="false" customHeight="true" outlineLevel="0" collapsed="false">
      <c r="A1874" s="20"/>
      <c r="B1874" s="21"/>
      <c r="C1874" s="19"/>
      <c r="D1874" s="18"/>
      <c r="E1874" s="17"/>
      <c r="F1874" s="18"/>
      <c r="G1874" s="18"/>
      <c r="H1874" s="21"/>
      <c r="I1874" s="19"/>
      <c r="J1874" s="8" t="str">
        <f aca="false">IF(OR(E1874="",F1874=""),"",E1874*F1874)</f>
        <v/>
      </c>
      <c r="K1874" s="22" t="str">
        <f aca="false">IF($M1874="","",INDEX('Программа тренировок'!$G$6:$G$25,$M1874))</f>
        <v/>
      </c>
      <c r="L1874" s="23" t="str">
        <f aca="false">IF(OR($M1874="",$F1874="",$G1874=""),"",IF($H1874="Разминка","Разминка",IF($F1874&lt;INDEX('Программа тренировок'!$E$6:$E$25,$M1874),"Ниже диапазона",IF(AND($F1874&gt;=INDEX('Программа тренировок'!$F$6:$F$25,$M1874),$G1874&gt;=INDEX('Программа тренировок'!$L$6:$L$25,$M1874)),"Верх диапазона: пора добавлять вес",IF($G1874&lt;INDEX('Программа тренировок'!$L$6:$L$25,$M1874),"RIR ниже цели","В диапазоне")))))</f>
        <v/>
      </c>
      <c r="M1874" s="23" t="str">
        <f aca="false">IF($C1874="","",IFERROR(MATCH($C1874,'Программа тренировок'!$C$6:$C$25,0),""))</f>
        <v/>
      </c>
    </row>
    <row r="1875" customFormat="false" ht="15" hidden="false" customHeight="true" outlineLevel="0" collapsed="false">
      <c r="A1875" s="20"/>
      <c r="B1875" s="21"/>
      <c r="C1875" s="19"/>
      <c r="D1875" s="18"/>
      <c r="E1875" s="17"/>
      <c r="F1875" s="18"/>
      <c r="G1875" s="18"/>
      <c r="H1875" s="21"/>
      <c r="I1875" s="19"/>
      <c r="J1875" s="8" t="str">
        <f aca="false">IF(OR(E1875="",F1875=""),"",E1875*F1875)</f>
        <v/>
      </c>
      <c r="K1875" s="22" t="str">
        <f aca="false">IF($M1875="","",INDEX('Программа тренировок'!$G$6:$G$25,$M1875))</f>
        <v/>
      </c>
      <c r="L1875" s="23" t="str">
        <f aca="false">IF(OR($M1875="",$F1875="",$G1875=""),"",IF($H1875="Разминка","Разминка",IF($F1875&lt;INDEX('Программа тренировок'!$E$6:$E$25,$M1875),"Ниже диапазона",IF(AND($F1875&gt;=INDEX('Программа тренировок'!$F$6:$F$25,$M1875),$G1875&gt;=INDEX('Программа тренировок'!$L$6:$L$25,$M1875)),"Верх диапазона: пора добавлять вес",IF($G1875&lt;INDEX('Программа тренировок'!$L$6:$L$25,$M1875),"RIR ниже цели","В диапазоне")))))</f>
        <v/>
      </c>
      <c r="M1875" s="23" t="str">
        <f aca="false">IF($C1875="","",IFERROR(MATCH($C1875,'Программа тренировок'!$C$6:$C$25,0),""))</f>
        <v/>
      </c>
    </row>
    <row r="1876" customFormat="false" ht="15" hidden="false" customHeight="true" outlineLevel="0" collapsed="false">
      <c r="A1876" s="20"/>
      <c r="B1876" s="21"/>
      <c r="C1876" s="19"/>
      <c r="D1876" s="18"/>
      <c r="E1876" s="17"/>
      <c r="F1876" s="18"/>
      <c r="G1876" s="18"/>
      <c r="H1876" s="21"/>
      <c r="I1876" s="19"/>
      <c r="J1876" s="8" t="str">
        <f aca="false">IF(OR(E1876="",F1876=""),"",E1876*F1876)</f>
        <v/>
      </c>
      <c r="K1876" s="22" t="str">
        <f aca="false">IF($M1876="","",INDEX('Программа тренировок'!$G$6:$G$25,$M1876))</f>
        <v/>
      </c>
      <c r="L1876" s="23" t="str">
        <f aca="false">IF(OR($M1876="",$F1876="",$G1876=""),"",IF($H1876="Разминка","Разминка",IF($F1876&lt;INDEX('Программа тренировок'!$E$6:$E$25,$M1876),"Ниже диапазона",IF(AND($F1876&gt;=INDEX('Программа тренировок'!$F$6:$F$25,$M1876),$G1876&gt;=INDEX('Программа тренировок'!$L$6:$L$25,$M1876)),"Верх диапазона: пора добавлять вес",IF($G1876&lt;INDEX('Программа тренировок'!$L$6:$L$25,$M1876),"RIR ниже цели","В диапазоне")))))</f>
        <v/>
      </c>
      <c r="M1876" s="23" t="str">
        <f aca="false">IF($C1876="","",IFERROR(MATCH($C1876,'Программа тренировок'!$C$6:$C$25,0),""))</f>
        <v/>
      </c>
    </row>
    <row r="1877" customFormat="false" ht="15" hidden="false" customHeight="true" outlineLevel="0" collapsed="false">
      <c r="A1877" s="20"/>
      <c r="B1877" s="21"/>
      <c r="C1877" s="19"/>
      <c r="D1877" s="18"/>
      <c r="E1877" s="17"/>
      <c r="F1877" s="18"/>
      <c r="G1877" s="18"/>
      <c r="H1877" s="21"/>
      <c r="I1877" s="19"/>
      <c r="J1877" s="8" t="str">
        <f aca="false">IF(OR(E1877="",F1877=""),"",E1877*F1877)</f>
        <v/>
      </c>
      <c r="K1877" s="22" t="str">
        <f aca="false">IF($M1877="","",INDEX('Программа тренировок'!$G$6:$G$25,$M1877))</f>
        <v/>
      </c>
      <c r="L1877" s="23" t="str">
        <f aca="false">IF(OR($M1877="",$F1877="",$G1877=""),"",IF($H1877="Разминка","Разминка",IF($F1877&lt;INDEX('Программа тренировок'!$E$6:$E$25,$M1877),"Ниже диапазона",IF(AND($F1877&gt;=INDEX('Программа тренировок'!$F$6:$F$25,$M1877),$G1877&gt;=INDEX('Программа тренировок'!$L$6:$L$25,$M1877)),"Верх диапазона: пора добавлять вес",IF($G1877&lt;INDEX('Программа тренировок'!$L$6:$L$25,$M1877),"RIR ниже цели","В диапазоне")))))</f>
        <v/>
      </c>
      <c r="M1877" s="23" t="str">
        <f aca="false">IF($C1877="","",IFERROR(MATCH($C1877,'Программа тренировок'!$C$6:$C$25,0),""))</f>
        <v/>
      </c>
    </row>
    <row r="1878" customFormat="false" ht="15" hidden="false" customHeight="true" outlineLevel="0" collapsed="false">
      <c r="A1878" s="20"/>
      <c r="B1878" s="21"/>
      <c r="C1878" s="19"/>
      <c r="D1878" s="18"/>
      <c r="E1878" s="17"/>
      <c r="F1878" s="18"/>
      <c r="G1878" s="18"/>
      <c r="H1878" s="21"/>
      <c r="I1878" s="19"/>
      <c r="J1878" s="8" t="str">
        <f aca="false">IF(OR(E1878="",F1878=""),"",E1878*F1878)</f>
        <v/>
      </c>
      <c r="K1878" s="22" t="str">
        <f aca="false">IF($M1878="","",INDEX('Программа тренировок'!$G$6:$G$25,$M1878))</f>
        <v/>
      </c>
      <c r="L1878" s="23" t="str">
        <f aca="false">IF(OR($M1878="",$F1878="",$G1878=""),"",IF($H1878="Разминка","Разминка",IF($F1878&lt;INDEX('Программа тренировок'!$E$6:$E$25,$M1878),"Ниже диапазона",IF(AND($F1878&gt;=INDEX('Программа тренировок'!$F$6:$F$25,$M1878),$G1878&gt;=INDEX('Программа тренировок'!$L$6:$L$25,$M1878)),"Верх диапазона: пора добавлять вес",IF($G1878&lt;INDEX('Программа тренировок'!$L$6:$L$25,$M1878),"RIR ниже цели","В диапазоне")))))</f>
        <v/>
      </c>
      <c r="M1878" s="23" t="str">
        <f aca="false">IF($C1878="","",IFERROR(MATCH($C1878,'Программа тренировок'!$C$6:$C$25,0),""))</f>
        <v/>
      </c>
    </row>
    <row r="1879" customFormat="false" ht="15" hidden="false" customHeight="true" outlineLevel="0" collapsed="false">
      <c r="A1879" s="20"/>
      <c r="B1879" s="21"/>
      <c r="C1879" s="19"/>
      <c r="D1879" s="18"/>
      <c r="E1879" s="17"/>
      <c r="F1879" s="18"/>
      <c r="G1879" s="18"/>
      <c r="H1879" s="21"/>
      <c r="I1879" s="19"/>
      <c r="J1879" s="8" t="str">
        <f aca="false">IF(OR(E1879="",F1879=""),"",E1879*F1879)</f>
        <v/>
      </c>
      <c r="K1879" s="22" t="str">
        <f aca="false">IF($M1879="","",INDEX('Программа тренировок'!$G$6:$G$25,$M1879))</f>
        <v/>
      </c>
      <c r="L1879" s="23" t="str">
        <f aca="false">IF(OR($M1879="",$F1879="",$G1879=""),"",IF($H1879="Разминка","Разминка",IF($F1879&lt;INDEX('Программа тренировок'!$E$6:$E$25,$M1879),"Ниже диапазона",IF(AND($F1879&gt;=INDEX('Программа тренировок'!$F$6:$F$25,$M1879),$G1879&gt;=INDEX('Программа тренировок'!$L$6:$L$25,$M1879)),"Верх диапазона: пора добавлять вес",IF($G1879&lt;INDEX('Программа тренировок'!$L$6:$L$25,$M1879),"RIR ниже цели","В диапазоне")))))</f>
        <v/>
      </c>
      <c r="M1879" s="23" t="str">
        <f aca="false">IF($C1879="","",IFERROR(MATCH($C1879,'Программа тренировок'!$C$6:$C$25,0),""))</f>
        <v/>
      </c>
    </row>
    <row r="1880" customFormat="false" ht="15" hidden="false" customHeight="true" outlineLevel="0" collapsed="false">
      <c r="A1880" s="20"/>
      <c r="B1880" s="21"/>
      <c r="C1880" s="19"/>
      <c r="D1880" s="18"/>
      <c r="E1880" s="17"/>
      <c r="F1880" s="18"/>
      <c r="G1880" s="18"/>
      <c r="H1880" s="21"/>
      <c r="I1880" s="19"/>
      <c r="J1880" s="8" t="str">
        <f aca="false">IF(OR(E1880="",F1880=""),"",E1880*F1880)</f>
        <v/>
      </c>
      <c r="K1880" s="22" t="str">
        <f aca="false">IF($M1880="","",INDEX('Программа тренировок'!$G$6:$G$25,$M1880))</f>
        <v/>
      </c>
      <c r="L1880" s="23" t="str">
        <f aca="false">IF(OR($M1880="",$F1880="",$G1880=""),"",IF($H1880="Разминка","Разминка",IF($F1880&lt;INDEX('Программа тренировок'!$E$6:$E$25,$M1880),"Ниже диапазона",IF(AND($F1880&gt;=INDEX('Программа тренировок'!$F$6:$F$25,$M1880),$G1880&gt;=INDEX('Программа тренировок'!$L$6:$L$25,$M1880)),"Верх диапазона: пора добавлять вес",IF($G1880&lt;INDEX('Программа тренировок'!$L$6:$L$25,$M1880),"RIR ниже цели","В диапазоне")))))</f>
        <v/>
      </c>
      <c r="M1880" s="23" t="str">
        <f aca="false">IF($C1880="","",IFERROR(MATCH($C1880,'Программа тренировок'!$C$6:$C$25,0),""))</f>
        <v/>
      </c>
    </row>
    <row r="1881" customFormat="false" ht="15" hidden="false" customHeight="true" outlineLevel="0" collapsed="false">
      <c r="A1881" s="20"/>
      <c r="B1881" s="21"/>
      <c r="C1881" s="19"/>
      <c r="D1881" s="18"/>
      <c r="E1881" s="17"/>
      <c r="F1881" s="18"/>
      <c r="G1881" s="18"/>
      <c r="H1881" s="21"/>
      <c r="I1881" s="19"/>
      <c r="J1881" s="8" t="str">
        <f aca="false">IF(OR(E1881="",F1881=""),"",E1881*F1881)</f>
        <v/>
      </c>
      <c r="K1881" s="22" t="str">
        <f aca="false">IF($M1881="","",INDEX('Программа тренировок'!$G$6:$G$25,$M1881))</f>
        <v/>
      </c>
      <c r="L1881" s="23" t="str">
        <f aca="false">IF(OR($M1881="",$F1881="",$G1881=""),"",IF($H1881="Разминка","Разминка",IF($F1881&lt;INDEX('Программа тренировок'!$E$6:$E$25,$M1881),"Ниже диапазона",IF(AND($F1881&gt;=INDEX('Программа тренировок'!$F$6:$F$25,$M1881),$G1881&gt;=INDEX('Программа тренировок'!$L$6:$L$25,$M1881)),"Верх диапазона: пора добавлять вес",IF($G1881&lt;INDEX('Программа тренировок'!$L$6:$L$25,$M1881),"RIR ниже цели","В диапазоне")))))</f>
        <v/>
      </c>
      <c r="M1881" s="23" t="str">
        <f aca="false">IF($C1881="","",IFERROR(MATCH($C1881,'Программа тренировок'!$C$6:$C$25,0),""))</f>
        <v/>
      </c>
    </row>
    <row r="1882" customFormat="false" ht="15" hidden="false" customHeight="true" outlineLevel="0" collapsed="false">
      <c r="A1882" s="20"/>
      <c r="B1882" s="21"/>
      <c r="C1882" s="19"/>
      <c r="D1882" s="18"/>
      <c r="E1882" s="17"/>
      <c r="F1882" s="18"/>
      <c r="G1882" s="18"/>
      <c r="H1882" s="21"/>
      <c r="I1882" s="19"/>
      <c r="J1882" s="8" t="str">
        <f aca="false">IF(OR(E1882="",F1882=""),"",E1882*F1882)</f>
        <v/>
      </c>
      <c r="K1882" s="22" t="str">
        <f aca="false">IF($M1882="","",INDEX('Программа тренировок'!$G$6:$G$25,$M1882))</f>
        <v/>
      </c>
      <c r="L1882" s="23" t="str">
        <f aca="false">IF(OR($M1882="",$F1882="",$G1882=""),"",IF($H1882="Разминка","Разминка",IF($F1882&lt;INDEX('Программа тренировок'!$E$6:$E$25,$M1882),"Ниже диапазона",IF(AND($F1882&gt;=INDEX('Программа тренировок'!$F$6:$F$25,$M1882),$G1882&gt;=INDEX('Программа тренировок'!$L$6:$L$25,$M1882)),"Верх диапазона: пора добавлять вес",IF($G1882&lt;INDEX('Программа тренировок'!$L$6:$L$25,$M1882),"RIR ниже цели","В диапазоне")))))</f>
        <v/>
      </c>
      <c r="M1882" s="23" t="str">
        <f aca="false">IF($C1882="","",IFERROR(MATCH($C1882,'Программа тренировок'!$C$6:$C$25,0),""))</f>
        <v/>
      </c>
    </row>
    <row r="1883" customFormat="false" ht="15" hidden="false" customHeight="true" outlineLevel="0" collapsed="false">
      <c r="A1883" s="20"/>
      <c r="B1883" s="21"/>
      <c r="C1883" s="19"/>
      <c r="D1883" s="18"/>
      <c r="E1883" s="17"/>
      <c r="F1883" s="18"/>
      <c r="G1883" s="18"/>
      <c r="H1883" s="21"/>
      <c r="I1883" s="19"/>
      <c r="J1883" s="8" t="str">
        <f aca="false">IF(OR(E1883="",F1883=""),"",E1883*F1883)</f>
        <v/>
      </c>
      <c r="K1883" s="22" t="str">
        <f aca="false">IF($M1883="","",INDEX('Программа тренировок'!$G$6:$G$25,$M1883))</f>
        <v/>
      </c>
      <c r="L1883" s="23" t="str">
        <f aca="false">IF(OR($M1883="",$F1883="",$G1883=""),"",IF($H1883="Разминка","Разминка",IF($F1883&lt;INDEX('Программа тренировок'!$E$6:$E$25,$M1883),"Ниже диапазона",IF(AND($F1883&gt;=INDEX('Программа тренировок'!$F$6:$F$25,$M1883),$G1883&gt;=INDEX('Программа тренировок'!$L$6:$L$25,$M1883)),"Верх диапазона: пора добавлять вес",IF($G1883&lt;INDEX('Программа тренировок'!$L$6:$L$25,$M1883),"RIR ниже цели","В диапазоне")))))</f>
        <v/>
      </c>
      <c r="M1883" s="23" t="str">
        <f aca="false">IF($C1883="","",IFERROR(MATCH($C1883,'Программа тренировок'!$C$6:$C$25,0),""))</f>
        <v/>
      </c>
    </row>
    <row r="1884" customFormat="false" ht="15" hidden="false" customHeight="true" outlineLevel="0" collapsed="false">
      <c r="A1884" s="20"/>
      <c r="B1884" s="21"/>
      <c r="C1884" s="19"/>
      <c r="D1884" s="18"/>
      <c r="E1884" s="17"/>
      <c r="F1884" s="18"/>
      <c r="G1884" s="18"/>
      <c r="H1884" s="21"/>
      <c r="I1884" s="19"/>
      <c r="J1884" s="8" t="str">
        <f aca="false">IF(OR(E1884="",F1884=""),"",E1884*F1884)</f>
        <v/>
      </c>
      <c r="K1884" s="22" t="str">
        <f aca="false">IF($M1884="","",INDEX('Программа тренировок'!$G$6:$G$25,$M1884))</f>
        <v/>
      </c>
      <c r="L1884" s="23" t="str">
        <f aca="false">IF(OR($M1884="",$F1884="",$G1884=""),"",IF($H1884="Разминка","Разминка",IF($F1884&lt;INDEX('Программа тренировок'!$E$6:$E$25,$M1884),"Ниже диапазона",IF(AND($F1884&gt;=INDEX('Программа тренировок'!$F$6:$F$25,$M1884),$G1884&gt;=INDEX('Программа тренировок'!$L$6:$L$25,$M1884)),"Верх диапазона: пора добавлять вес",IF($G1884&lt;INDEX('Программа тренировок'!$L$6:$L$25,$M1884),"RIR ниже цели","В диапазоне")))))</f>
        <v/>
      </c>
      <c r="M1884" s="23" t="str">
        <f aca="false">IF($C1884="","",IFERROR(MATCH($C1884,'Программа тренировок'!$C$6:$C$25,0),""))</f>
        <v/>
      </c>
    </row>
    <row r="1885" customFormat="false" ht="15" hidden="false" customHeight="true" outlineLevel="0" collapsed="false">
      <c r="A1885" s="20"/>
      <c r="B1885" s="21"/>
      <c r="C1885" s="19"/>
      <c r="D1885" s="18"/>
      <c r="E1885" s="17"/>
      <c r="F1885" s="18"/>
      <c r="G1885" s="18"/>
      <c r="H1885" s="21"/>
      <c r="I1885" s="19"/>
      <c r="J1885" s="8" t="str">
        <f aca="false">IF(OR(E1885="",F1885=""),"",E1885*F1885)</f>
        <v/>
      </c>
      <c r="K1885" s="22" t="str">
        <f aca="false">IF($M1885="","",INDEX('Программа тренировок'!$G$6:$G$25,$M1885))</f>
        <v/>
      </c>
      <c r="L1885" s="23" t="str">
        <f aca="false">IF(OR($M1885="",$F1885="",$G1885=""),"",IF($H1885="Разминка","Разминка",IF($F1885&lt;INDEX('Программа тренировок'!$E$6:$E$25,$M1885),"Ниже диапазона",IF(AND($F1885&gt;=INDEX('Программа тренировок'!$F$6:$F$25,$M1885),$G1885&gt;=INDEX('Программа тренировок'!$L$6:$L$25,$M1885)),"Верх диапазона: пора добавлять вес",IF($G1885&lt;INDEX('Программа тренировок'!$L$6:$L$25,$M1885),"RIR ниже цели","В диапазоне")))))</f>
        <v/>
      </c>
      <c r="M1885" s="23" t="str">
        <f aca="false">IF($C1885="","",IFERROR(MATCH($C1885,'Программа тренировок'!$C$6:$C$25,0),""))</f>
        <v/>
      </c>
    </row>
    <row r="1886" customFormat="false" ht="15" hidden="false" customHeight="true" outlineLevel="0" collapsed="false">
      <c r="A1886" s="20"/>
      <c r="B1886" s="21"/>
      <c r="C1886" s="19"/>
      <c r="D1886" s="18"/>
      <c r="E1886" s="17"/>
      <c r="F1886" s="18"/>
      <c r="G1886" s="18"/>
      <c r="H1886" s="21"/>
      <c r="I1886" s="19"/>
      <c r="J1886" s="8" t="str">
        <f aca="false">IF(OR(E1886="",F1886=""),"",E1886*F1886)</f>
        <v/>
      </c>
      <c r="K1886" s="22" t="str">
        <f aca="false">IF($M1886="","",INDEX('Программа тренировок'!$G$6:$G$25,$M1886))</f>
        <v/>
      </c>
      <c r="L1886" s="23" t="str">
        <f aca="false">IF(OR($M1886="",$F1886="",$G1886=""),"",IF($H1886="Разминка","Разминка",IF($F1886&lt;INDEX('Программа тренировок'!$E$6:$E$25,$M1886),"Ниже диапазона",IF(AND($F1886&gt;=INDEX('Программа тренировок'!$F$6:$F$25,$M1886),$G1886&gt;=INDEX('Программа тренировок'!$L$6:$L$25,$M1886)),"Верх диапазона: пора добавлять вес",IF($G1886&lt;INDEX('Программа тренировок'!$L$6:$L$25,$M1886),"RIR ниже цели","В диапазоне")))))</f>
        <v/>
      </c>
      <c r="M1886" s="23" t="str">
        <f aca="false">IF($C1886="","",IFERROR(MATCH($C1886,'Программа тренировок'!$C$6:$C$25,0),""))</f>
        <v/>
      </c>
    </row>
    <row r="1887" customFormat="false" ht="15" hidden="false" customHeight="true" outlineLevel="0" collapsed="false">
      <c r="A1887" s="20"/>
      <c r="B1887" s="21"/>
      <c r="C1887" s="19"/>
      <c r="D1887" s="18"/>
      <c r="E1887" s="17"/>
      <c r="F1887" s="18"/>
      <c r="G1887" s="18"/>
      <c r="H1887" s="21"/>
      <c r="I1887" s="19"/>
      <c r="J1887" s="8" t="str">
        <f aca="false">IF(OR(E1887="",F1887=""),"",E1887*F1887)</f>
        <v/>
      </c>
      <c r="K1887" s="22" t="str">
        <f aca="false">IF($M1887="","",INDEX('Программа тренировок'!$G$6:$G$25,$M1887))</f>
        <v/>
      </c>
      <c r="L1887" s="23" t="str">
        <f aca="false">IF(OR($M1887="",$F1887="",$G1887=""),"",IF($H1887="Разминка","Разминка",IF($F1887&lt;INDEX('Программа тренировок'!$E$6:$E$25,$M1887),"Ниже диапазона",IF(AND($F1887&gt;=INDEX('Программа тренировок'!$F$6:$F$25,$M1887),$G1887&gt;=INDEX('Программа тренировок'!$L$6:$L$25,$M1887)),"Верх диапазона: пора добавлять вес",IF($G1887&lt;INDEX('Программа тренировок'!$L$6:$L$25,$M1887),"RIR ниже цели","В диапазоне")))))</f>
        <v/>
      </c>
      <c r="M1887" s="23" t="str">
        <f aca="false">IF($C1887="","",IFERROR(MATCH($C1887,'Программа тренировок'!$C$6:$C$25,0),""))</f>
        <v/>
      </c>
    </row>
    <row r="1888" customFormat="false" ht="15" hidden="false" customHeight="true" outlineLevel="0" collapsed="false">
      <c r="A1888" s="20"/>
      <c r="B1888" s="21"/>
      <c r="C1888" s="19"/>
      <c r="D1888" s="18"/>
      <c r="E1888" s="17"/>
      <c r="F1888" s="18"/>
      <c r="G1888" s="18"/>
      <c r="H1888" s="21"/>
      <c r="I1888" s="19"/>
      <c r="J1888" s="8" t="str">
        <f aca="false">IF(OR(E1888="",F1888=""),"",E1888*F1888)</f>
        <v/>
      </c>
      <c r="K1888" s="22" t="str">
        <f aca="false">IF($M1888="","",INDEX('Программа тренировок'!$G$6:$G$25,$M1888))</f>
        <v/>
      </c>
      <c r="L1888" s="23" t="str">
        <f aca="false">IF(OR($M1888="",$F1888="",$G1888=""),"",IF($H1888="Разминка","Разминка",IF($F1888&lt;INDEX('Программа тренировок'!$E$6:$E$25,$M1888),"Ниже диапазона",IF(AND($F1888&gt;=INDEX('Программа тренировок'!$F$6:$F$25,$M1888),$G1888&gt;=INDEX('Программа тренировок'!$L$6:$L$25,$M1888)),"Верх диапазона: пора добавлять вес",IF($G1888&lt;INDEX('Программа тренировок'!$L$6:$L$25,$M1888),"RIR ниже цели","В диапазоне")))))</f>
        <v/>
      </c>
      <c r="M1888" s="23" t="str">
        <f aca="false">IF($C1888="","",IFERROR(MATCH($C1888,'Программа тренировок'!$C$6:$C$25,0),""))</f>
        <v/>
      </c>
    </row>
    <row r="1889" customFormat="false" ht="15" hidden="false" customHeight="true" outlineLevel="0" collapsed="false">
      <c r="A1889" s="20"/>
      <c r="B1889" s="21"/>
      <c r="C1889" s="19"/>
      <c r="D1889" s="18"/>
      <c r="E1889" s="17"/>
      <c r="F1889" s="18"/>
      <c r="G1889" s="18"/>
      <c r="H1889" s="21"/>
      <c r="I1889" s="19"/>
      <c r="J1889" s="8" t="str">
        <f aca="false">IF(OR(E1889="",F1889=""),"",E1889*F1889)</f>
        <v/>
      </c>
      <c r="K1889" s="22" t="str">
        <f aca="false">IF($M1889="","",INDEX('Программа тренировок'!$G$6:$G$25,$M1889))</f>
        <v/>
      </c>
      <c r="L1889" s="23" t="str">
        <f aca="false">IF(OR($M1889="",$F1889="",$G1889=""),"",IF($H1889="Разминка","Разминка",IF($F1889&lt;INDEX('Программа тренировок'!$E$6:$E$25,$M1889),"Ниже диапазона",IF(AND($F1889&gt;=INDEX('Программа тренировок'!$F$6:$F$25,$M1889),$G1889&gt;=INDEX('Программа тренировок'!$L$6:$L$25,$M1889)),"Верх диапазона: пора добавлять вес",IF($G1889&lt;INDEX('Программа тренировок'!$L$6:$L$25,$M1889),"RIR ниже цели","В диапазоне")))))</f>
        <v/>
      </c>
      <c r="M1889" s="23" t="str">
        <f aca="false">IF($C1889="","",IFERROR(MATCH($C1889,'Программа тренировок'!$C$6:$C$25,0),""))</f>
        <v/>
      </c>
    </row>
    <row r="1890" customFormat="false" ht="15" hidden="false" customHeight="true" outlineLevel="0" collapsed="false">
      <c r="A1890" s="20"/>
      <c r="B1890" s="21"/>
      <c r="C1890" s="19"/>
      <c r="D1890" s="18"/>
      <c r="E1890" s="17"/>
      <c r="F1890" s="18"/>
      <c r="G1890" s="18"/>
      <c r="H1890" s="21"/>
      <c r="I1890" s="19"/>
      <c r="J1890" s="8" t="str">
        <f aca="false">IF(OR(E1890="",F1890=""),"",E1890*F1890)</f>
        <v/>
      </c>
      <c r="K1890" s="22" t="str">
        <f aca="false">IF($M1890="","",INDEX('Программа тренировок'!$G$6:$G$25,$M1890))</f>
        <v/>
      </c>
      <c r="L1890" s="23" t="str">
        <f aca="false">IF(OR($M1890="",$F1890="",$G1890=""),"",IF($H1890="Разминка","Разминка",IF($F1890&lt;INDEX('Программа тренировок'!$E$6:$E$25,$M1890),"Ниже диапазона",IF(AND($F1890&gt;=INDEX('Программа тренировок'!$F$6:$F$25,$M1890),$G1890&gt;=INDEX('Программа тренировок'!$L$6:$L$25,$M1890)),"Верх диапазона: пора добавлять вес",IF($G1890&lt;INDEX('Программа тренировок'!$L$6:$L$25,$M1890),"RIR ниже цели","В диапазоне")))))</f>
        <v/>
      </c>
      <c r="M1890" s="23" t="str">
        <f aca="false">IF($C1890="","",IFERROR(MATCH($C1890,'Программа тренировок'!$C$6:$C$25,0),""))</f>
        <v/>
      </c>
    </row>
    <row r="1891" customFormat="false" ht="15" hidden="false" customHeight="true" outlineLevel="0" collapsed="false">
      <c r="A1891" s="20"/>
      <c r="B1891" s="21"/>
      <c r="C1891" s="19"/>
      <c r="D1891" s="18"/>
      <c r="E1891" s="17"/>
      <c r="F1891" s="18"/>
      <c r="G1891" s="18"/>
      <c r="H1891" s="21"/>
      <c r="I1891" s="19"/>
      <c r="J1891" s="8" t="str">
        <f aca="false">IF(OR(E1891="",F1891=""),"",E1891*F1891)</f>
        <v/>
      </c>
      <c r="K1891" s="22" t="str">
        <f aca="false">IF($M1891="","",INDEX('Программа тренировок'!$G$6:$G$25,$M1891))</f>
        <v/>
      </c>
      <c r="L1891" s="23" t="str">
        <f aca="false">IF(OR($M1891="",$F1891="",$G1891=""),"",IF($H1891="Разминка","Разминка",IF($F1891&lt;INDEX('Программа тренировок'!$E$6:$E$25,$M1891),"Ниже диапазона",IF(AND($F1891&gt;=INDEX('Программа тренировок'!$F$6:$F$25,$M1891),$G1891&gt;=INDEX('Программа тренировок'!$L$6:$L$25,$M1891)),"Верх диапазона: пора добавлять вес",IF($G1891&lt;INDEX('Программа тренировок'!$L$6:$L$25,$M1891),"RIR ниже цели","В диапазоне")))))</f>
        <v/>
      </c>
      <c r="M1891" s="23" t="str">
        <f aca="false">IF($C1891="","",IFERROR(MATCH($C1891,'Программа тренировок'!$C$6:$C$25,0),""))</f>
        <v/>
      </c>
    </row>
    <row r="1892" customFormat="false" ht="15" hidden="false" customHeight="true" outlineLevel="0" collapsed="false">
      <c r="A1892" s="20"/>
      <c r="B1892" s="21"/>
      <c r="C1892" s="19"/>
      <c r="D1892" s="18"/>
      <c r="E1892" s="17"/>
      <c r="F1892" s="18"/>
      <c r="G1892" s="18"/>
      <c r="H1892" s="21"/>
      <c r="I1892" s="19"/>
      <c r="J1892" s="8" t="str">
        <f aca="false">IF(OR(E1892="",F1892=""),"",E1892*F1892)</f>
        <v/>
      </c>
      <c r="K1892" s="22" t="str">
        <f aca="false">IF($M1892="","",INDEX('Программа тренировок'!$G$6:$G$25,$M1892))</f>
        <v/>
      </c>
      <c r="L1892" s="23" t="str">
        <f aca="false">IF(OR($M1892="",$F1892="",$G1892=""),"",IF($H1892="Разминка","Разминка",IF($F1892&lt;INDEX('Программа тренировок'!$E$6:$E$25,$M1892),"Ниже диапазона",IF(AND($F1892&gt;=INDEX('Программа тренировок'!$F$6:$F$25,$M1892),$G1892&gt;=INDEX('Программа тренировок'!$L$6:$L$25,$M1892)),"Верх диапазона: пора добавлять вес",IF($G1892&lt;INDEX('Программа тренировок'!$L$6:$L$25,$M1892),"RIR ниже цели","В диапазоне")))))</f>
        <v/>
      </c>
      <c r="M1892" s="23" t="str">
        <f aca="false">IF($C1892="","",IFERROR(MATCH($C1892,'Программа тренировок'!$C$6:$C$25,0),""))</f>
        <v/>
      </c>
    </row>
    <row r="1893" customFormat="false" ht="15" hidden="false" customHeight="true" outlineLevel="0" collapsed="false">
      <c r="A1893" s="20"/>
      <c r="B1893" s="21"/>
      <c r="C1893" s="19"/>
      <c r="D1893" s="18"/>
      <c r="E1893" s="17"/>
      <c r="F1893" s="18"/>
      <c r="G1893" s="18"/>
      <c r="H1893" s="21"/>
      <c r="I1893" s="19"/>
      <c r="J1893" s="8" t="str">
        <f aca="false">IF(OR(E1893="",F1893=""),"",E1893*F1893)</f>
        <v/>
      </c>
      <c r="K1893" s="22" t="str">
        <f aca="false">IF($M1893="","",INDEX('Программа тренировок'!$G$6:$G$25,$M1893))</f>
        <v/>
      </c>
      <c r="L1893" s="23" t="str">
        <f aca="false">IF(OR($M1893="",$F1893="",$G1893=""),"",IF($H1893="Разминка","Разминка",IF($F1893&lt;INDEX('Программа тренировок'!$E$6:$E$25,$M1893),"Ниже диапазона",IF(AND($F1893&gt;=INDEX('Программа тренировок'!$F$6:$F$25,$M1893),$G1893&gt;=INDEX('Программа тренировок'!$L$6:$L$25,$M1893)),"Верх диапазона: пора добавлять вес",IF($G1893&lt;INDEX('Программа тренировок'!$L$6:$L$25,$M1893),"RIR ниже цели","В диапазоне")))))</f>
        <v/>
      </c>
      <c r="M1893" s="23" t="str">
        <f aca="false">IF($C1893="","",IFERROR(MATCH($C1893,'Программа тренировок'!$C$6:$C$25,0),""))</f>
        <v/>
      </c>
    </row>
    <row r="1894" customFormat="false" ht="15" hidden="false" customHeight="true" outlineLevel="0" collapsed="false">
      <c r="A1894" s="20"/>
      <c r="B1894" s="21"/>
      <c r="C1894" s="19"/>
      <c r="D1894" s="18"/>
      <c r="E1894" s="17"/>
      <c r="F1894" s="18"/>
      <c r="G1894" s="18"/>
      <c r="H1894" s="21"/>
      <c r="I1894" s="19"/>
      <c r="J1894" s="8" t="str">
        <f aca="false">IF(OR(E1894="",F1894=""),"",E1894*F1894)</f>
        <v/>
      </c>
      <c r="K1894" s="22" t="str">
        <f aca="false">IF($M1894="","",INDEX('Программа тренировок'!$G$6:$G$25,$M1894))</f>
        <v/>
      </c>
      <c r="L1894" s="23" t="str">
        <f aca="false">IF(OR($M1894="",$F1894="",$G1894=""),"",IF($H1894="Разминка","Разминка",IF($F1894&lt;INDEX('Программа тренировок'!$E$6:$E$25,$M1894),"Ниже диапазона",IF(AND($F1894&gt;=INDEX('Программа тренировок'!$F$6:$F$25,$M1894),$G1894&gt;=INDEX('Программа тренировок'!$L$6:$L$25,$M1894)),"Верх диапазона: пора добавлять вес",IF($G1894&lt;INDEX('Программа тренировок'!$L$6:$L$25,$M1894),"RIR ниже цели","В диапазоне")))))</f>
        <v/>
      </c>
      <c r="M1894" s="23" t="str">
        <f aca="false">IF($C1894="","",IFERROR(MATCH($C1894,'Программа тренировок'!$C$6:$C$25,0),""))</f>
        <v/>
      </c>
    </row>
    <row r="1895" customFormat="false" ht="15" hidden="false" customHeight="true" outlineLevel="0" collapsed="false">
      <c r="A1895" s="20"/>
      <c r="B1895" s="21"/>
      <c r="C1895" s="19"/>
      <c r="D1895" s="18"/>
      <c r="E1895" s="17"/>
      <c r="F1895" s="18"/>
      <c r="G1895" s="18"/>
      <c r="H1895" s="21"/>
      <c r="I1895" s="19"/>
      <c r="J1895" s="8" t="str">
        <f aca="false">IF(OR(E1895="",F1895=""),"",E1895*F1895)</f>
        <v/>
      </c>
      <c r="K1895" s="22" t="str">
        <f aca="false">IF($M1895="","",INDEX('Программа тренировок'!$G$6:$G$25,$M1895))</f>
        <v/>
      </c>
      <c r="L1895" s="23" t="str">
        <f aca="false">IF(OR($M1895="",$F1895="",$G1895=""),"",IF($H1895="Разминка","Разминка",IF($F1895&lt;INDEX('Программа тренировок'!$E$6:$E$25,$M1895),"Ниже диапазона",IF(AND($F1895&gt;=INDEX('Программа тренировок'!$F$6:$F$25,$M1895),$G1895&gt;=INDEX('Программа тренировок'!$L$6:$L$25,$M1895)),"Верх диапазона: пора добавлять вес",IF($G1895&lt;INDEX('Программа тренировок'!$L$6:$L$25,$M1895),"RIR ниже цели","В диапазоне")))))</f>
        <v/>
      </c>
      <c r="M1895" s="23" t="str">
        <f aca="false">IF($C1895="","",IFERROR(MATCH($C1895,'Программа тренировок'!$C$6:$C$25,0),""))</f>
        <v/>
      </c>
    </row>
    <row r="1896" customFormat="false" ht="15" hidden="false" customHeight="true" outlineLevel="0" collapsed="false">
      <c r="A1896" s="20"/>
      <c r="B1896" s="21"/>
      <c r="C1896" s="19"/>
      <c r="D1896" s="18"/>
      <c r="E1896" s="17"/>
      <c r="F1896" s="18"/>
      <c r="G1896" s="18"/>
      <c r="H1896" s="21"/>
      <c r="I1896" s="19"/>
      <c r="J1896" s="8" t="str">
        <f aca="false">IF(OR(E1896="",F1896=""),"",E1896*F1896)</f>
        <v/>
      </c>
      <c r="K1896" s="22" t="str">
        <f aca="false">IF($M1896="","",INDEX('Программа тренировок'!$G$6:$G$25,$M1896))</f>
        <v/>
      </c>
      <c r="L1896" s="23" t="str">
        <f aca="false">IF(OR($M1896="",$F1896="",$G1896=""),"",IF($H1896="Разминка","Разминка",IF($F1896&lt;INDEX('Программа тренировок'!$E$6:$E$25,$M1896),"Ниже диапазона",IF(AND($F1896&gt;=INDEX('Программа тренировок'!$F$6:$F$25,$M1896),$G1896&gt;=INDEX('Программа тренировок'!$L$6:$L$25,$M1896)),"Верх диапазона: пора добавлять вес",IF($G1896&lt;INDEX('Программа тренировок'!$L$6:$L$25,$M1896),"RIR ниже цели","В диапазоне")))))</f>
        <v/>
      </c>
      <c r="M1896" s="23" t="str">
        <f aca="false">IF($C1896="","",IFERROR(MATCH($C1896,'Программа тренировок'!$C$6:$C$25,0),""))</f>
        <v/>
      </c>
    </row>
    <row r="1897" customFormat="false" ht="15" hidden="false" customHeight="true" outlineLevel="0" collapsed="false">
      <c r="A1897" s="20"/>
      <c r="B1897" s="21"/>
      <c r="C1897" s="19"/>
      <c r="D1897" s="18"/>
      <c r="E1897" s="17"/>
      <c r="F1897" s="18"/>
      <c r="G1897" s="18"/>
      <c r="H1897" s="21"/>
      <c r="I1897" s="19"/>
      <c r="J1897" s="8" t="str">
        <f aca="false">IF(OR(E1897="",F1897=""),"",E1897*F1897)</f>
        <v/>
      </c>
      <c r="K1897" s="22" t="str">
        <f aca="false">IF($M1897="","",INDEX('Программа тренировок'!$G$6:$G$25,$M1897))</f>
        <v/>
      </c>
      <c r="L1897" s="23" t="str">
        <f aca="false">IF(OR($M1897="",$F1897="",$G1897=""),"",IF($H1897="Разминка","Разминка",IF($F1897&lt;INDEX('Программа тренировок'!$E$6:$E$25,$M1897),"Ниже диапазона",IF(AND($F1897&gt;=INDEX('Программа тренировок'!$F$6:$F$25,$M1897),$G1897&gt;=INDEX('Программа тренировок'!$L$6:$L$25,$M1897)),"Верх диапазона: пора добавлять вес",IF($G1897&lt;INDEX('Программа тренировок'!$L$6:$L$25,$M1897),"RIR ниже цели","В диапазоне")))))</f>
        <v/>
      </c>
      <c r="M1897" s="23" t="str">
        <f aca="false">IF($C1897="","",IFERROR(MATCH($C1897,'Программа тренировок'!$C$6:$C$25,0),""))</f>
        <v/>
      </c>
    </row>
    <row r="1898" customFormat="false" ht="15" hidden="false" customHeight="true" outlineLevel="0" collapsed="false">
      <c r="A1898" s="20"/>
      <c r="B1898" s="21"/>
      <c r="C1898" s="19"/>
      <c r="D1898" s="18"/>
      <c r="E1898" s="17"/>
      <c r="F1898" s="18"/>
      <c r="G1898" s="18"/>
      <c r="H1898" s="21"/>
      <c r="I1898" s="19"/>
      <c r="J1898" s="8" t="str">
        <f aca="false">IF(OR(E1898="",F1898=""),"",E1898*F1898)</f>
        <v/>
      </c>
      <c r="K1898" s="22" t="str">
        <f aca="false">IF($M1898="","",INDEX('Программа тренировок'!$G$6:$G$25,$M1898))</f>
        <v/>
      </c>
      <c r="L1898" s="23" t="str">
        <f aca="false">IF(OR($M1898="",$F1898="",$G1898=""),"",IF($H1898="Разминка","Разминка",IF($F1898&lt;INDEX('Программа тренировок'!$E$6:$E$25,$M1898),"Ниже диапазона",IF(AND($F1898&gt;=INDEX('Программа тренировок'!$F$6:$F$25,$M1898),$G1898&gt;=INDEX('Программа тренировок'!$L$6:$L$25,$M1898)),"Верх диапазона: пора добавлять вес",IF($G1898&lt;INDEX('Программа тренировок'!$L$6:$L$25,$M1898),"RIR ниже цели","В диапазоне")))))</f>
        <v/>
      </c>
      <c r="M1898" s="23" t="str">
        <f aca="false">IF($C1898="","",IFERROR(MATCH($C1898,'Программа тренировок'!$C$6:$C$25,0),""))</f>
        <v/>
      </c>
    </row>
    <row r="1899" customFormat="false" ht="15" hidden="false" customHeight="true" outlineLevel="0" collapsed="false">
      <c r="A1899" s="20"/>
      <c r="B1899" s="21"/>
      <c r="C1899" s="19"/>
      <c r="D1899" s="18"/>
      <c r="E1899" s="17"/>
      <c r="F1899" s="18"/>
      <c r="G1899" s="18"/>
      <c r="H1899" s="21"/>
      <c r="I1899" s="19"/>
      <c r="J1899" s="8" t="str">
        <f aca="false">IF(OR(E1899="",F1899=""),"",E1899*F1899)</f>
        <v/>
      </c>
      <c r="K1899" s="22" t="str">
        <f aca="false">IF($M1899="","",INDEX('Программа тренировок'!$G$6:$G$25,$M1899))</f>
        <v/>
      </c>
      <c r="L1899" s="23" t="str">
        <f aca="false">IF(OR($M1899="",$F1899="",$G1899=""),"",IF($H1899="Разминка","Разминка",IF($F1899&lt;INDEX('Программа тренировок'!$E$6:$E$25,$M1899),"Ниже диапазона",IF(AND($F1899&gt;=INDEX('Программа тренировок'!$F$6:$F$25,$M1899),$G1899&gt;=INDEX('Программа тренировок'!$L$6:$L$25,$M1899)),"Верх диапазона: пора добавлять вес",IF($G1899&lt;INDEX('Программа тренировок'!$L$6:$L$25,$M1899),"RIR ниже цели","В диапазоне")))))</f>
        <v/>
      </c>
      <c r="M1899" s="23" t="str">
        <f aca="false">IF($C1899="","",IFERROR(MATCH($C1899,'Программа тренировок'!$C$6:$C$25,0),""))</f>
        <v/>
      </c>
    </row>
    <row r="1900" customFormat="false" ht="15" hidden="false" customHeight="true" outlineLevel="0" collapsed="false">
      <c r="A1900" s="20"/>
      <c r="B1900" s="21"/>
      <c r="C1900" s="19"/>
      <c r="D1900" s="18"/>
      <c r="E1900" s="17"/>
      <c r="F1900" s="18"/>
      <c r="G1900" s="18"/>
      <c r="H1900" s="21"/>
      <c r="I1900" s="19"/>
      <c r="J1900" s="8" t="str">
        <f aca="false">IF(OR(E1900="",F1900=""),"",E1900*F1900)</f>
        <v/>
      </c>
      <c r="K1900" s="22" t="str">
        <f aca="false">IF($M1900="","",INDEX('Программа тренировок'!$G$6:$G$25,$M1900))</f>
        <v/>
      </c>
      <c r="L1900" s="23" t="str">
        <f aca="false">IF(OR($M1900="",$F1900="",$G1900=""),"",IF($H1900="Разминка","Разминка",IF($F1900&lt;INDEX('Программа тренировок'!$E$6:$E$25,$M1900),"Ниже диапазона",IF(AND($F1900&gt;=INDEX('Программа тренировок'!$F$6:$F$25,$M1900),$G1900&gt;=INDEX('Программа тренировок'!$L$6:$L$25,$M1900)),"Верх диапазона: пора добавлять вес",IF($G1900&lt;INDEX('Программа тренировок'!$L$6:$L$25,$M1900),"RIR ниже цели","В диапазоне")))))</f>
        <v/>
      </c>
      <c r="M1900" s="23" t="str">
        <f aca="false">IF($C1900="","",IFERROR(MATCH($C1900,'Программа тренировок'!$C$6:$C$25,0),""))</f>
        <v/>
      </c>
    </row>
    <row r="1901" customFormat="false" ht="15" hidden="false" customHeight="true" outlineLevel="0" collapsed="false">
      <c r="A1901" s="20"/>
      <c r="B1901" s="21"/>
      <c r="C1901" s="19"/>
      <c r="D1901" s="18"/>
      <c r="E1901" s="17"/>
      <c r="F1901" s="18"/>
      <c r="G1901" s="18"/>
      <c r="H1901" s="21"/>
      <c r="I1901" s="19"/>
      <c r="J1901" s="8" t="str">
        <f aca="false">IF(OR(E1901="",F1901=""),"",E1901*F1901)</f>
        <v/>
      </c>
      <c r="K1901" s="22" t="str">
        <f aca="false">IF($M1901="","",INDEX('Программа тренировок'!$G$6:$G$25,$M1901))</f>
        <v/>
      </c>
      <c r="L1901" s="23" t="str">
        <f aca="false">IF(OR($M1901="",$F1901="",$G1901=""),"",IF($H1901="Разминка","Разминка",IF($F1901&lt;INDEX('Программа тренировок'!$E$6:$E$25,$M1901),"Ниже диапазона",IF(AND($F1901&gt;=INDEX('Программа тренировок'!$F$6:$F$25,$M1901),$G1901&gt;=INDEX('Программа тренировок'!$L$6:$L$25,$M1901)),"Верх диапазона: пора добавлять вес",IF($G1901&lt;INDEX('Программа тренировок'!$L$6:$L$25,$M1901),"RIR ниже цели","В диапазоне")))))</f>
        <v/>
      </c>
      <c r="M1901" s="23" t="str">
        <f aca="false">IF($C1901="","",IFERROR(MATCH($C1901,'Программа тренировок'!$C$6:$C$25,0),""))</f>
        <v/>
      </c>
    </row>
    <row r="1902" customFormat="false" ht="15" hidden="false" customHeight="true" outlineLevel="0" collapsed="false">
      <c r="A1902" s="20"/>
      <c r="B1902" s="21"/>
      <c r="C1902" s="19"/>
      <c r="D1902" s="18"/>
      <c r="E1902" s="17"/>
      <c r="F1902" s="18"/>
      <c r="G1902" s="18"/>
      <c r="H1902" s="21"/>
      <c r="I1902" s="19"/>
      <c r="J1902" s="8" t="str">
        <f aca="false">IF(OR(E1902="",F1902=""),"",E1902*F1902)</f>
        <v/>
      </c>
      <c r="K1902" s="22" t="str">
        <f aca="false">IF($M1902="","",INDEX('Программа тренировок'!$G$6:$G$25,$M1902))</f>
        <v/>
      </c>
      <c r="L1902" s="23" t="str">
        <f aca="false">IF(OR($M1902="",$F1902="",$G1902=""),"",IF($H1902="Разминка","Разминка",IF($F1902&lt;INDEX('Программа тренировок'!$E$6:$E$25,$M1902),"Ниже диапазона",IF(AND($F1902&gt;=INDEX('Программа тренировок'!$F$6:$F$25,$M1902),$G1902&gt;=INDEX('Программа тренировок'!$L$6:$L$25,$M1902)),"Верх диапазона: пора добавлять вес",IF($G1902&lt;INDEX('Программа тренировок'!$L$6:$L$25,$M1902),"RIR ниже цели","В диапазоне")))))</f>
        <v/>
      </c>
      <c r="M1902" s="23" t="str">
        <f aca="false">IF($C1902="","",IFERROR(MATCH($C1902,'Программа тренировок'!$C$6:$C$25,0),""))</f>
        <v/>
      </c>
    </row>
    <row r="1903" customFormat="false" ht="15" hidden="false" customHeight="true" outlineLevel="0" collapsed="false">
      <c r="A1903" s="20"/>
      <c r="B1903" s="21"/>
      <c r="C1903" s="19"/>
      <c r="D1903" s="18"/>
      <c r="E1903" s="17"/>
      <c r="F1903" s="18"/>
      <c r="G1903" s="18"/>
      <c r="H1903" s="21"/>
      <c r="I1903" s="19"/>
      <c r="J1903" s="8" t="str">
        <f aca="false">IF(OR(E1903="",F1903=""),"",E1903*F1903)</f>
        <v/>
      </c>
      <c r="K1903" s="22" t="str">
        <f aca="false">IF($M1903="","",INDEX('Программа тренировок'!$G$6:$G$25,$M1903))</f>
        <v/>
      </c>
      <c r="L1903" s="23" t="str">
        <f aca="false">IF(OR($M1903="",$F1903="",$G1903=""),"",IF($H1903="Разминка","Разминка",IF($F1903&lt;INDEX('Программа тренировок'!$E$6:$E$25,$M1903),"Ниже диапазона",IF(AND($F1903&gt;=INDEX('Программа тренировок'!$F$6:$F$25,$M1903),$G1903&gt;=INDEX('Программа тренировок'!$L$6:$L$25,$M1903)),"Верх диапазона: пора добавлять вес",IF($G1903&lt;INDEX('Программа тренировок'!$L$6:$L$25,$M1903),"RIR ниже цели","В диапазоне")))))</f>
        <v/>
      </c>
      <c r="M1903" s="23" t="str">
        <f aca="false">IF($C1903="","",IFERROR(MATCH($C1903,'Программа тренировок'!$C$6:$C$25,0),""))</f>
        <v/>
      </c>
    </row>
    <row r="1904" customFormat="false" ht="15" hidden="false" customHeight="true" outlineLevel="0" collapsed="false">
      <c r="A1904" s="20"/>
      <c r="B1904" s="21"/>
      <c r="C1904" s="19"/>
      <c r="D1904" s="18"/>
      <c r="E1904" s="17"/>
      <c r="F1904" s="18"/>
      <c r="G1904" s="18"/>
      <c r="H1904" s="21"/>
      <c r="I1904" s="19"/>
      <c r="J1904" s="8" t="str">
        <f aca="false">IF(OR(E1904="",F1904=""),"",E1904*F1904)</f>
        <v/>
      </c>
      <c r="K1904" s="22" t="str">
        <f aca="false">IF($M1904="","",INDEX('Программа тренировок'!$G$6:$G$25,$M1904))</f>
        <v/>
      </c>
      <c r="L1904" s="23" t="str">
        <f aca="false">IF(OR($M1904="",$F1904="",$G1904=""),"",IF($H1904="Разминка","Разминка",IF($F1904&lt;INDEX('Программа тренировок'!$E$6:$E$25,$M1904),"Ниже диапазона",IF(AND($F1904&gt;=INDEX('Программа тренировок'!$F$6:$F$25,$M1904),$G1904&gt;=INDEX('Программа тренировок'!$L$6:$L$25,$M1904)),"Верх диапазона: пора добавлять вес",IF($G1904&lt;INDEX('Программа тренировок'!$L$6:$L$25,$M1904),"RIR ниже цели","В диапазоне")))))</f>
        <v/>
      </c>
      <c r="M1904" s="23" t="str">
        <f aca="false">IF($C1904="","",IFERROR(MATCH($C1904,'Программа тренировок'!$C$6:$C$25,0),""))</f>
        <v/>
      </c>
    </row>
    <row r="1905" customFormat="false" ht="15" hidden="false" customHeight="true" outlineLevel="0" collapsed="false">
      <c r="A1905" s="20"/>
      <c r="B1905" s="21"/>
      <c r="C1905" s="19"/>
      <c r="D1905" s="18"/>
      <c r="E1905" s="17"/>
      <c r="F1905" s="18"/>
      <c r="G1905" s="18"/>
      <c r="H1905" s="21"/>
      <c r="I1905" s="19"/>
      <c r="J1905" s="8" t="str">
        <f aca="false">IF(OR(E1905="",F1905=""),"",E1905*F1905)</f>
        <v/>
      </c>
      <c r="K1905" s="22" t="str">
        <f aca="false">IF($M1905="","",INDEX('Программа тренировок'!$G$6:$G$25,$M1905))</f>
        <v/>
      </c>
      <c r="L1905" s="23" t="str">
        <f aca="false">IF(OR($M1905="",$F1905="",$G1905=""),"",IF($H1905="Разминка","Разминка",IF($F1905&lt;INDEX('Программа тренировок'!$E$6:$E$25,$M1905),"Ниже диапазона",IF(AND($F1905&gt;=INDEX('Программа тренировок'!$F$6:$F$25,$M1905),$G1905&gt;=INDEX('Программа тренировок'!$L$6:$L$25,$M1905)),"Верх диапазона: пора добавлять вес",IF($G1905&lt;INDEX('Программа тренировок'!$L$6:$L$25,$M1905),"RIR ниже цели","В диапазоне")))))</f>
        <v/>
      </c>
      <c r="M1905" s="23" t="str">
        <f aca="false">IF($C1905="","",IFERROR(MATCH($C1905,'Программа тренировок'!$C$6:$C$25,0),""))</f>
        <v/>
      </c>
    </row>
    <row r="1906" customFormat="false" ht="15" hidden="false" customHeight="true" outlineLevel="0" collapsed="false">
      <c r="A1906" s="20"/>
      <c r="B1906" s="21"/>
      <c r="C1906" s="19"/>
      <c r="D1906" s="18"/>
      <c r="E1906" s="17"/>
      <c r="F1906" s="18"/>
      <c r="G1906" s="18"/>
      <c r="H1906" s="21"/>
      <c r="I1906" s="19"/>
      <c r="J1906" s="8" t="str">
        <f aca="false">IF(OR(E1906="",F1906=""),"",E1906*F1906)</f>
        <v/>
      </c>
      <c r="K1906" s="22" t="str">
        <f aca="false">IF($M1906="","",INDEX('Программа тренировок'!$G$6:$G$25,$M1906))</f>
        <v/>
      </c>
      <c r="L1906" s="23" t="str">
        <f aca="false">IF(OR($M1906="",$F1906="",$G1906=""),"",IF($H1906="Разминка","Разминка",IF($F1906&lt;INDEX('Программа тренировок'!$E$6:$E$25,$M1906),"Ниже диапазона",IF(AND($F1906&gt;=INDEX('Программа тренировок'!$F$6:$F$25,$M1906),$G1906&gt;=INDEX('Программа тренировок'!$L$6:$L$25,$M1906)),"Верх диапазона: пора добавлять вес",IF($G1906&lt;INDEX('Программа тренировок'!$L$6:$L$25,$M1906),"RIR ниже цели","В диапазоне")))))</f>
        <v/>
      </c>
      <c r="M1906" s="23" t="str">
        <f aca="false">IF($C1906="","",IFERROR(MATCH($C1906,'Программа тренировок'!$C$6:$C$25,0),""))</f>
        <v/>
      </c>
    </row>
    <row r="1907" customFormat="false" ht="15" hidden="false" customHeight="true" outlineLevel="0" collapsed="false">
      <c r="A1907" s="20"/>
      <c r="B1907" s="21"/>
      <c r="C1907" s="19"/>
      <c r="D1907" s="18"/>
      <c r="E1907" s="17"/>
      <c r="F1907" s="18"/>
      <c r="G1907" s="18"/>
      <c r="H1907" s="21"/>
      <c r="I1907" s="19"/>
      <c r="J1907" s="8" t="str">
        <f aca="false">IF(OR(E1907="",F1907=""),"",E1907*F1907)</f>
        <v/>
      </c>
      <c r="K1907" s="22" t="str">
        <f aca="false">IF($M1907="","",INDEX('Программа тренировок'!$G$6:$G$25,$M1907))</f>
        <v/>
      </c>
      <c r="L1907" s="23" t="str">
        <f aca="false">IF(OR($M1907="",$F1907="",$G1907=""),"",IF($H1907="Разминка","Разминка",IF($F1907&lt;INDEX('Программа тренировок'!$E$6:$E$25,$M1907),"Ниже диапазона",IF(AND($F1907&gt;=INDEX('Программа тренировок'!$F$6:$F$25,$M1907),$G1907&gt;=INDEX('Программа тренировок'!$L$6:$L$25,$M1907)),"Верх диапазона: пора добавлять вес",IF($G1907&lt;INDEX('Программа тренировок'!$L$6:$L$25,$M1907),"RIR ниже цели","В диапазоне")))))</f>
        <v/>
      </c>
      <c r="M1907" s="23" t="str">
        <f aca="false">IF($C1907="","",IFERROR(MATCH($C1907,'Программа тренировок'!$C$6:$C$25,0),""))</f>
        <v/>
      </c>
    </row>
    <row r="1908" customFormat="false" ht="15" hidden="false" customHeight="true" outlineLevel="0" collapsed="false">
      <c r="A1908" s="20"/>
      <c r="B1908" s="21"/>
      <c r="C1908" s="19"/>
      <c r="D1908" s="18"/>
      <c r="E1908" s="17"/>
      <c r="F1908" s="18"/>
      <c r="G1908" s="18"/>
      <c r="H1908" s="21"/>
      <c r="I1908" s="19"/>
      <c r="J1908" s="8" t="str">
        <f aca="false">IF(OR(E1908="",F1908=""),"",E1908*F1908)</f>
        <v/>
      </c>
      <c r="K1908" s="22" t="str">
        <f aca="false">IF($M1908="","",INDEX('Программа тренировок'!$G$6:$G$25,$M1908))</f>
        <v/>
      </c>
      <c r="L1908" s="23" t="str">
        <f aca="false">IF(OR($M1908="",$F1908="",$G1908=""),"",IF($H1908="Разминка","Разминка",IF($F1908&lt;INDEX('Программа тренировок'!$E$6:$E$25,$M1908),"Ниже диапазона",IF(AND($F1908&gt;=INDEX('Программа тренировок'!$F$6:$F$25,$M1908),$G1908&gt;=INDEX('Программа тренировок'!$L$6:$L$25,$M1908)),"Верх диапазона: пора добавлять вес",IF($G1908&lt;INDEX('Программа тренировок'!$L$6:$L$25,$M1908),"RIR ниже цели","В диапазоне")))))</f>
        <v/>
      </c>
      <c r="M1908" s="23" t="str">
        <f aca="false">IF($C1908="","",IFERROR(MATCH($C1908,'Программа тренировок'!$C$6:$C$25,0),""))</f>
        <v/>
      </c>
    </row>
    <row r="1909" customFormat="false" ht="15" hidden="false" customHeight="true" outlineLevel="0" collapsed="false">
      <c r="A1909" s="20"/>
      <c r="B1909" s="21"/>
      <c r="C1909" s="19"/>
      <c r="D1909" s="18"/>
      <c r="E1909" s="17"/>
      <c r="F1909" s="18"/>
      <c r="G1909" s="18"/>
      <c r="H1909" s="21"/>
      <c r="I1909" s="19"/>
      <c r="J1909" s="8" t="str">
        <f aca="false">IF(OR(E1909="",F1909=""),"",E1909*F1909)</f>
        <v/>
      </c>
      <c r="K1909" s="22" t="str">
        <f aca="false">IF($M1909="","",INDEX('Программа тренировок'!$G$6:$G$25,$M1909))</f>
        <v/>
      </c>
      <c r="L1909" s="23" t="str">
        <f aca="false">IF(OR($M1909="",$F1909="",$G1909=""),"",IF($H1909="Разминка","Разминка",IF($F1909&lt;INDEX('Программа тренировок'!$E$6:$E$25,$M1909),"Ниже диапазона",IF(AND($F1909&gt;=INDEX('Программа тренировок'!$F$6:$F$25,$M1909),$G1909&gt;=INDEX('Программа тренировок'!$L$6:$L$25,$M1909)),"Верх диапазона: пора добавлять вес",IF($G1909&lt;INDEX('Программа тренировок'!$L$6:$L$25,$M1909),"RIR ниже цели","В диапазоне")))))</f>
        <v/>
      </c>
      <c r="M1909" s="23" t="str">
        <f aca="false">IF($C1909="","",IFERROR(MATCH($C1909,'Программа тренировок'!$C$6:$C$25,0),""))</f>
        <v/>
      </c>
    </row>
    <row r="1910" customFormat="false" ht="15" hidden="false" customHeight="true" outlineLevel="0" collapsed="false">
      <c r="A1910" s="20"/>
      <c r="B1910" s="21"/>
      <c r="C1910" s="19"/>
      <c r="D1910" s="18"/>
      <c r="E1910" s="17"/>
      <c r="F1910" s="18"/>
      <c r="G1910" s="18"/>
      <c r="H1910" s="21"/>
      <c r="I1910" s="19"/>
      <c r="J1910" s="8" t="str">
        <f aca="false">IF(OR(E1910="",F1910=""),"",E1910*F1910)</f>
        <v/>
      </c>
      <c r="K1910" s="22" t="str">
        <f aca="false">IF($M1910="","",INDEX('Программа тренировок'!$G$6:$G$25,$M1910))</f>
        <v/>
      </c>
      <c r="L1910" s="23" t="str">
        <f aca="false">IF(OR($M1910="",$F1910="",$G1910=""),"",IF($H1910="Разминка","Разминка",IF($F1910&lt;INDEX('Программа тренировок'!$E$6:$E$25,$M1910),"Ниже диапазона",IF(AND($F1910&gt;=INDEX('Программа тренировок'!$F$6:$F$25,$M1910),$G1910&gt;=INDEX('Программа тренировок'!$L$6:$L$25,$M1910)),"Верх диапазона: пора добавлять вес",IF($G1910&lt;INDEX('Программа тренировок'!$L$6:$L$25,$M1910),"RIR ниже цели","В диапазоне")))))</f>
        <v/>
      </c>
      <c r="M1910" s="23" t="str">
        <f aca="false">IF($C1910="","",IFERROR(MATCH($C1910,'Программа тренировок'!$C$6:$C$25,0),""))</f>
        <v/>
      </c>
    </row>
    <row r="1911" customFormat="false" ht="15" hidden="false" customHeight="true" outlineLevel="0" collapsed="false">
      <c r="A1911" s="20"/>
      <c r="B1911" s="21"/>
      <c r="C1911" s="19"/>
      <c r="D1911" s="18"/>
      <c r="E1911" s="17"/>
      <c r="F1911" s="18"/>
      <c r="G1911" s="18"/>
      <c r="H1911" s="21"/>
      <c r="I1911" s="19"/>
      <c r="J1911" s="8" t="str">
        <f aca="false">IF(OR(E1911="",F1911=""),"",E1911*F1911)</f>
        <v/>
      </c>
      <c r="K1911" s="22" t="str">
        <f aca="false">IF($M1911="","",INDEX('Программа тренировок'!$G$6:$G$25,$M1911))</f>
        <v/>
      </c>
      <c r="L1911" s="23" t="str">
        <f aca="false">IF(OR($M1911="",$F1911="",$G1911=""),"",IF($H1911="Разминка","Разминка",IF($F1911&lt;INDEX('Программа тренировок'!$E$6:$E$25,$M1911),"Ниже диапазона",IF(AND($F1911&gt;=INDEX('Программа тренировок'!$F$6:$F$25,$M1911),$G1911&gt;=INDEX('Программа тренировок'!$L$6:$L$25,$M1911)),"Верх диапазона: пора добавлять вес",IF($G1911&lt;INDEX('Программа тренировок'!$L$6:$L$25,$M1911),"RIR ниже цели","В диапазоне")))))</f>
        <v/>
      </c>
      <c r="M1911" s="23" t="str">
        <f aca="false">IF($C1911="","",IFERROR(MATCH($C1911,'Программа тренировок'!$C$6:$C$25,0),""))</f>
        <v/>
      </c>
    </row>
    <row r="1912" customFormat="false" ht="15" hidden="false" customHeight="true" outlineLevel="0" collapsed="false">
      <c r="A1912" s="20"/>
      <c r="B1912" s="21"/>
      <c r="C1912" s="19"/>
      <c r="D1912" s="18"/>
      <c r="E1912" s="17"/>
      <c r="F1912" s="18"/>
      <c r="G1912" s="18"/>
      <c r="H1912" s="21"/>
      <c r="I1912" s="19"/>
      <c r="J1912" s="8" t="str">
        <f aca="false">IF(OR(E1912="",F1912=""),"",E1912*F1912)</f>
        <v/>
      </c>
      <c r="K1912" s="22" t="str">
        <f aca="false">IF($M1912="","",INDEX('Программа тренировок'!$G$6:$G$25,$M1912))</f>
        <v/>
      </c>
      <c r="L1912" s="23" t="str">
        <f aca="false">IF(OR($M1912="",$F1912="",$G1912=""),"",IF($H1912="Разминка","Разминка",IF($F1912&lt;INDEX('Программа тренировок'!$E$6:$E$25,$M1912),"Ниже диапазона",IF(AND($F1912&gt;=INDEX('Программа тренировок'!$F$6:$F$25,$M1912),$G1912&gt;=INDEX('Программа тренировок'!$L$6:$L$25,$M1912)),"Верх диапазона: пора добавлять вес",IF($G1912&lt;INDEX('Программа тренировок'!$L$6:$L$25,$M1912),"RIR ниже цели","В диапазоне")))))</f>
        <v/>
      </c>
      <c r="M1912" s="23" t="str">
        <f aca="false">IF($C1912="","",IFERROR(MATCH($C1912,'Программа тренировок'!$C$6:$C$25,0),""))</f>
        <v/>
      </c>
    </row>
    <row r="1913" customFormat="false" ht="15" hidden="false" customHeight="true" outlineLevel="0" collapsed="false">
      <c r="A1913" s="20"/>
      <c r="B1913" s="21"/>
      <c r="C1913" s="19"/>
      <c r="D1913" s="18"/>
      <c r="E1913" s="17"/>
      <c r="F1913" s="18"/>
      <c r="G1913" s="18"/>
      <c r="H1913" s="21"/>
      <c r="I1913" s="19"/>
      <c r="J1913" s="8" t="str">
        <f aca="false">IF(OR(E1913="",F1913=""),"",E1913*F1913)</f>
        <v/>
      </c>
      <c r="K1913" s="22" t="str">
        <f aca="false">IF($M1913="","",INDEX('Программа тренировок'!$G$6:$G$25,$M1913))</f>
        <v/>
      </c>
      <c r="L1913" s="23" t="str">
        <f aca="false">IF(OR($M1913="",$F1913="",$G1913=""),"",IF($H1913="Разминка","Разминка",IF($F1913&lt;INDEX('Программа тренировок'!$E$6:$E$25,$M1913),"Ниже диапазона",IF(AND($F1913&gt;=INDEX('Программа тренировок'!$F$6:$F$25,$M1913),$G1913&gt;=INDEX('Программа тренировок'!$L$6:$L$25,$M1913)),"Верх диапазона: пора добавлять вес",IF($G1913&lt;INDEX('Программа тренировок'!$L$6:$L$25,$M1913),"RIR ниже цели","В диапазоне")))))</f>
        <v/>
      </c>
      <c r="M1913" s="23" t="str">
        <f aca="false">IF($C1913="","",IFERROR(MATCH($C1913,'Программа тренировок'!$C$6:$C$25,0),""))</f>
        <v/>
      </c>
    </row>
    <row r="1914" customFormat="false" ht="15" hidden="false" customHeight="true" outlineLevel="0" collapsed="false">
      <c r="A1914" s="20"/>
      <c r="B1914" s="21"/>
      <c r="C1914" s="19"/>
      <c r="D1914" s="18"/>
      <c r="E1914" s="17"/>
      <c r="F1914" s="18"/>
      <c r="G1914" s="18"/>
      <c r="H1914" s="21"/>
      <c r="I1914" s="19"/>
      <c r="J1914" s="8" t="str">
        <f aca="false">IF(OR(E1914="",F1914=""),"",E1914*F1914)</f>
        <v/>
      </c>
      <c r="K1914" s="22" t="str">
        <f aca="false">IF($M1914="","",INDEX('Программа тренировок'!$G$6:$G$25,$M1914))</f>
        <v/>
      </c>
      <c r="L1914" s="23" t="str">
        <f aca="false">IF(OR($M1914="",$F1914="",$G1914=""),"",IF($H1914="Разминка","Разминка",IF($F1914&lt;INDEX('Программа тренировок'!$E$6:$E$25,$M1914),"Ниже диапазона",IF(AND($F1914&gt;=INDEX('Программа тренировок'!$F$6:$F$25,$M1914),$G1914&gt;=INDEX('Программа тренировок'!$L$6:$L$25,$M1914)),"Верх диапазона: пора добавлять вес",IF($G1914&lt;INDEX('Программа тренировок'!$L$6:$L$25,$M1914),"RIR ниже цели","В диапазоне")))))</f>
        <v/>
      </c>
      <c r="M1914" s="23" t="str">
        <f aca="false">IF($C1914="","",IFERROR(MATCH($C1914,'Программа тренировок'!$C$6:$C$25,0),""))</f>
        <v/>
      </c>
    </row>
    <row r="1915" customFormat="false" ht="15" hidden="false" customHeight="true" outlineLevel="0" collapsed="false">
      <c r="A1915" s="20"/>
      <c r="B1915" s="21"/>
      <c r="C1915" s="19"/>
      <c r="D1915" s="18"/>
      <c r="E1915" s="17"/>
      <c r="F1915" s="18"/>
      <c r="G1915" s="18"/>
      <c r="H1915" s="21"/>
      <c r="I1915" s="19"/>
      <c r="J1915" s="8" t="str">
        <f aca="false">IF(OR(E1915="",F1915=""),"",E1915*F1915)</f>
        <v/>
      </c>
      <c r="K1915" s="22" t="str">
        <f aca="false">IF($M1915="","",INDEX('Программа тренировок'!$G$6:$G$25,$M1915))</f>
        <v/>
      </c>
      <c r="L1915" s="23" t="str">
        <f aca="false">IF(OR($M1915="",$F1915="",$G1915=""),"",IF($H1915="Разминка","Разминка",IF($F1915&lt;INDEX('Программа тренировок'!$E$6:$E$25,$M1915),"Ниже диапазона",IF(AND($F1915&gt;=INDEX('Программа тренировок'!$F$6:$F$25,$M1915),$G1915&gt;=INDEX('Программа тренировок'!$L$6:$L$25,$M1915)),"Верх диапазона: пора добавлять вес",IF($G1915&lt;INDEX('Программа тренировок'!$L$6:$L$25,$M1915),"RIR ниже цели","В диапазоне")))))</f>
        <v/>
      </c>
      <c r="M1915" s="23" t="str">
        <f aca="false">IF($C1915="","",IFERROR(MATCH($C1915,'Программа тренировок'!$C$6:$C$25,0),""))</f>
        <v/>
      </c>
    </row>
    <row r="1916" customFormat="false" ht="15" hidden="false" customHeight="true" outlineLevel="0" collapsed="false">
      <c r="A1916" s="20"/>
      <c r="B1916" s="21"/>
      <c r="C1916" s="19"/>
      <c r="D1916" s="18"/>
      <c r="E1916" s="17"/>
      <c r="F1916" s="18"/>
      <c r="G1916" s="18"/>
      <c r="H1916" s="21"/>
      <c r="I1916" s="19"/>
      <c r="J1916" s="8" t="str">
        <f aca="false">IF(OR(E1916="",F1916=""),"",E1916*F1916)</f>
        <v/>
      </c>
      <c r="K1916" s="22" t="str">
        <f aca="false">IF($M1916="","",INDEX('Программа тренировок'!$G$6:$G$25,$M1916))</f>
        <v/>
      </c>
      <c r="L1916" s="23" t="str">
        <f aca="false">IF(OR($M1916="",$F1916="",$G1916=""),"",IF($H1916="Разминка","Разминка",IF($F1916&lt;INDEX('Программа тренировок'!$E$6:$E$25,$M1916),"Ниже диапазона",IF(AND($F1916&gt;=INDEX('Программа тренировок'!$F$6:$F$25,$M1916),$G1916&gt;=INDEX('Программа тренировок'!$L$6:$L$25,$M1916)),"Верх диапазона: пора добавлять вес",IF($G1916&lt;INDEX('Программа тренировок'!$L$6:$L$25,$M1916),"RIR ниже цели","В диапазоне")))))</f>
        <v/>
      </c>
      <c r="M1916" s="23" t="str">
        <f aca="false">IF($C1916="","",IFERROR(MATCH($C1916,'Программа тренировок'!$C$6:$C$25,0),""))</f>
        <v/>
      </c>
    </row>
    <row r="1917" customFormat="false" ht="15" hidden="false" customHeight="true" outlineLevel="0" collapsed="false">
      <c r="A1917" s="20"/>
      <c r="B1917" s="21"/>
      <c r="C1917" s="19"/>
      <c r="D1917" s="18"/>
      <c r="E1917" s="17"/>
      <c r="F1917" s="18"/>
      <c r="G1917" s="18"/>
      <c r="H1917" s="21"/>
      <c r="I1917" s="19"/>
      <c r="J1917" s="8" t="str">
        <f aca="false">IF(OR(E1917="",F1917=""),"",E1917*F1917)</f>
        <v/>
      </c>
      <c r="K1917" s="22" t="str">
        <f aca="false">IF($M1917="","",INDEX('Программа тренировок'!$G$6:$G$25,$M1917))</f>
        <v/>
      </c>
      <c r="L1917" s="23" t="str">
        <f aca="false">IF(OR($M1917="",$F1917="",$G1917=""),"",IF($H1917="Разминка","Разминка",IF($F1917&lt;INDEX('Программа тренировок'!$E$6:$E$25,$M1917),"Ниже диапазона",IF(AND($F1917&gt;=INDEX('Программа тренировок'!$F$6:$F$25,$M1917),$G1917&gt;=INDEX('Программа тренировок'!$L$6:$L$25,$M1917)),"Верх диапазона: пора добавлять вес",IF($G1917&lt;INDEX('Программа тренировок'!$L$6:$L$25,$M1917),"RIR ниже цели","В диапазоне")))))</f>
        <v/>
      </c>
      <c r="M1917" s="23" t="str">
        <f aca="false">IF($C1917="","",IFERROR(MATCH($C1917,'Программа тренировок'!$C$6:$C$25,0),""))</f>
        <v/>
      </c>
    </row>
    <row r="1918" customFormat="false" ht="15" hidden="false" customHeight="true" outlineLevel="0" collapsed="false">
      <c r="A1918" s="20"/>
      <c r="B1918" s="21"/>
      <c r="C1918" s="19"/>
      <c r="D1918" s="18"/>
      <c r="E1918" s="17"/>
      <c r="F1918" s="18"/>
      <c r="G1918" s="18"/>
      <c r="H1918" s="21"/>
      <c r="I1918" s="19"/>
      <c r="J1918" s="8" t="str">
        <f aca="false">IF(OR(E1918="",F1918=""),"",E1918*F1918)</f>
        <v/>
      </c>
      <c r="K1918" s="22" t="str">
        <f aca="false">IF($M1918="","",INDEX('Программа тренировок'!$G$6:$G$25,$M1918))</f>
        <v/>
      </c>
      <c r="L1918" s="23" t="str">
        <f aca="false">IF(OR($M1918="",$F1918="",$G1918=""),"",IF($H1918="Разминка","Разминка",IF($F1918&lt;INDEX('Программа тренировок'!$E$6:$E$25,$M1918),"Ниже диапазона",IF(AND($F1918&gt;=INDEX('Программа тренировок'!$F$6:$F$25,$M1918),$G1918&gt;=INDEX('Программа тренировок'!$L$6:$L$25,$M1918)),"Верх диапазона: пора добавлять вес",IF($G1918&lt;INDEX('Программа тренировок'!$L$6:$L$25,$M1918),"RIR ниже цели","В диапазоне")))))</f>
        <v/>
      </c>
      <c r="M1918" s="23" t="str">
        <f aca="false">IF($C1918="","",IFERROR(MATCH($C1918,'Программа тренировок'!$C$6:$C$25,0),""))</f>
        <v/>
      </c>
    </row>
    <row r="1919" customFormat="false" ht="15" hidden="false" customHeight="true" outlineLevel="0" collapsed="false">
      <c r="A1919" s="20"/>
      <c r="B1919" s="21"/>
      <c r="C1919" s="19"/>
      <c r="D1919" s="18"/>
      <c r="E1919" s="17"/>
      <c r="F1919" s="18"/>
      <c r="G1919" s="18"/>
      <c r="H1919" s="21"/>
      <c r="I1919" s="19"/>
      <c r="J1919" s="8" t="str">
        <f aca="false">IF(OR(E1919="",F1919=""),"",E1919*F1919)</f>
        <v/>
      </c>
      <c r="K1919" s="22" t="str">
        <f aca="false">IF($M1919="","",INDEX('Программа тренировок'!$G$6:$G$25,$M1919))</f>
        <v/>
      </c>
      <c r="L1919" s="23" t="str">
        <f aca="false">IF(OR($M1919="",$F1919="",$G1919=""),"",IF($H1919="Разминка","Разминка",IF($F1919&lt;INDEX('Программа тренировок'!$E$6:$E$25,$M1919),"Ниже диапазона",IF(AND($F1919&gt;=INDEX('Программа тренировок'!$F$6:$F$25,$M1919),$G1919&gt;=INDEX('Программа тренировок'!$L$6:$L$25,$M1919)),"Верх диапазона: пора добавлять вес",IF($G1919&lt;INDEX('Программа тренировок'!$L$6:$L$25,$M1919),"RIR ниже цели","В диапазоне")))))</f>
        <v/>
      </c>
      <c r="M1919" s="23" t="str">
        <f aca="false">IF($C1919="","",IFERROR(MATCH($C1919,'Программа тренировок'!$C$6:$C$25,0),""))</f>
        <v/>
      </c>
    </row>
    <row r="1920" customFormat="false" ht="15" hidden="false" customHeight="true" outlineLevel="0" collapsed="false">
      <c r="A1920" s="20"/>
      <c r="B1920" s="21"/>
      <c r="C1920" s="19"/>
      <c r="D1920" s="18"/>
      <c r="E1920" s="17"/>
      <c r="F1920" s="18"/>
      <c r="G1920" s="18"/>
      <c r="H1920" s="21"/>
      <c r="I1920" s="19"/>
      <c r="J1920" s="8" t="str">
        <f aca="false">IF(OR(E1920="",F1920=""),"",E1920*F1920)</f>
        <v/>
      </c>
      <c r="K1920" s="22" t="str">
        <f aca="false">IF($M1920="","",INDEX('Программа тренировок'!$G$6:$G$25,$M1920))</f>
        <v/>
      </c>
      <c r="L1920" s="23" t="str">
        <f aca="false">IF(OR($M1920="",$F1920="",$G1920=""),"",IF($H1920="Разминка","Разминка",IF($F1920&lt;INDEX('Программа тренировок'!$E$6:$E$25,$M1920),"Ниже диапазона",IF(AND($F1920&gt;=INDEX('Программа тренировок'!$F$6:$F$25,$M1920),$G1920&gt;=INDEX('Программа тренировок'!$L$6:$L$25,$M1920)),"Верх диапазона: пора добавлять вес",IF($G1920&lt;INDEX('Программа тренировок'!$L$6:$L$25,$M1920),"RIR ниже цели","В диапазоне")))))</f>
        <v/>
      </c>
      <c r="M1920" s="23" t="str">
        <f aca="false">IF($C1920="","",IFERROR(MATCH($C1920,'Программа тренировок'!$C$6:$C$25,0),""))</f>
        <v/>
      </c>
    </row>
    <row r="1921" customFormat="false" ht="15" hidden="false" customHeight="true" outlineLevel="0" collapsed="false">
      <c r="A1921" s="20"/>
      <c r="B1921" s="21"/>
      <c r="C1921" s="19"/>
      <c r="D1921" s="18"/>
      <c r="E1921" s="17"/>
      <c r="F1921" s="18"/>
      <c r="G1921" s="18"/>
      <c r="H1921" s="21"/>
      <c r="I1921" s="19"/>
      <c r="J1921" s="8" t="str">
        <f aca="false">IF(OR(E1921="",F1921=""),"",E1921*F1921)</f>
        <v/>
      </c>
      <c r="K1921" s="22" t="str">
        <f aca="false">IF($M1921="","",INDEX('Программа тренировок'!$G$6:$G$25,$M1921))</f>
        <v/>
      </c>
      <c r="L1921" s="23" t="str">
        <f aca="false">IF(OR($M1921="",$F1921="",$G1921=""),"",IF($H1921="Разминка","Разминка",IF($F1921&lt;INDEX('Программа тренировок'!$E$6:$E$25,$M1921),"Ниже диапазона",IF(AND($F1921&gt;=INDEX('Программа тренировок'!$F$6:$F$25,$M1921),$G1921&gt;=INDEX('Программа тренировок'!$L$6:$L$25,$M1921)),"Верх диапазона: пора добавлять вес",IF($G1921&lt;INDEX('Программа тренировок'!$L$6:$L$25,$M1921),"RIR ниже цели","В диапазоне")))))</f>
        <v/>
      </c>
      <c r="M1921" s="23" t="str">
        <f aca="false">IF($C1921="","",IFERROR(MATCH($C1921,'Программа тренировок'!$C$6:$C$25,0),""))</f>
        <v/>
      </c>
    </row>
    <row r="1922" customFormat="false" ht="15" hidden="false" customHeight="true" outlineLevel="0" collapsed="false">
      <c r="A1922" s="20"/>
      <c r="B1922" s="21"/>
      <c r="C1922" s="19"/>
      <c r="D1922" s="18"/>
      <c r="E1922" s="17"/>
      <c r="F1922" s="18"/>
      <c r="G1922" s="18"/>
      <c r="H1922" s="21"/>
      <c r="I1922" s="19"/>
      <c r="J1922" s="8" t="str">
        <f aca="false">IF(OR(E1922="",F1922=""),"",E1922*F1922)</f>
        <v/>
      </c>
      <c r="K1922" s="22" t="str">
        <f aca="false">IF($M1922="","",INDEX('Программа тренировок'!$G$6:$G$25,$M1922))</f>
        <v/>
      </c>
      <c r="L1922" s="23" t="str">
        <f aca="false">IF(OR($M1922="",$F1922="",$G1922=""),"",IF($H1922="Разминка","Разминка",IF($F1922&lt;INDEX('Программа тренировок'!$E$6:$E$25,$M1922),"Ниже диапазона",IF(AND($F1922&gt;=INDEX('Программа тренировок'!$F$6:$F$25,$M1922),$G1922&gt;=INDEX('Программа тренировок'!$L$6:$L$25,$M1922)),"Верх диапазона: пора добавлять вес",IF($G1922&lt;INDEX('Программа тренировок'!$L$6:$L$25,$M1922),"RIR ниже цели","В диапазоне")))))</f>
        <v/>
      </c>
      <c r="M1922" s="23" t="str">
        <f aca="false">IF($C1922="","",IFERROR(MATCH($C1922,'Программа тренировок'!$C$6:$C$25,0),""))</f>
        <v/>
      </c>
    </row>
    <row r="1923" customFormat="false" ht="15" hidden="false" customHeight="true" outlineLevel="0" collapsed="false">
      <c r="A1923" s="20"/>
      <c r="B1923" s="21"/>
      <c r="C1923" s="19"/>
      <c r="D1923" s="18"/>
      <c r="E1923" s="17"/>
      <c r="F1923" s="18"/>
      <c r="G1923" s="18"/>
      <c r="H1923" s="21"/>
      <c r="I1923" s="19"/>
      <c r="J1923" s="8" t="str">
        <f aca="false">IF(OR(E1923="",F1923=""),"",E1923*F1923)</f>
        <v/>
      </c>
      <c r="K1923" s="22" t="str">
        <f aca="false">IF($M1923="","",INDEX('Программа тренировок'!$G$6:$G$25,$M1923))</f>
        <v/>
      </c>
      <c r="L1923" s="23" t="str">
        <f aca="false">IF(OR($M1923="",$F1923="",$G1923=""),"",IF($H1923="Разминка","Разминка",IF($F1923&lt;INDEX('Программа тренировок'!$E$6:$E$25,$M1923),"Ниже диапазона",IF(AND($F1923&gt;=INDEX('Программа тренировок'!$F$6:$F$25,$M1923),$G1923&gt;=INDEX('Программа тренировок'!$L$6:$L$25,$M1923)),"Верх диапазона: пора добавлять вес",IF($G1923&lt;INDEX('Программа тренировок'!$L$6:$L$25,$M1923),"RIR ниже цели","В диапазоне")))))</f>
        <v/>
      </c>
      <c r="M1923" s="23" t="str">
        <f aca="false">IF($C1923="","",IFERROR(MATCH($C1923,'Программа тренировок'!$C$6:$C$25,0),""))</f>
        <v/>
      </c>
    </row>
    <row r="1924" customFormat="false" ht="15" hidden="false" customHeight="true" outlineLevel="0" collapsed="false">
      <c r="A1924" s="20"/>
      <c r="B1924" s="21"/>
      <c r="C1924" s="19"/>
      <c r="D1924" s="18"/>
      <c r="E1924" s="17"/>
      <c r="F1924" s="18"/>
      <c r="G1924" s="18"/>
      <c r="H1924" s="21"/>
      <c r="I1924" s="19"/>
      <c r="J1924" s="8" t="str">
        <f aca="false">IF(OR(E1924="",F1924=""),"",E1924*F1924)</f>
        <v/>
      </c>
      <c r="K1924" s="22" t="str">
        <f aca="false">IF($M1924="","",INDEX('Программа тренировок'!$G$6:$G$25,$M1924))</f>
        <v/>
      </c>
      <c r="L1924" s="23" t="str">
        <f aca="false">IF(OR($M1924="",$F1924="",$G1924=""),"",IF($H1924="Разминка","Разминка",IF($F1924&lt;INDEX('Программа тренировок'!$E$6:$E$25,$M1924),"Ниже диапазона",IF(AND($F1924&gt;=INDEX('Программа тренировок'!$F$6:$F$25,$M1924),$G1924&gt;=INDEX('Программа тренировок'!$L$6:$L$25,$M1924)),"Верх диапазона: пора добавлять вес",IF($G1924&lt;INDEX('Программа тренировок'!$L$6:$L$25,$M1924),"RIR ниже цели","В диапазоне")))))</f>
        <v/>
      </c>
      <c r="M1924" s="23" t="str">
        <f aca="false">IF($C1924="","",IFERROR(MATCH($C1924,'Программа тренировок'!$C$6:$C$25,0),""))</f>
        <v/>
      </c>
    </row>
    <row r="1925" customFormat="false" ht="15" hidden="false" customHeight="true" outlineLevel="0" collapsed="false">
      <c r="A1925" s="20"/>
      <c r="B1925" s="21"/>
      <c r="C1925" s="19"/>
      <c r="D1925" s="18"/>
      <c r="E1925" s="17"/>
      <c r="F1925" s="18"/>
      <c r="G1925" s="18"/>
      <c r="H1925" s="21"/>
      <c r="I1925" s="19"/>
      <c r="J1925" s="8" t="str">
        <f aca="false">IF(OR(E1925="",F1925=""),"",E1925*F1925)</f>
        <v/>
      </c>
      <c r="K1925" s="22" t="str">
        <f aca="false">IF($M1925="","",INDEX('Программа тренировок'!$G$6:$G$25,$M1925))</f>
        <v/>
      </c>
      <c r="L1925" s="23" t="str">
        <f aca="false">IF(OR($M1925="",$F1925="",$G1925=""),"",IF($H1925="Разминка","Разминка",IF($F1925&lt;INDEX('Программа тренировок'!$E$6:$E$25,$M1925),"Ниже диапазона",IF(AND($F1925&gt;=INDEX('Программа тренировок'!$F$6:$F$25,$M1925),$G1925&gt;=INDEX('Программа тренировок'!$L$6:$L$25,$M1925)),"Верх диапазона: пора добавлять вес",IF($G1925&lt;INDEX('Программа тренировок'!$L$6:$L$25,$M1925),"RIR ниже цели","В диапазоне")))))</f>
        <v/>
      </c>
      <c r="M1925" s="23" t="str">
        <f aca="false">IF($C1925="","",IFERROR(MATCH($C1925,'Программа тренировок'!$C$6:$C$25,0),""))</f>
        <v/>
      </c>
    </row>
    <row r="1926" customFormat="false" ht="15" hidden="false" customHeight="true" outlineLevel="0" collapsed="false">
      <c r="A1926" s="20"/>
      <c r="B1926" s="21"/>
      <c r="C1926" s="19"/>
      <c r="D1926" s="18"/>
      <c r="E1926" s="17"/>
      <c r="F1926" s="18"/>
      <c r="G1926" s="18"/>
      <c r="H1926" s="21"/>
      <c r="I1926" s="19"/>
      <c r="J1926" s="8" t="str">
        <f aca="false">IF(OR(E1926="",F1926=""),"",E1926*F1926)</f>
        <v/>
      </c>
      <c r="K1926" s="22" t="str">
        <f aca="false">IF($M1926="","",INDEX('Программа тренировок'!$G$6:$G$25,$M1926))</f>
        <v/>
      </c>
      <c r="L1926" s="23" t="str">
        <f aca="false">IF(OR($M1926="",$F1926="",$G1926=""),"",IF($H1926="Разминка","Разминка",IF($F1926&lt;INDEX('Программа тренировок'!$E$6:$E$25,$M1926),"Ниже диапазона",IF(AND($F1926&gt;=INDEX('Программа тренировок'!$F$6:$F$25,$M1926),$G1926&gt;=INDEX('Программа тренировок'!$L$6:$L$25,$M1926)),"Верх диапазона: пора добавлять вес",IF($G1926&lt;INDEX('Программа тренировок'!$L$6:$L$25,$M1926),"RIR ниже цели","В диапазоне")))))</f>
        <v/>
      </c>
      <c r="M1926" s="23" t="str">
        <f aca="false">IF($C1926="","",IFERROR(MATCH($C1926,'Программа тренировок'!$C$6:$C$25,0),""))</f>
        <v/>
      </c>
    </row>
    <row r="1927" customFormat="false" ht="15" hidden="false" customHeight="true" outlineLevel="0" collapsed="false">
      <c r="A1927" s="20"/>
      <c r="B1927" s="21"/>
      <c r="C1927" s="19"/>
      <c r="D1927" s="18"/>
      <c r="E1927" s="17"/>
      <c r="F1927" s="18"/>
      <c r="G1927" s="18"/>
      <c r="H1927" s="21"/>
      <c r="I1927" s="19"/>
      <c r="J1927" s="8" t="str">
        <f aca="false">IF(OR(E1927="",F1927=""),"",E1927*F1927)</f>
        <v/>
      </c>
      <c r="K1927" s="22" t="str">
        <f aca="false">IF($M1927="","",INDEX('Программа тренировок'!$G$6:$G$25,$M1927))</f>
        <v/>
      </c>
      <c r="L1927" s="23" t="str">
        <f aca="false">IF(OR($M1927="",$F1927="",$G1927=""),"",IF($H1927="Разминка","Разминка",IF($F1927&lt;INDEX('Программа тренировок'!$E$6:$E$25,$M1927),"Ниже диапазона",IF(AND($F1927&gt;=INDEX('Программа тренировок'!$F$6:$F$25,$M1927),$G1927&gt;=INDEX('Программа тренировок'!$L$6:$L$25,$M1927)),"Верх диапазона: пора добавлять вес",IF($G1927&lt;INDEX('Программа тренировок'!$L$6:$L$25,$M1927),"RIR ниже цели","В диапазоне")))))</f>
        <v/>
      </c>
      <c r="M1927" s="23" t="str">
        <f aca="false">IF($C1927="","",IFERROR(MATCH($C1927,'Программа тренировок'!$C$6:$C$25,0),""))</f>
        <v/>
      </c>
    </row>
    <row r="1928" customFormat="false" ht="15" hidden="false" customHeight="true" outlineLevel="0" collapsed="false">
      <c r="A1928" s="20"/>
      <c r="B1928" s="21"/>
      <c r="C1928" s="19"/>
      <c r="D1928" s="18"/>
      <c r="E1928" s="17"/>
      <c r="F1928" s="18"/>
      <c r="G1928" s="18"/>
      <c r="H1928" s="21"/>
      <c r="I1928" s="19"/>
      <c r="J1928" s="8" t="str">
        <f aca="false">IF(OR(E1928="",F1928=""),"",E1928*F1928)</f>
        <v/>
      </c>
      <c r="K1928" s="22" t="str">
        <f aca="false">IF($M1928="","",INDEX('Программа тренировок'!$G$6:$G$25,$M1928))</f>
        <v/>
      </c>
      <c r="L1928" s="23" t="str">
        <f aca="false">IF(OR($M1928="",$F1928="",$G1928=""),"",IF($H1928="Разминка","Разминка",IF($F1928&lt;INDEX('Программа тренировок'!$E$6:$E$25,$M1928),"Ниже диапазона",IF(AND($F1928&gt;=INDEX('Программа тренировок'!$F$6:$F$25,$M1928),$G1928&gt;=INDEX('Программа тренировок'!$L$6:$L$25,$M1928)),"Верх диапазона: пора добавлять вес",IF($G1928&lt;INDEX('Программа тренировок'!$L$6:$L$25,$M1928),"RIR ниже цели","В диапазоне")))))</f>
        <v/>
      </c>
      <c r="M1928" s="23" t="str">
        <f aca="false">IF($C1928="","",IFERROR(MATCH($C1928,'Программа тренировок'!$C$6:$C$25,0),""))</f>
        <v/>
      </c>
    </row>
    <row r="1929" customFormat="false" ht="15" hidden="false" customHeight="true" outlineLevel="0" collapsed="false">
      <c r="A1929" s="20"/>
      <c r="B1929" s="21"/>
      <c r="C1929" s="19"/>
      <c r="D1929" s="18"/>
      <c r="E1929" s="17"/>
      <c r="F1929" s="18"/>
      <c r="G1929" s="18"/>
      <c r="H1929" s="21"/>
      <c r="I1929" s="19"/>
      <c r="J1929" s="8" t="str">
        <f aca="false">IF(OR(E1929="",F1929=""),"",E1929*F1929)</f>
        <v/>
      </c>
      <c r="K1929" s="22" t="str">
        <f aca="false">IF($M1929="","",INDEX('Программа тренировок'!$G$6:$G$25,$M1929))</f>
        <v/>
      </c>
      <c r="L1929" s="23" t="str">
        <f aca="false">IF(OR($M1929="",$F1929="",$G1929=""),"",IF($H1929="Разминка","Разминка",IF($F1929&lt;INDEX('Программа тренировок'!$E$6:$E$25,$M1929),"Ниже диапазона",IF(AND($F1929&gt;=INDEX('Программа тренировок'!$F$6:$F$25,$M1929),$G1929&gt;=INDEX('Программа тренировок'!$L$6:$L$25,$M1929)),"Верх диапазона: пора добавлять вес",IF($G1929&lt;INDEX('Программа тренировок'!$L$6:$L$25,$M1929),"RIR ниже цели","В диапазоне")))))</f>
        <v/>
      </c>
      <c r="M1929" s="23" t="str">
        <f aca="false">IF($C1929="","",IFERROR(MATCH($C1929,'Программа тренировок'!$C$6:$C$25,0),""))</f>
        <v/>
      </c>
    </row>
    <row r="1930" customFormat="false" ht="15" hidden="false" customHeight="true" outlineLevel="0" collapsed="false">
      <c r="A1930" s="20"/>
      <c r="B1930" s="21"/>
      <c r="C1930" s="19"/>
      <c r="D1930" s="18"/>
      <c r="E1930" s="17"/>
      <c r="F1930" s="18"/>
      <c r="G1930" s="18"/>
      <c r="H1930" s="21"/>
      <c r="I1930" s="19"/>
      <c r="J1930" s="8" t="str">
        <f aca="false">IF(OR(E1930="",F1930=""),"",E1930*F1930)</f>
        <v/>
      </c>
      <c r="K1930" s="22" t="str">
        <f aca="false">IF($M1930="","",INDEX('Программа тренировок'!$G$6:$G$25,$M1930))</f>
        <v/>
      </c>
      <c r="L1930" s="23" t="str">
        <f aca="false">IF(OR($M1930="",$F1930="",$G1930=""),"",IF($H1930="Разминка","Разминка",IF($F1930&lt;INDEX('Программа тренировок'!$E$6:$E$25,$M1930),"Ниже диапазона",IF(AND($F1930&gt;=INDEX('Программа тренировок'!$F$6:$F$25,$M1930),$G1930&gt;=INDEX('Программа тренировок'!$L$6:$L$25,$M1930)),"Верх диапазона: пора добавлять вес",IF($G1930&lt;INDEX('Программа тренировок'!$L$6:$L$25,$M1930),"RIR ниже цели","В диапазоне")))))</f>
        <v/>
      </c>
      <c r="M1930" s="23" t="str">
        <f aca="false">IF($C1930="","",IFERROR(MATCH($C1930,'Программа тренировок'!$C$6:$C$25,0),""))</f>
        <v/>
      </c>
    </row>
    <row r="1931" customFormat="false" ht="15" hidden="false" customHeight="true" outlineLevel="0" collapsed="false">
      <c r="A1931" s="20"/>
      <c r="B1931" s="21"/>
      <c r="C1931" s="19"/>
      <c r="D1931" s="18"/>
      <c r="E1931" s="17"/>
      <c r="F1931" s="18"/>
      <c r="G1931" s="18"/>
      <c r="H1931" s="21"/>
      <c r="I1931" s="19"/>
      <c r="J1931" s="8" t="str">
        <f aca="false">IF(OR(E1931="",F1931=""),"",E1931*F1931)</f>
        <v/>
      </c>
      <c r="K1931" s="22" t="str">
        <f aca="false">IF($M1931="","",INDEX('Программа тренировок'!$G$6:$G$25,$M1931))</f>
        <v/>
      </c>
      <c r="L1931" s="23" t="str">
        <f aca="false">IF(OR($M1931="",$F1931="",$G1931=""),"",IF($H1931="Разминка","Разминка",IF($F1931&lt;INDEX('Программа тренировок'!$E$6:$E$25,$M1931),"Ниже диапазона",IF(AND($F1931&gt;=INDEX('Программа тренировок'!$F$6:$F$25,$M1931),$G1931&gt;=INDEX('Программа тренировок'!$L$6:$L$25,$M1931)),"Верх диапазона: пора добавлять вес",IF($G1931&lt;INDEX('Программа тренировок'!$L$6:$L$25,$M1931),"RIR ниже цели","В диапазоне")))))</f>
        <v/>
      </c>
      <c r="M1931" s="23" t="str">
        <f aca="false">IF($C1931="","",IFERROR(MATCH($C1931,'Программа тренировок'!$C$6:$C$25,0),""))</f>
        <v/>
      </c>
    </row>
    <row r="1932" customFormat="false" ht="15" hidden="false" customHeight="true" outlineLevel="0" collapsed="false">
      <c r="A1932" s="20"/>
      <c r="B1932" s="21"/>
      <c r="C1932" s="19"/>
      <c r="D1932" s="18"/>
      <c r="E1932" s="17"/>
      <c r="F1932" s="18"/>
      <c r="G1932" s="18"/>
      <c r="H1932" s="21"/>
      <c r="I1932" s="19"/>
      <c r="J1932" s="8" t="str">
        <f aca="false">IF(OR(E1932="",F1932=""),"",E1932*F1932)</f>
        <v/>
      </c>
      <c r="K1932" s="22" t="str">
        <f aca="false">IF($M1932="","",INDEX('Программа тренировок'!$G$6:$G$25,$M1932))</f>
        <v/>
      </c>
      <c r="L1932" s="23" t="str">
        <f aca="false">IF(OR($M1932="",$F1932="",$G1932=""),"",IF($H1932="Разминка","Разминка",IF($F1932&lt;INDEX('Программа тренировок'!$E$6:$E$25,$M1932),"Ниже диапазона",IF(AND($F1932&gt;=INDEX('Программа тренировок'!$F$6:$F$25,$M1932),$G1932&gt;=INDEX('Программа тренировок'!$L$6:$L$25,$M1932)),"Верх диапазона: пора добавлять вес",IF($G1932&lt;INDEX('Программа тренировок'!$L$6:$L$25,$M1932),"RIR ниже цели","В диапазоне")))))</f>
        <v/>
      </c>
      <c r="M1932" s="23" t="str">
        <f aca="false">IF($C1932="","",IFERROR(MATCH($C1932,'Программа тренировок'!$C$6:$C$25,0),""))</f>
        <v/>
      </c>
    </row>
    <row r="1933" customFormat="false" ht="15" hidden="false" customHeight="true" outlineLevel="0" collapsed="false">
      <c r="A1933" s="20"/>
      <c r="B1933" s="21"/>
      <c r="C1933" s="19"/>
      <c r="D1933" s="18"/>
      <c r="E1933" s="17"/>
      <c r="F1933" s="18"/>
      <c r="G1933" s="18"/>
      <c r="H1933" s="21"/>
      <c r="I1933" s="19"/>
      <c r="J1933" s="8" t="str">
        <f aca="false">IF(OR(E1933="",F1933=""),"",E1933*F1933)</f>
        <v/>
      </c>
      <c r="K1933" s="22" t="str">
        <f aca="false">IF($M1933="","",INDEX('Программа тренировок'!$G$6:$G$25,$M1933))</f>
        <v/>
      </c>
      <c r="L1933" s="23" t="str">
        <f aca="false">IF(OR($M1933="",$F1933="",$G1933=""),"",IF($H1933="Разминка","Разминка",IF($F1933&lt;INDEX('Программа тренировок'!$E$6:$E$25,$M1933),"Ниже диапазона",IF(AND($F1933&gt;=INDEX('Программа тренировок'!$F$6:$F$25,$M1933),$G1933&gt;=INDEX('Программа тренировок'!$L$6:$L$25,$M1933)),"Верх диапазона: пора добавлять вес",IF($G1933&lt;INDEX('Программа тренировок'!$L$6:$L$25,$M1933),"RIR ниже цели","В диапазоне")))))</f>
        <v/>
      </c>
      <c r="M1933" s="23" t="str">
        <f aca="false">IF($C1933="","",IFERROR(MATCH($C1933,'Программа тренировок'!$C$6:$C$25,0),""))</f>
        <v/>
      </c>
    </row>
    <row r="1934" customFormat="false" ht="15" hidden="false" customHeight="true" outlineLevel="0" collapsed="false">
      <c r="A1934" s="20"/>
      <c r="B1934" s="21"/>
      <c r="C1934" s="19"/>
      <c r="D1934" s="18"/>
      <c r="E1934" s="17"/>
      <c r="F1934" s="18"/>
      <c r="G1934" s="18"/>
      <c r="H1934" s="21"/>
      <c r="I1934" s="19"/>
      <c r="J1934" s="8" t="str">
        <f aca="false">IF(OR(E1934="",F1934=""),"",E1934*F1934)</f>
        <v/>
      </c>
      <c r="K1934" s="22" t="str">
        <f aca="false">IF($M1934="","",INDEX('Программа тренировок'!$G$6:$G$25,$M1934))</f>
        <v/>
      </c>
      <c r="L1934" s="23" t="str">
        <f aca="false">IF(OR($M1934="",$F1934="",$G1934=""),"",IF($H1934="Разминка","Разминка",IF($F1934&lt;INDEX('Программа тренировок'!$E$6:$E$25,$M1934),"Ниже диапазона",IF(AND($F1934&gt;=INDEX('Программа тренировок'!$F$6:$F$25,$M1934),$G1934&gt;=INDEX('Программа тренировок'!$L$6:$L$25,$M1934)),"Верх диапазона: пора добавлять вес",IF($G1934&lt;INDEX('Программа тренировок'!$L$6:$L$25,$M1934),"RIR ниже цели","В диапазоне")))))</f>
        <v/>
      </c>
      <c r="M1934" s="23" t="str">
        <f aca="false">IF($C1934="","",IFERROR(MATCH($C1934,'Программа тренировок'!$C$6:$C$25,0),""))</f>
        <v/>
      </c>
    </row>
    <row r="1935" customFormat="false" ht="15" hidden="false" customHeight="true" outlineLevel="0" collapsed="false">
      <c r="A1935" s="20"/>
      <c r="B1935" s="21"/>
      <c r="C1935" s="19"/>
      <c r="D1935" s="18"/>
      <c r="E1935" s="17"/>
      <c r="F1935" s="18"/>
      <c r="G1935" s="18"/>
      <c r="H1935" s="21"/>
      <c r="I1935" s="19"/>
      <c r="J1935" s="8" t="str">
        <f aca="false">IF(OR(E1935="",F1935=""),"",E1935*F1935)</f>
        <v/>
      </c>
      <c r="K1935" s="22" t="str">
        <f aca="false">IF($M1935="","",INDEX('Программа тренировок'!$G$6:$G$25,$M1935))</f>
        <v/>
      </c>
      <c r="L1935" s="23" t="str">
        <f aca="false">IF(OR($M1935="",$F1935="",$G1935=""),"",IF($H1935="Разминка","Разминка",IF($F1935&lt;INDEX('Программа тренировок'!$E$6:$E$25,$M1935),"Ниже диапазона",IF(AND($F1935&gt;=INDEX('Программа тренировок'!$F$6:$F$25,$M1935),$G1935&gt;=INDEX('Программа тренировок'!$L$6:$L$25,$M1935)),"Верх диапазона: пора добавлять вес",IF($G1935&lt;INDEX('Программа тренировок'!$L$6:$L$25,$M1935),"RIR ниже цели","В диапазоне")))))</f>
        <v/>
      </c>
      <c r="M1935" s="23" t="str">
        <f aca="false">IF($C1935="","",IFERROR(MATCH($C1935,'Программа тренировок'!$C$6:$C$25,0),""))</f>
        <v/>
      </c>
    </row>
    <row r="1936" customFormat="false" ht="15" hidden="false" customHeight="true" outlineLevel="0" collapsed="false">
      <c r="A1936" s="20"/>
      <c r="B1936" s="21"/>
      <c r="C1936" s="19"/>
      <c r="D1936" s="18"/>
      <c r="E1936" s="17"/>
      <c r="F1936" s="18"/>
      <c r="G1936" s="18"/>
      <c r="H1936" s="21"/>
      <c r="I1936" s="19"/>
      <c r="J1936" s="8" t="str">
        <f aca="false">IF(OR(E1936="",F1936=""),"",E1936*F1936)</f>
        <v/>
      </c>
      <c r="K1936" s="22" t="str">
        <f aca="false">IF($M1936="","",INDEX('Программа тренировок'!$G$6:$G$25,$M1936))</f>
        <v/>
      </c>
      <c r="L1936" s="23" t="str">
        <f aca="false">IF(OR($M1936="",$F1936="",$G1936=""),"",IF($H1936="Разминка","Разминка",IF($F1936&lt;INDEX('Программа тренировок'!$E$6:$E$25,$M1936),"Ниже диапазона",IF(AND($F1936&gt;=INDEX('Программа тренировок'!$F$6:$F$25,$M1936),$G1936&gt;=INDEX('Программа тренировок'!$L$6:$L$25,$M1936)),"Верх диапазона: пора добавлять вес",IF($G1936&lt;INDEX('Программа тренировок'!$L$6:$L$25,$M1936),"RIR ниже цели","В диапазоне")))))</f>
        <v/>
      </c>
      <c r="M1936" s="23" t="str">
        <f aca="false">IF($C1936="","",IFERROR(MATCH($C1936,'Программа тренировок'!$C$6:$C$25,0),""))</f>
        <v/>
      </c>
    </row>
    <row r="1937" customFormat="false" ht="15" hidden="false" customHeight="true" outlineLevel="0" collapsed="false">
      <c r="A1937" s="20"/>
      <c r="B1937" s="21"/>
      <c r="C1937" s="19"/>
      <c r="D1937" s="18"/>
      <c r="E1937" s="17"/>
      <c r="F1937" s="18"/>
      <c r="G1937" s="18"/>
      <c r="H1937" s="21"/>
      <c r="I1937" s="19"/>
      <c r="J1937" s="8" t="str">
        <f aca="false">IF(OR(E1937="",F1937=""),"",E1937*F1937)</f>
        <v/>
      </c>
      <c r="K1937" s="22" t="str">
        <f aca="false">IF($M1937="","",INDEX('Программа тренировок'!$G$6:$G$25,$M1937))</f>
        <v/>
      </c>
      <c r="L1937" s="23" t="str">
        <f aca="false">IF(OR($M1937="",$F1937="",$G1937=""),"",IF($H1937="Разминка","Разминка",IF($F1937&lt;INDEX('Программа тренировок'!$E$6:$E$25,$M1937),"Ниже диапазона",IF(AND($F1937&gt;=INDEX('Программа тренировок'!$F$6:$F$25,$M1937),$G1937&gt;=INDEX('Программа тренировок'!$L$6:$L$25,$M1937)),"Верх диапазона: пора добавлять вес",IF($G1937&lt;INDEX('Программа тренировок'!$L$6:$L$25,$M1937),"RIR ниже цели","В диапазоне")))))</f>
        <v/>
      </c>
      <c r="M1937" s="23" t="str">
        <f aca="false">IF($C1937="","",IFERROR(MATCH($C1937,'Программа тренировок'!$C$6:$C$25,0),""))</f>
        <v/>
      </c>
    </row>
    <row r="1938" customFormat="false" ht="15" hidden="false" customHeight="true" outlineLevel="0" collapsed="false">
      <c r="A1938" s="20"/>
      <c r="B1938" s="21"/>
      <c r="C1938" s="19"/>
      <c r="D1938" s="18"/>
      <c r="E1938" s="17"/>
      <c r="F1938" s="18"/>
      <c r="G1938" s="18"/>
      <c r="H1938" s="21"/>
      <c r="I1938" s="19"/>
      <c r="J1938" s="8" t="str">
        <f aca="false">IF(OR(E1938="",F1938=""),"",E1938*F1938)</f>
        <v/>
      </c>
      <c r="K1938" s="22" t="str">
        <f aca="false">IF($M1938="","",INDEX('Программа тренировок'!$G$6:$G$25,$M1938))</f>
        <v/>
      </c>
      <c r="L1938" s="23" t="str">
        <f aca="false">IF(OR($M1938="",$F1938="",$G1938=""),"",IF($H1938="Разминка","Разминка",IF($F1938&lt;INDEX('Программа тренировок'!$E$6:$E$25,$M1938),"Ниже диапазона",IF(AND($F1938&gt;=INDEX('Программа тренировок'!$F$6:$F$25,$M1938),$G1938&gt;=INDEX('Программа тренировок'!$L$6:$L$25,$M1938)),"Верх диапазона: пора добавлять вес",IF($G1938&lt;INDEX('Программа тренировок'!$L$6:$L$25,$M1938),"RIR ниже цели","В диапазоне")))))</f>
        <v/>
      </c>
      <c r="M1938" s="23" t="str">
        <f aca="false">IF($C1938="","",IFERROR(MATCH($C1938,'Программа тренировок'!$C$6:$C$25,0),""))</f>
        <v/>
      </c>
    </row>
    <row r="1939" customFormat="false" ht="15" hidden="false" customHeight="true" outlineLevel="0" collapsed="false">
      <c r="A1939" s="20"/>
      <c r="B1939" s="21"/>
      <c r="C1939" s="19"/>
      <c r="D1939" s="18"/>
      <c r="E1939" s="17"/>
      <c r="F1939" s="18"/>
      <c r="G1939" s="18"/>
      <c r="H1939" s="21"/>
      <c r="I1939" s="19"/>
      <c r="J1939" s="8" t="str">
        <f aca="false">IF(OR(E1939="",F1939=""),"",E1939*F1939)</f>
        <v/>
      </c>
      <c r="K1939" s="22" t="str">
        <f aca="false">IF($M1939="","",INDEX('Программа тренировок'!$G$6:$G$25,$M1939))</f>
        <v/>
      </c>
      <c r="L1939" s="23" t="str">
        <f aca="false">IF(OR($M1939="",$F1939="",$G1939=""),"",IF($H1939="Разминка","Разминка",IF($F1939&lt;INDEX('Программа тренировок'!$E$6:$E$25,$M1939),"Ниже диапазона",IF(AND($F1939&gt;=INDEX('Программа тренировок'!$F$6:$F$25,$M1939),$G1939&gt;=INDEX('Программа тренировок'!$L$6:$L$25,$M1939)),"Верх диапазона: пора добавлять вес",IF($G1939&lt;INDEX('Программа тренировок'!$L$6:$L$25,$M1939),"RIR ниже цели","В диапазоне")))))</f>
        <v/>
      </c>
      <c r="M1939" s="23" t="str">
        <f aca="false">IF($C1939="","",IFERROR(MATCH($C1939,'Программа тренировок'!$C$6:$C$25,0),""))</f>
        <v/>
      </c>
    </row>
    <row r="1940" customFormat="false" ht="15" hidden="false" customHeight="true" outlineLevel="0" collapsed="false">
      <c r="A1940" s="20"/>
      <c r="B1940" s="21"/>
      <c r="C1940" s="19"/>
      <c r="D1940" s="18"/>
      <c r="E1940" s="17"/>
      <c r="F1940" s="18"/>
      <c r="G1940" s="18"/>
      <c r="H1940" s="21"/>
      <c r="I1940" s="19"/>
      <c r="J1940" s="8" t="str">
        <f aca="false">IF(OR(E1940="",F1940=""),"",E1940*F1940)</f>
        <v/>
      </c>
      <c r="K1940" s="22" t="str">
        <f aca="false">IF($M1940="","",INDEX('Программа тренировок'!$G$6:$G$25,$M1940))</f>
        <v/>
      </c>
      <c r="L1940" s="23" t="str">
        <f aca="false">IF(OR($M1940="",$F1940="",$G1940=""),"",IF($H1940="Разминка","Разминка",IF($F1940&lt;INDEX('Программа тренировок'!$E$6:$E$25,$M1940),"Ниже диапазона",IF(AND($F1940&gt;=INDEX('Программа тренировок'!$F$6:$F$25,$M1940),$G1940&gt;=INDEX('Программа тренировок'!$L$6:$L$25,$M1940)),"Верх диапазона: пора добавлять вес",IF($G1940&lt;INDEX('Программа тренировок'!$L$6:$L$25,$M1940),"RIR ниже цели","В диапазоне")))))</f>
        <v/>
      </c>
      <c r="M1940" s="23" t="str">
        <f aca="false">IF($C1940="","",IFERROR(MATCH($C1940,'Программа тренировок'!$C$6:$C$25,0),""))</f>
        <v/>
      </c>
    </row>
    <row r="1941" customFormat="false" ht="15" hidden="false" customHeight="true" outlineLevel="0" collapsed="false">
      <c r="A1941" s="20"/>
      <c r="B1941" s="21"/>
      <c r="C1941" s="19"/>
      <c r="D1941" s="18"/>
      <c r="E1941" s="17"/>
      <c r="F1941" s="18"/>
      <c r="G1941" s="18"/>
      <c r="H1941" s="21"/>
      <c r="I1941" s="19"/>
      <c r="J1941" s="8" t="str">
        <f aca="false">IF(OR(E1941="",F1941=""),"",E1941*F1941)</f>
        <v/>
      </c>
      <c r="K1941" s="22" t="str">
        <f aca="false">IF($M1941="","",INDEX('Программа тренировок'!$G$6:$G$25,$M1941))</f>
        <v/>
      </c>
      <c r="L1941" s="23" t="str">
        <f aca="false">IF(OR($M1941="",$F1941="",$G1941=""),"",IF($H1941="Разминка","Разминка",IF($F1941&lt;INDEX('Программа тренировок'!$E$6:$E$25,$M1941),"Ниже диапазона",IF(AND($F1941&gt;=INDEX('Программа тренировок'!$F$6:$F$25,$M1941),$G1941&gt;=INDEX('Программа тренировок'!$L$6:$L$25,$M1941)),"Верх диапазона: пора добавлять вес",IF($G1941&lt;INDEX('Программа тренировок'!$L$6:$L$25,$M1941),"RIR ниже цели","В диапазоне")))))</f>
        <v/>
      </c>
      <c r="M1941" s="23" t="str">
        <f aca="false">IF($C1941="","",IFERROR(MATCH($C1941,'Программа тренировок'!$C$6:$C$25,0),""))</f>
        <v/>
      </c>
    </row>
    <row r="1942" customFormat="false" ht="15" hidden="false" customHeight="true" outlineLevel="0" collapsed="false">
      <c r="A1942" s="20"/>
      <c r="B1942" s="21"/>
      <c r="C1942" s="19"/>
      <c r="D1942" s="18"/>
      <c r="E1942" s="17"/>
      <c r="F1942" s="18"/>
      <c r="G1942" s="18"/>
      <c r="H1942" s="21"/>
      <c r="I1942" s="19"/>
      <c r="J1942" s="8" t="str">
        <f aca="false">IF(OR(E1942="",F1942=""),"",E1942*F1942)</f>
        <v/>
      </c>
      <c r="K1942" s="22" t="str">
        <f aca="false">IF($M1942="","",INDEX('Программа тренировок'!$G$6:$G$25,$M1942))</f>
        <v/>
      </c>
      <c r="L1942" s="23" t="str">
        <f aca="false">IF(OR($M1942="",$F1942="",$G1942=""),"",IF($H1942="Разминка","Разминка",IF($F1942&lt;INDEX('Программа тренировок'!$E$6:$E$25,$M1942),"Ниже диапазона",IF(AND($F1942&gt;=INDEX('Программа тренировок'!$F$6:$F$25,$M1942),$G1942&gt;=INDEX('Программа тренировок'!$L$6:$L$25,$M1942)),"Верх диапазона: пора добавлять вес",IF($G1942&lt;INDEX('Программа тренировок'!$L$6:$L$25,$M1942),"RIR ниже цели","В диапазоне")))))</f>
        <v/>
      </c>
      <c r="M1942" s="23" t="str">
        <f aca="false">IF($C1942="","",IFERROR(MATCH($C1942,'Программа тренировок'!$C$6:$C$25,0),""))</f>
        <v/>
      </c>
    </row>
    <row r="1943" customFormat="false" ht="15" hidden="false" customHeight="true" outlineLevel="0" collapsed="false">
      <c r="A1943" s="20"/>
      <c r="B1943" s="21"/>
      <c r="C1943" s="19"/>
      <c r="D1943" s="18"/>
      <c r="E1943" s="17"/>
      <c r="F1943" s="18"/>
      <c r="G1943" s="18"/>
      <c r="H1943" s="21"/>
      <c r="I1943" s="19"/>
      <c r="J1943" s="8" t="str">
        <f aca="false">IF(OR(E1943="",F1943=""),"",E1943*F1943)</f>
        <v/>
      </c>
      <c r="K1943" s="22" t="str">
        <f aca="false">IF($M1943="","",INDEX('Программа тренировок'!$G$6:$G$25,$M1943))</f>
        <v/>
      </c>
      <c r="L1943" s="23" t="str">
        <f aca="false">IF(OR($M1943="",$F1943="",$G1943=""),"",IF($H1943="Разминка","Разминка",IF($F1943&lt;INDEX('Программа тренировок'!$E$6:$E$25,$M1943),"Ниже диапазона",IF(AND($F1943&gt;=INDEX('Программа тренировок'!$F$6:$F$25,$M1943),$G1943&gt;=INDEX('Программа тренировок'!$L$6:$L$25,$M1943)),"Верх диапазона: пора добавлять вес",IF($G1943&lt;INDEX('Программа тренировок'!$L$6:$L$25,$M1943),"RIR ниже цели","В диапазоне")))))</f>
        <v/>
      </c>
      <c r="M1943" s="23" t="str">
        <f aca="false">IF($C1943="","",IFERROR(MATCH($C1943,'Программа тренировок'!$C$6:$C$25,0),""))</f>
        <v/>
      </c>
    </row>
    <row r="1944" customFormat="false" ht="15" hidden="false" customHeight="true" outlineLevel="0" collapsed="false">
      <c r="A1944" s="20"/>
      <c r="B1944" s="21"/>
      <c r="C1944" s="19"/>
      <c r="D1944" s="18"/>
      <c r="E1944" s="17"/>
      <c r="F1944" s="18"/>
      <c r="G1944" s="18"/>
      <c r="H1944" s="21"/>
      <c r="I1944" s="19"/>
      <c r="J1944" s="8" t="str">
        <f aca="false">IF(OR(E1944="",F1944=""),"",E1944*F1944)</f>
        <v/>
      </c>
      <c r="K1944" s="22" t="str">
        <f aca="false">IF($M1944="","",INDEX('Программа тренировок'!$G$6:$G$25,$M1944))</f>
        <v/>
      </c>
      <c r="L1944" s="23" t="str">
        <f aca="false">IF(OR($M1944="",$F1944="",$G1944=""),"",IF($H1944="Разминка","Разминка",IF($F1944&lt;INDEX('Программа тренировок'!$E$6:$E$25,$M1944),"Ниже диапазона",IF(AND($F1944&gt;=INDEX('Программа тренировок'!$F$6:$F$25,$M1944),$G1944&gt;=INDEX('Программа тренировок'!$L$6:$L$25,$M1944)),"Верх диапазона: пора добавлять вес",IF($G1944&lt;INDEX('Программа тренировок'!$L$6:$L$25,$M1944),"RIR ниже цели","В диапазоне")))))</f>
        <v/>
      </c>
      <c r="M1944" s="23" t="str">
        <f aca="false">IF($C1944="","",IFERROR(MATCH($C1944,'Программа тренировок'!$C$6:$C$25,0),""))</f>
        <v/>
      </c>
    </row>
    <row r="1945" customFormat="false" ht="15" hidden="false" customHeight="true" outlineLevel="0" collapsed="false">
      <c r="A1945" s="20"/>
      <c r="B1945" s="21"/>
      <c r="C1945" s="19"/>
      <c r="D1945" s="18"/>
      <c r="E1945" s="17"/>
      <c r="F1945" s="18"/>
      <c r="G1945" s="18"/>
      <c r="H1945" s="21"/>
      <c r="I1945" s="19"/>
      <c r="J1945" s="8" t="str">
        <f aca="false">IF(OR(E1945="",F1945=""),"",E1945*F1945)</f>
        <v/>
      </c>
      <c r="K1945" s="22" t="str">
        <f aca="false">IF($M1945="","",INDEX('Программа тренировок'!$G$6:$G$25,$M1945))</f>
        <v/>
      </c>
      <c r="L1945" s="23" t="str">
        <f aca="false">IF(OR($M1945="",$F1945="",$G1945=""),"",IF($H1945="Разминка","Разминка",IF($F1945&lt;INDEX('Программа тренировок'!$E$6:$E$25,$M1945),"Ниже диапазона",IF(AND($F1945&gt;=INDEX('Программа тренировок'!$F$6:$F$25,$M1945),$G1945&gt;=INDEX('Программа тренировок'!$L$6:$L$25,$M1945)),"Верх диапазона: пора добавлять вес",IF($G1945&lt;INDEX('Программа тренировок'!$L$6:$L$25,$M1945),"RIR ниже цели","В диапазоне")))))</f>
        <v/>
      </c>
      <c r="M1945" s="23" t="str">
        <f aca="false">IF($C1945="","",IFERROR(MATCH($C1945,'Программа тренировок'!$C$6:$C$25,0),""))</f>
        <v/>
      </c>
    </row>
    <row r="1946" customFormat="false" ht="15" hidden="false" customHeight="true" outlineLevel="0" collapsed="false">
      <c r="A1946" s="20"/>
      <c r="B1946" s="21"/>
      <c r="C1946" s="19"/>
      <c r="D1946" s="18"/>
      <c r="E1946" s="17"/>
      <c r="F1946" s="18"/>
      <c r="G1946" s="18"/>
      <c r="H1946" s="21"/>
      <c r="I1946" s="19"/>
      <c r="J1946" s="8" t="str">
        <f aca="false">IF(OR(E1946="",F1946=""),"",E1946*F1946)</f>
        <v/>
      </c>
      <c r="K1946" s="22" t="str">
        <f aca="false">IF($M1946="","",INDEX('Программа тренировок'!$G$6:$G$25,$M1946))</f>
        <v/>
      </c>
      <c r="L1946" s="23" t="str">
        <f aca="false">IF(OR($M1946="",$F1946="",$G1946=""),"",IF($H1946="Разминка","Разминка",IF($F1946&lt;INDEX('Программа тренировок'!$E$6:$E$25,$M1946),"Ниже диапазона",IF(AND($F1946&gt;=INDEX('Программа тренировок'!$F$6:$F$25,$M1946),$G1946&gt;=INDEX('Программа тренировок'!$L$6:$L$25,$M1946)),"Верх диапазона: пора добавлять вес",IF($G1946&lt;INDEX('Программа тренировок'!$L$6:$L$25,$M1946),"RIR ниже цели","В диапазоне")))))</f>
        <v/>
      </c>
      <c r="M1946" s="23" t="str">
        <f aca="false">IF($C1946="","",IFERROR(MATCH($C1946,'Программа тренировок'!$C$6:$C$25,0),""))</f>
        <v/>
      </c>
    </row>
    <row r="1947" customFormat="false" ht="15" hidden="false" customHeight="true" outlineLevel="0" collapsed="false">
      <c r="A1947" s="20"/>
      <c r="B1947" s="21"/>
      <c r="C1947" s="19"/>
      <c r="D1947" s="18"/>
      <c r="E1947" s="17"/>
      <c r="F1947" s="18"/>
      <c r="G1947" s="18"/>
      <c r="H1947" s="21"/>
      <c r="I1947" s="19"/>
      <c r="J1947" s="8" t="str">
        <f aca="false">IF(OR(E1947="",F1947=""),"",E1947*F1947)</f>
        <v/>
      </c>
      <c r="K1947" s="22" t="str">
        <f aca="false">IF($M1947="","",INDEX('Программа тренировок'!$G$6:$G$25,$M1947))</f>
        <v/>
      </c>
      <c r="L1947" s="23" t="str">
        <f aca="false">IF(OR($M1947="",$F1947="",$G1947=""),"",IF($H1947="Разминка","Разминка",IF($F1947&lt;INDEX('Программа тренировок'!$E$6:$E$25,$M1947),"Ниже диапазона",IF(AND($F1947&gt;=INDEX('Программа тренировок'!$F$6:$F$25,$M1947),$G1947&gt;=INDEX('Программа тренировок'!$L$6:$L$25,$M1947)),"Верх диапазона: пора добавлять вес",IF($G1947&lt;INDEX('Программа тренировок'!$L$6:$L$25,$M1947),"RIR ниже цели","В диапазоне")))))</f>
        <v/>
      </c>
      <c r="M1947" s="23" t="str">
        <f aca="false">IF($C1947="","",IFERROR(MATCH($C1947,'Программа тренировок'!$C$6:$C$25,0),""))</f>
        <v/>
      </c>
    </row>
    <row r="1948" customFormat="false" ht="15" hidden="false" customHeight="true" outlineLevel="0" collapsed="false">
      <c r="A1948" s="20"/>
      <c r="B1948" s="21"/>
      <c r="C1948" s="19"/>
      <c r="D1948" s="18"/>
      <c r="E1948" s="17"/>
      <c r="F1948" s="18"/>
      <c r="G1948" s="18"/>
      <c r="H1948" s="21"/>
      <c r="I1948" s="19"/>
      <c r="J1948" s="8" t="str">
        <f aca="false">IF(OR(E1948="",F1948=""),"",E1948*F1948)</f>
        <v/>
      </c>
      <c r="K1948" s="22" t="str">
        <f aca="false">IF($M1948="","",INDEX('Программа тренировок'!$G$6:$G$25,$M1948))</f>
        <v/>
      </c>
      <c r="L1948" s="23" t="str">
        <f aca="false">IF(OR($M1948="",$F1948="",$G1948=""),"",IF($H1948="Разминка","Разминка",IF($F1948&lt;INDEX('Программа тренировок'!$E$6:$E$25,$M1948),"Ниже диапазона",IF(AND($F1948&gt;=INDEX('Программа тренировок'!$F$6:$F$25,$M1948),$G1948&gt;=INDEX('Программа тренировок'!$L$6:$L$25,$M1948)),"Верх диапазона: пора добавлять вес",IF($G1948&lt;INDEX('Программа тренировок'!$L$6:$L$25,$M1948),"RIR ниже цели","В диапазоне")))))</f>
        <v/>
      </c>
      <c r="M1948" s="23" t="str">
        <f aca="false">IF($C1948="","",IFERROR(MATCH($C1948,'Программа тренировок'!$C$6:$C$25,0),""))</f>
        <v/>
      </c>
    </row>
    <row r="1949" customFormat="false" ht="15" hidden="false" customHeight="true" outlineLevel="0" collapsed="false">
      <c r="A1949" s="20"/>
      <c r="B1949" s="21"/>
      <c r="C1949" s="19"/>
      <c r="D1949" s="18"/>
      <c r="E1949" s="17"/>
      <c r="F1949" s="18"/>
      <c r="G1949" s="18"/>
      <c r="H1949" s="21"/>
      <c r="I1949" s="19"/>
      <c r="J1949" s="8" t="str">
        <f aca="false">IF(OR(E1949="",F1949=""),"",E1949*F1949)</f>
        <v/>
      </c>
      <c r="K1949" s="22" t="str">
        <f aca="false">IF($M1949="","",INDEX('Программа тренировок'!$G$6:$G$25,$M1949))</f>
        <v/>
      </c>
      <c r="L1949" s="23" t="str">
        <f aca="false">IF(OR($M1949="",$F1949="",$G1949=""),"",IF($H1949="Разминка","Разминка",IF($F1949&lt;INDEX('Программа тренировок'!$E$6:$E$25,$M1949),"Ниже диапазона",IF(AND($F1949&gt;=INDEX('Программа тренировок'!$F$6:$F$25,$M1949),$G1949&gt;=INDEX('Программа тренировок'!$L$6:$L$25,$M1949)),"Верх диапазона: пора добавлять вес",IF($G1949&lt;INDEX('Программа тренировок'!$L$6:$L$25,$M1949),"RIR ниже цели","В диапазоне")))))</f>
        <v/>
      </c>
      <c r="M1949" s="23" t="str">
        <f aca="false">IF($C1949="","",IFERROR(MATCH($C1949,'Программа тренировок'!$C$6:$C$25,0),""))</f>
        <v/>
      </c>
    </row>
    <row r="1950" customFormat="false" ht="15" hidden="false" customHeight="true" outlineLevel="0" collapsed="false">
      <c r="A1950" s="20"/>
      <c r="B1950" s="21"/>
      <c r="C1950" s="19"/>
      <c r="D1950" s="18"/>
      <c r="E1950" s="17"/>
      <c r="F1950" s="18"/>
      <c r="G1950" s="18"/>
      <c r="H1950" s="21"/>
      <c r="I1950" s="19"/>
      <c r="J1950" s="8" t="str">
        <f aca="false">IF(OR(E1950="",F1950=""),"",E1950*F1950)</f>
        <v/>
      </c>
      <c r="K1950" s="22" t="str">
        <f aca="false">IF($M1950="","",INDEX('Программа тренировок'!$G$6:$G$25,$M1950))</f>
        <v/>
      </c>
      <c r="L1950" s="23" t="str">
        <f aca="false">IF(OR($M1950="",$F1950="",$G1950=""),"",IF($H1950="Разминка","Разминка",IF($F1950&lt;INDEX('Программа тренировок'!$E$6:$E$25,$M1950),"Ниже диапазона",IF(AND($F1950&gt;=INDEX('Программа тренировок'!$F$6:$F$25,$M1950),$G1950&gt;=INDEX('Программа тренировок'!$L$6:$L$25,$M1950)),"Верх диапазона: пора добавлять вес",IF($G1950&lt;INDEX('Программа тренировок'!$L$6:$L$25,$M1950),"RIR ниже цели","В диапазоне")))))</f>
        <v/>
      </c>
      <c r="M1950" s="23" t="str">
        <f aca="false">IF($C1950="","",IFERROR(MATCH($C1950,'Программа тренировок'!$C$6:$C$25,0),""))</f>
        <v/>
      </c>
    </row>
    <row r="1951" customFormat="false" ht="15" hidden="false" customHeight="true" outlineLevel="0" collapsed="false">
      <c r="A1951" s="20"/>
      <c r="B1951" s="21"/>
      <c r="C1951" s="19"/>
      <c r="D1951" s="18"/>
      <c r="E1951" s="17"/>
      <c r="F1951" s="18"/>
      <c r="G1951" s="18"/>
      <c r="H1951" s="21"/>
      <c r="I1951" s="19"/>
      <c r="J1951" s="8" t="str">
        <f aca="false">IF(OR(E1951="",F1951=""),"",E1951*F1951)</f>
        <v/>
      </c>
      <c r="K1951" s="22" t="str">
        <f aca="false">IF($M1951="","",INDEX('Программа тренировок'!$G$6:$G$25,$M1951))</f>
        <v/>
      </c>
      <c r="L1951" s="23" t="str">
        <f aca="false">IF(OR($M1951="",$F1951="",$G1951=""),"",IF($H1951="Разминка","Разминка",IF($F1951&lt;INDEX('Программа тренировок'!$E$6:$E$25,$M1951),"Ниже диапазона",IF(AND($F1951&gt;=INDEX('Программа тренировок'!$F$6:$F$25,$M1951),$G1951&gt;=INDEX('Программа тренировок'!$L$6:$L$25,$M1951)),"Верх диапазона: пора добавлять вес",IF($G1951&lt;INDEX('Программа тренировок'!$L$6:$L$25,$M1951),"RIR ниже цели","В диапазоне")))))</f>
        <v/>
      </c>
      <c r="M1951" s="23" t="str">
        <f aca="false">IF($C1951="","",IFERROR(MATCH($C1951,'Программа тренировок'!$C$6:$C$25,0),""))</f>
        <v/>
      </c>
    </row>
    <row r="1952" customFormat="false" ht="15" hidden="false" customHeight="true" outlineLevel="0" collapsed="false">
      <c r="A1952" s="20"/>
      <c r="B1952" s="21"/>
      <c r="C1952" s="19"/>
      <c r="D1952" s="18"/>
      <c r="E1952" s="17"/>
      <c r="F1952" s="18"/>
      <c r="G1952" s="18"/>
      <c r="H1952" s="21"/>
      <c r="I1952" s="19"/>
      <c r="J1952" s="8" t="str">
        <f aca="false">IF(OR(E1952="",F1952=""),"",E1952*F1952)</f>
        <v/>
      </c>
      <c r="K1952" s="22" t="str">
        <f aca="false">IF($M1952="","",INDEX('Программа тренировок'!$G$6:$G$25,$M1952))</f>
        <v/>
      </c>
      <c r="L1952" s="23" t="str">
        <f aca="false">IF(OR($M1952="",$F1952="",$G1952=""),"",IF($H1952="Разминка","Разминка",IF($F1952&lt;INDEX('Программа тренировок'!$E$6:$E$25,$M1952),"Ниже диапазона",IF(AND($F1952&gt;=INDEX('Программа тренировок'!$F$6:$F$25,$M1952),$G1952&gt;=INDEX('Программа тренировок'!$L$6:$L$25,$M1952)),"Верх диапазона: пора добавлять вес",IF($G1952&lt;INDEX('Программа тренировок'!$L$6:$L$25,$M1952),"RIR ниже цели","В диапазоне")))))</f>
        <v/>
      </c>
      <c r="M1952" s="23" t="str">
        <f aca="false">IF($C1952="","",IFERROR(MATCH($C1952,'Программа тренировок'!$C$6:$C$25,0),""))</f>
        <v/>
      </c>
    </row>
    <row r="1953" customFormat="false" ht="15" hidden="false" customHeight="true" outlineLevel="0" collapsed="false">
      <c r="A1953" s="20"/>
      <c r="B1953" s="21"/>
      <c r="C1953" s="19"/>
      <c r="D1953" s="18"/>
      <c r="E1953" s="17"/>
      <c r="F1953" s="18"/>
      <c r="G1953" s="18"/>
      <c r="H1953" s="21"/>
      <c r="I1953" s="19"/>
      <c r="J1953" s="8" t="str">
        <f aca="false">IF(OR(E1953="",F1953=""),"",E1953*F1953)</f>
        <v/>
      </c>
      <c r="K1953" s="22" t="str">
        <f aca="false">IF($M1953="","",INDEX('Программа тренировок'!$G$6:$G$25,$M1953))</f>
        <v/>
      </c>
      <c r="L1953" s="23" t="str">
        <f aca="false">IF(OR($M1953="",$F1953="",$G1953=""),"",IF($H1953="Разминка","Разминка",IF($F1953&lt;INDEX('Программа тренировок'!$E$6:$E$25,$M1953),"Ниже диапазона",IF(AND($F1953&gt;=INDEX('Программа тренировок'!$F$6:$F$25,$M1953),$G1953&gt;=INDEX('Программа тренировок'!$L$6:$L$25,$M1953)),"Верх диапазона: пора добавлять вес",IF($G1953&lt;INDEX('Программа тренировок'!$L$6:$L$25,$M1953),"RIR ниже цели","В диапазоне")))))</f>
        <v/>
      </c>
      <c r="M1953" s="23" t="str">
        <f aca="false">IF($C1953="","",IFERROR(MATCH($C1953,'Программа тренировок'!$C$6:$C$25,0),""))</f>
        <v/>
      </c>
    </row>
    <row r="1954" customFormat="false" ht="15" hidden="false" customHeight="true" outlineLevel="0" collapsed="false">
      <c r="A1954" s="20"/>
      <c r="B1954" s="21"/>
      <c r="C1954" s="19"/>
      <c r="D1954" s="18"/>
      <c r="E1954" s="17"/>
      <c r="F1954" s="18"/>
      <c r="G1954" s="18"/>
      <c r="H1954" s="21"/>
      <c r="I1954" s="19"/>
      <c r="J1954" s="8" t="str">
        <f aca="false">IF(OR(E1954="",F1954=""),"",E1954*F1954)</f>
        <v/>
      </c>
      <c r="K1954" s="22" t="str">
        <f aca="false">IF($M1954="","",INDEX('Программа тренировок'!$G$6:$G$25,$M1954))</f>
        <v/>
      </c>
      <c r="L1954" s="23" t="str">
        <f aca="false">IF(OR($M1954="",$F1954="",$G1954=""),"",IF($H1954="Разминка","Разминка",IF($F1954&lt;INDEX('Программа тренировок'!$E$6:$E$25,$M1954),"Ниже диапазона",IF(AND($F1954&gt;=INDEX('Программа тренировок'!$F$6:$F$25,$M1954),$G1954&gt;=INDEX('Программа тренировок'!$L$6:$L$25,$M1954)),"Верх диапазона: пора добавлять вес",IF($G1954&lt;INDEX('Программа тренировок'!$L$6:$L$25,$M1954),"RIR ниже цели","В диапазоне")))))</f>
        <v/>
      </c>
      <c r="M1954" s="23" t="str">
        <f aca="false">IF($C1954="","",IFERROR(MATCH($C1954,'Программа тренировок'!$C$6:$C$25,0),""))</f>
        <v/>
      </c>
    </row>
    <row r="1955" customFormat="false" ht="15" hidden="false" customHeight="true" outlineLevel="0" collapsed="false">
      <c r="A1955" s="20"/>
      <c r="B1955" s="21"/>
      <c r="C1955" s="19"/>
      <c r="D1955" s="18"/>
      <c r="E1955" s="17"/>
      <c r="F1955" s="18"/>
      <c r="G1955" s="18"/>
      <c r="H1955" s="21"/>
      <c r="I1955" s="19"/>
      <c r="J1955" s="8" t="str">
        <f aca="false">IF(OR(E1955="",F1955=""),"",E1955*F1955)</f>
        <v/>
      </c>
      <c r="K1955" s="22" t="str">
        <f aca="false">IF($M1955="","",INDEX('Программа тренировок'!$G$6:$G$25,$M1955))</f>
        <v/>
      </c>
      <c r="L1955" s="23" t="str">
        <f aca="false">IF(OR($M1955="",$F1955="",$G1955=""),"",IF($H1955="Разминка","Разминка",IF($F1955&lt;INDEX('Программа тренировок'!$E$6:$E$25,$M1955),"Ниже диапазона",IF(AND($F1955&gt;=INDEX('Программа тренировок'!$F$6:$F$25,$M1955),$G1955&gt;=INDEX('Программа тренировок'!$L$6:$L$25,$M1955)),"Верх диапазона: пора добавлять вес",IF($G1955&lt;INDEX('Программа тренировок'!$L$6:$L$25,$M1955),"RIR ниже цели","В диапазоне")))))</f>
        <v/>
      </c>
      <c r="M1955" s="23" t="str">
        <f aca="false">IF($C1955="","",IFERROR(MATCH($C1955,'Программа тренировок'!$C$6:$C$25,0),""))</f>
        <v/>
      </c>
    </row>
    <row r="1956" customFormat="false" ht="15" hidden="false" customHeight="true" outlineLevel="0" collapsed="false">
      <c r="A1956" s="20"/>
      <c r="B1956" s="21"/>
      <c r="C1956" s="19"/>
      <c r="D1956" s="18"/>
      <c r="E1956" s="17"/>
      <c r="F1956" s="18"/>
      <c r="G1956" s="18"/>
      <c r="H1956" s="21"/>
      <c r="I1956" s="19"/>
      <c r="J1956" s="8" t="str">
        <f aca="false">IF(OR(E1956="",F1956=""),"",E1956*F1956)</f>
        <v/>
      </c>
      <c r="K1956" s="22" t="str">
        <f aca="false">IF($M1956="","",INDEX('Программа тренировок'!$G$6:$G$25,$M1956))</f>
        <v/>
      </c>
      <c r="L1956" s="23" t="str">
        <f aca="false">IF(OR($M1956="",$F1956="",$G1956=""),"",IF($H1956="Разминка","Разминка",IF($F1956&lt;INDEX('Программа тренировок'!$E$6:$E$25,$M1956),"Ниже диапазона",IF(AND($F1956&gt;=INDEX('Программа тренировок'!$F$6:$F$25,$M1956),$G1956&gt;=INDEX('Программа тренировок'!$L$6:$L$25,$M1956)),"Верх диапазона: пора добавлять вес",IF($G1956&lt;INDEX('Программа тренировок'!$L$6:$L$25,$M1956),"RIR ниже цели","В диапазоне")))))</f>
        <v/>
      </c>
      <c r="M1956" s="23" t="str">
        <f aca="false">IF($C1956="","",IFERROR(MATCH($C1956,'Программа тренировок'!$C$6:$C$25,0),""))</f>
        <v/>
      </c>
    </row>
    <row r="1957" customFormat="false" ht="15" hidden="false" customHeight="true" outlineLevel="0" collapsed="false">
      <c r="A1957" s="20"/>
      <c r="B1957" s="21"/>
      <c r="C1957" s="19"/>
      <c r="D1957" s="18"/>
      <c r="E1957" s="17"/>
      <c r="F1957" s="18"/>
      <c r="G1957" s="18"/>
      <c r="H1957" s="21"/>
      <c r="I1957" s="19"/>
      <c r="J1957" s="8" t="str">
        <f aca="false">IF(OR(E1957="",F1957=""),"",E1957*F1957)</f>
        <v/>
      </c>
      <c r="K1957" s="22" t="str">
        <f aca="false">IF($M1957="","",INDEX('Программа тренировок'!$G$6:$G$25,$M1957))</f>
        <v/>
      </c>
      <c r="L1957" s="23" t="str">
        <f aca="false">IF(OR($M1957="",$F1957="",$G1957=""),"",IF($H1957="Разминка","Разминка",IF($F1957&lt;INDEX('Программа тренировок'!$E$6:$E$25,$M1957),"Ниже диапазона",IF(AND($F1957&gt;=INDEX('Программа тренировок'!$F$6:$F$25,$M1957),$G1957&gt;=INDEX('Программа тренировок'!$L$6:$L$25,$M1957)),"Верх диапазона: пора добавлять вес",IF($G1957&lt;INDEX('Программа тренировок'!$L$6:$L$25,$M1957),"RIR ниже цели","В диапазоне")))))</f>
        <v/>
      </c>
      <c r="M1957" s="23" t="str">
        <f aca="false">IF($C1957="","",IFERROR(MATCH($C1957,'Программа тренировок'!$C$6:$C$25,0),""))</f>
        <v/>
      </c>
    </row>
    <row r="1958" customFormat="false" ht="15" hidden="false" customHeight="true" outlineLevel="0" collapsed="false">
      <c r="A1958" s="20"/>
      <c r="B1958" s="21"/>
      <c r="C1958" s="19"/>
      <c r="D1958" s="18"/>
      <c r="E1958" s="17"/>
      <c r="F1958" s="18"/>
      <c r="G1958" s="18"/>
      <c r="H1958" s="21"/>
      <c r="I1958" s="19"/>
      <c r="J1958" s="8" t="str">
        <f aca="false">IF(OR(E1958="",F1958=""),"",E1958*F1958)</f>
        <v/>
      </c>
      <c r="K1958" s="22" t="str">
        <f aca="false">IF($M1958="","",INDEX('Программа тренировок'!$G$6:$G$25,$M1958))</f>
        <v/>
      </c>
      <c r="L1958" s="23" t="str">
        <f aca="false">IF(OR($M1958="",$F1958="",$G1958=""),"",IF($H1958="Разминка","Разминка",IF($F1958&lt;INDEX('Программа тренировок'!$E$6:$E$25,$M1958),"Ниже диапазона",IF(AND($F1958&gt;=INDEX('Программа тренировок'!$F$6:$F$25,$M1958),$G1958&gt;=INDEX('Программа тренировок'!$L$6:$L$25,$M1958)),"Верх диапазона: пора добавлять вес",IF($G1958&lt;INDEX('Программа тренировок'!$L$6:$L$25,$M1958),"RIR ниже цели","В диапазоне")))))</f>
        <v/>
      </c>
      <c r="M1958" s="23" t="str">
        <f aca="false">IF($C1958="","",IFERROR(MATCH($C1958,'Программа тренировок'!$C$6:$C$25,0),""))</f>
        <v/>
      </c>
    </row>
    <row r="1959" customFormat="false" ht="15" hidden="false" customHeight="true" outlineLevel="0" collapsed="false">
      <c r="A1959" s="20"/>
      <c r="B1959" s="21"/>
      <c r="C1959" s="19"/>
      <c r="D1959" s="18"/>
      <c r="E1959" s="17"/>
      <c r="F1959" s="18"/>
      <c r="G1959" s="18"/>
      <c r="H1959" s="21"/>
      <c r="I1959" s="19"/>
      <c r="J1959" s="8" t="str">
        <f aca="false">IF(OR(E1959="",F1959=""),"",E1959*F1959)</f>
        <v/>
      </c>
      <c r="K1959" s="22" t="str">
        <f aca="false">IF($M1959="","",INDEX('Программа тренировок'!$G$6:$G$25,$M1959))</f>
        <v/>
      </c>
      <c r="L1959" s="23" t="str">
        <f aca="false">IF(OR($M1959="",$F1959="",$G1959=""),"",IF($H1959="Разминка","Разминка",IF($F1959&lt;INDEX('Программа тренировок'!$E$6:$E$25,$M1959),"Ниже диапазона",IF(AND($F1959&gt;=INDEX('Программа тренировок'!$F$6:$F$25,$M1959),$G1959&gt;=INDEX('Программа тренировок'!$L$6:$L$25,$M1959)),"Верх диапазона: пора добавлять вес",IF($G1959&lt;INDEX('Программа тренировок'!$L$6:$L$25,$M1959),"RIR ниже цели","В диапазоне")))))</f>
        <v/>
      </c>
      <c r="M1959" s="23" t="str">
        <f aca="false">IF($C1959="","",IFERROR(MATCH($C1959,'Программа тренировок'!$C$6:$C$25,0),""))</f>
        <v/>
      </c>
    </row>
    <row r="1960" customFormat="false" ht="15" hidden="false" customHeight="true" outlineLevel="0" collapsed="false">
      <c r="A1960" s="20"/>
      <c r="B1960" s="21"/>
      <c r="C1960" s="19"/>
      <c r="D1960" s="18"/>
      <c r="E1960" s="17"/>
      <c r="F1960" s="18"/>
      <c r="G1960" s="18"/>
      <c r="H1960" s="21"/>
      <c r="I1960" s="19"/>
      <c r="J1960" s="8" t="str">
        <f aca="false">IF(OR(E1960="",F1960=""),"",E1960*F1960)</f>
        <v/>
      </c>
      <c r="K1960" s="22" t="str">
        <f aca="false">IF($M1960="","",INDEX('Программа тренировок'!$G$6:$G$25,$M1960))</f>
        <v/>
      </c>
      <c r="L1960" s="23" t="str">
        <f aca="false">IF(OR($M1960="",$F1960="",$G1960=""),"",IF($H1960="Разминка","Разминка",IF($F1960&lt;INDEX('Программа тренировок'!$E$6:$E$25,$M1960),"Ниже диапазона",IF(AND($F1960&gt;=INDEX('Программа тренировок'!$F$6:$F$25,$M1960),$G1960&gt;=INDEX('Программа тренировок'!$L$6:$L$25,$M1960)),"Верх диапазона: пора добавлять вес",IF($G1960&lt;INDEX('Программа тренировок'!$L$6:$L$25,$M1960),"RIR ниже цели","В диапазоне")))))</f>
        <v/>
      </c>
      <c r="M1960" s="23" t="str">
        <f aca="false">IF($C1960="","",IFERROR(MATCH($C1960,'Программа тренировок'!$C$6:$C$25,0),""))</f>
        <v/>
      </c>
    </row>
    <row r="1961" customFormat="false" ht="15" hidden="false" customHeight="true" outlineLevel="0" collapsed="false">
      <c r="A1961" s="20"/>
      <c r="B1961" s="21"/>
      <c r="C1961" s="19"/>
      <c r="D1961" s="18"/>
      <c r="E1961" s="17"/>
      <c r="F1961" s="18"/>
      <c r="G1961" s="18"/>
      <c r="H1961" s="21"/>
      <c r="I1961" s="19"/>
      <c r="J1961" s="8" t="str">
        <f aca="false">IF(OR(E1961="",F1961=""),"",E1961*F1961)</f>
        <v/>
      </c>
      <c r="K1961" s="22" t="str">
        <f aca="false">IF($M1961="","",INDEX('Программа тренировок'!$G$6:$G$25,$M1961))</f>
        <v/>
      </c>
      <c r="L1961" s="23" t="str">
        <f aca="false">IF(OR($M1961="",$F1961="",$G1961=""),"",IF($H1961="Разминка","Разминка",IF($F1961&lt;INDEX('Программа тренировок'!$E$6:$E$25,$M1961),"Ниже диапазона",IF(AND($F1961&gt;=INDEX('Программа тренировок'!$F$6:$F$25,$M1961),$G1961&gt;=INDEX('Программа тренировок'!$L$6:$L$25,$M1961)),"Верх диапазона: пора добавлять вес",IF($G1961&lt;INDEX('Программа тренировок'!$L$6:$L$25,$M1961),"RIR ниже цели","В диапазоне")))))</f>
        <v/>
      </c>
      <c r="M1961" s="23" t="str">
        <f aca="false">IF($C1961="","",IFERROR(MATCH($C1961,'Программа тренировок'!$C$6:$C$25,0),""))</f>
        <v/>
      </c>
    </row>
    <row r="1962" customFormat="false" ht="15" hidden="false" customHeight="true" outlineLevel="0" collapsed="false">
      <c r="A1962" s="20"/>
      <c r="B1962" s="21"/>
      <c r="C1962" s="19"/>
      <c r="D1962" s="18"/>
      <c r="E1962" s="17"/>
      <c r="F1962" s="18"/>
      <c r="G1962" s="18"/>
      <c r="H1962" s="21"/>
      <c r="I1962" s="19"/>
      <c r="J1962" s="8" t="str">
        <f aca="false">IF(OR(E1962="",F1962=""),"",E1962*F1962)</f>
        <v/>
      </c>
      <c r="K1962" s="22" t="str">
        <f aca="false">IF($M1962="","",INDEX('Программа тренировок'!$G$6:$G$25,$M1962))</f>
        <v/>
      </c>
      <c r="L1962" s="23" t="str">
        <f aca="false">IF(OR($M1962="",$F1962="",$G1962=""),"",IF($H1962="Разминка","Разминка",IF($F1962&lt;INDEX('Программа тренировок'!$E$6:$E$25,$M1962),"Ниже диапазона",IF(AND($F1962&gt;=INDEX('Программа тренировок'!$F$6:$F$25,$M1962),$G1962&gt;=INDEX('Программа тренировок'!$L$6:$L$25,$M1962)),"Верх диапазона: пора добавлять вес",IF($G1962&lt;INDEX('Программа тренировок'!$L$6:$L$25,$M1962),"RIR ниже цели","В диапазоне")))))</f>
        <v/>
      </c>
      <c r="M1962" s="23" t="str">
        <f aca="false">IF($C1962="","",IFERROR(MATCH($C1962,'Программа тренировок'!$C$6:$C$25,0),""))</f>
        <v/>
      </c>
    </row>
    <row r="1963" customFormat="false" ht="15" hidden="false" customHeight="true" outlineLevel="0" collapsed="false">
      <c r="A1963" s="20"/>
      <c r="B1963" s="21"/>
      <c r="C1963" s="19"/>
      <c r="D1963" s="18"/>
      <c r="E1963" s="17"/>
      <c r="F1963" s="18"/>
      <c r="G1963" s="18"/>
      <c r="H1963" s="21"/>
      <c r="I1963" s="19"/>
      <c r="J1963" s="8" t="str">
        <f aca="false">IF(OR(E1963="",F1963=""),"",E1963*F1963)</f>
        <v/>
      </c>
      <c r="K1963" s="22" t="str">
        <f aca="false">IF($M1963="","",INDEX('Программа тренировок'!$G$6:$G$25,$M1963))</f>
        <v/>
      </c>
      <c r="L1963" s="23" t="str">
        <f aca="false">IF(OR($M1963="",$F1963="",$G1963=""),"",IF($H1963="Разминка","Разминка",IF($F1963&lt;INDEX('Программа тренировок'!$E$6:$E$25,$M1963),"Ниже диапазона",IF(AND($F1963&gt;=INDEX('Программа тренировок'!$F$6:$F$25,$M1963),$G1963&gt;=INDEX('Программа тренировок'!$L$6:$L$25,$M1963)),"Верх диапазона: пора добавлять вес",IF($G1963&lt;INDEX('Программа тренировок'!$L$6:$L$25,$M1963),"RIR ниже цели","В диапазоне")))))</f>
        <v/>
      </c>
      <c r="M1963" s="23" t="str">
        <f aca="false">IF($C1963="","",IFERROR(MATCH($C1963,'Программа тренировок'!$C$6:$C$25,0),""))</f>
        <v/>
      </c>
    </row>
    <row r="1964" customFormat="false" ht="15" hidden="false" customHeight="true" outlineLevel="0" collapsed="false">
      <c r="A1964" s="20"/>
      <c r="B1964" s="21"/>
      <c r="C1964" s="19"/>
      <c r="D1964" s="18"/>
      <c r="E1964" s="17"/>
      <c r="F1964" s="18"/>
      <c r="G1964" s="18"/>
      <c r="H1964" s="21"/>
      <c r="I1964" s="19"/>
      <c r="J1964" s="8" t="str">
        <f aca="false">IF(OR(E1964="",F1964=""),"",E1964*F1964)</f>
        <v/>
      </c>
      <c r="K1964" s="22" t="str">
        <f aca="false">IF($M1964="","",INDEX('Программа тренировок'!$G$6:$G$25,$M1964))</f>
        <v/>
      </c>
      <c r="L1964" s="23" t="str">
        <f aca="false">IF(OR($M1964="",$F1964="",$G1964=""),"",IF($H1964="Разминка","Разминка",IF($F1964&lt;INDEX('Программа тренировок'!$E$6:$E$25,$M1964),"Ниже диапазона",IF(AND($F1964&gt;=INDEX('Программа тренировок'!$F$6:$F$25,$M1964),$G1964&gt;=INDEX('Программа тренировок'!$L$6:$L$25,$M1964)),"Верх диапазона: пора добавлять вес",IF($G1964&lt;INDEX('Программа тренировок'!$L$6:$L$25,$M1964),"RIR ниже цели","В диапазоне")))))</f>
        <v/>
      </c>
      <c r="M1964" s="23" t="str">
        <f aca="false">IF($C1964="","",IFERROR(MATCH($C1964,'Программа тренировок'!$C$6:$C$25,0),""))</f>
        <v/>
      </c>
    </row>
    <row r="1965" customFormat="false" ht="15" hidden="false" customHeight="true" outlineLevel="0" collapsed="false">
      <c r="A1965" s="20"/>
      <c r="B1965" s="21"/>
      <c r="C1965" s="19"/>
      <c r="D1965" s="18"/>
      <c r="E1965" s="17"/>
      <c r="F1965" s="18"/>
      <c r="G1965" s="18"/>
      <c r="H1965" s="21"/>
      <c r="I1965" s="19"/>
      <c r="J1965" s="8" t="str">
        <f aca="false">IF(OR(E1965="",F1965=""),"",E1965*F1965)</f>
        <v/>
      </c>
      <c r="K1965" s="22" t="str">
        <f aca="false">IF($M1965="","",INDEX('Программа тренировок'!$G$6:$G$25,$M1965))</f>
        <v/>
      </c>
      <c r="L1965" s="23" t="str">
        <f aca="false">IF(OR($M1965="",$F1965="",$G1965=""),"",IF($H1965="Разминка","Разминка",IF($F1965&lt;INDEX('Программа тренировок'!$E$6:$E$25,$M1965),"Ниже диапазона",IF(AND($F1965&gt;=INDEX('Программа тренировок'!$F$6:$F$25,$M1965),$G1965&gt;=INDEX('Программа тренировок'!$L$6:$L$25,$M1965)),"Верх диапазона: пора добавлять вес",IF($G1965&lt;INDEX('Программа тренировок'!$L$6:$L$25,$M1965),"RIR ниже цели","В диапазоне")))))</f>
        <v/>
      </c>
      <c r="M1965" s="23" t="str">
        <f aca="false">IF($C1965="","",IFERROR(MATCH($C1965,'Программа тренировок'!$C$6:$C$25,0),""))</f>
        <v/>
      </c>
    </row>
    <row r="1966" customFormat="false" ht="15" hidden="false" customHeight="true" outlineLevel="0" collapsed="false">
      <c r="A1966" s="20"/>
      <c r="B1966" s="21"/>
      <c r="C1966" s="19"/>
      <c r="D1966" s="18"/>
      <c r="E1966" s="17"/>
      <c r="F1966" s="18"/>
      <c r="G1966" s="18"/>
      <c r="H1966" s="21"/>
      <c r="I1966" s="19"/>
      <c r="J1966" s="8" t="str">
        <f aca="false">IF(OR(E1966="",F1966=""),"",E1966*F1966)</f>
        <v/>
      </c>
      <c r="K1966" s="22" t="str">
        <f aca="false">IF($M1966="","",INDEX('Программа тренировок'!$G$6:$G$25,$M1966))</f>
        <v/>
      </c>
      <c r="L1966" s="23" t="str">
        <f aca="false">IF(OR($M1966="",$F1966="",$G1966=""),"",IF($H1966="Разминка","Разминка",IF($F1966&lt;INDEX('Программа тренировок'!$E$6:$E$25,$M1966),"Ниже диапазона",IF(AND($F1966&gt;=INDEX('Программа тренировок'!$F$6:$F$25,$M1966),$G1966&gt;=INDEX('Программа тренировок'!$L$6:$L$25,$M1966)),"Верх диапазона: пора добавлять вес",IF($G1966&lt;INDEX('Программа тренировок'!$L$6:$L$25,$M1966),"RIR ниже цели","В диапазоне")))))</f>
        <v/>
      </c>
      <c r="M1966" s="23" t="str">
        <f aca="false">IF($C1966="","",IFERROR(MATCH($C1966,'Программа тренировок'!$C$6:$C$25,0),""))</f>
        <v/>
      </c>
    </row>
    <row r="1967" customFormat="false" ht="15" hidden="false" customHeight="true" outlineLevel="0" collapsed="false">
      <c r="A1967" s="20"/>
      <c r="B1967" s="21"/>
      <c r="C1967" s="19"/>
      <c r="D1967" s="18"/>
      <c r="E1967" s="17"/>
      <c r="F1967" s="18"/>
      <c r="G1967" s="18"/>
      <c r="H1967" s="21"/>
      <c r="I1967" s="19"/>
      <c r="J1967" s="8" t="str">
        <f aca="false">IF(OR(E1967="",F1967=""),"",E1967*F1967)</f>
        <v/>
      </c>
      <c r="K1967" s="22" t="str">
        <f aca="false">IF($M1967="","",INDEX('Программа тренировок'!$G$6:$G$25,$M1967))</f>
        <v/>
      </c>
      <c r="L1967" s="23" t="str">
        <f aca="false">IF(OR($M1967="",$F1967="",$G1967=""),"",IF($H1967="Разминка","Разминка",IF($F1967&lt;INDEX('Программа тренировок'!$E$6:$E$25,$M1967),"Ниже диапазона",IF(AND($F1967&gt;=INDEX('Программа тренировок'!$F$6:$F$25,$M1967),$G1967&gt;=INDEX('Программа тренировок'!$L$6:$L$25,$M1967)),"Верх диапазона: пора добавлять вес",IF($G1967&lt;INDEX('Программа тренировок'!$L$6:$L$25,$M1967),"RIR ниже цели","В диапазоне")))))</f>
        <v/>
      </c>
      <c r="M1967" s="23" t="str">
        <f aca="false">IF($C1967="","",IFERROR(MATCH($C1967,'Программа тренировок'!$C$6:$C$25,0),""))</f>
        <v/>
      </c>
    </row>
    <row r="1968" customFormat="false" ht="15" hidden="false" customHeight="true" outlineLevel="0" collapsed="false">
      <c r="A1968" s="20"/>
      <c r="B1968" s="21"/>
      <c r="C1968" s="19"/>
      <c r="D1968" s="18"/>
      <c r="E1968" s="17"/>
      <c r="F1968" s="18"/>
      <c r="G1968" s="18"/>
      <c r="H1968" s="21"/>
      <c r="I1968" s="19"/>
      <c r="J1968" s="8" t="str">
        <f aca="false">IF(OR(E1968="",F1968=""),"",E1968*F1968)</f>
        <v/>
      </c>
      <c r="K1968" s="22" t="str">
        <f aca="false">IF($M1968="","",INDEX('Программа тренировок'!$G$6:$G$25,$M1968))</f>
        <v/>
      </c>
      <c r="L1968" s="23" t="str">
        <f aca="false">IF(OR($M1968="",$F1968="",$G1968=""),"",IF($H1968="Разминка","Разминка",IF($F1968&lt;INDEX('Программа тренировок'!$E$6:$E$25,$M1968),"Ниже диапазона",IF(AND($F1968&gt;=INDEX('Программа тренировок'!$F$6:$F$25,$M1968),$G1968&gt;=INDEX('Программа тренировок'!$L$6:$L$25,$M1968)),"Верх диапазона: пора добавлять вес",IF($G1968&lt;INDEX('Программа тренировок'!$L$6:$L$25,$M1968),"RIR ниже цели","В диапазоне")))))</f>
        <v/>
      </c>
      <c r="M1968" s="23" t="str">
        <f aca="false">IF($C1968="","",IFERROR(MATCH($C1968,'Программа тренировок'!$C$6:$C$25,0),""))</f>
        <v/>
      </c>
    </row>
    <row r="1969" customFormat="false" ht="15" hidden="false" customHeight="true" outlineLevel="0" collapsed="false">
      <c r="A1969" s="20"/>
      <c r="B1969" s="21"/>
      <c r="C1969" s="19"/>
      <c r="D1969" s="18"/>
      <c r="E1969" s="17"/>
      <c r="F1969" s="18"/>
      <c r="G1969" s="18"/>
      <c r="H1969" s="21"/>
      <c r="I1969" s="19"/>
      <c r="J1969" s="8" t="str">
        <f aca="false">IF(OR(E1969="",F1969=""),"",E1969*F1969)</f>
        <v/>
      </c>
      <c r="K1969" s="22" t="str">
        <f aca="false">IF($M1969="","",INDEX('Программа тренировок'!$G$6:$G$25,$M1969))</f>
        <v/>
      </c>
      <c r="L1969" s="23" t="str">
        <f aca="false">IF(OR($M1969="",$F1969="",$G1969=""),"",IF($H1969="Разминка","Разминка",IF($F1969&lt;INDEX('Программа тренировок'!$E$6:$E$25,$M1969),"Ниже диапазона",IF(AND($F1969&gt;=INDEX('Программа тренировок'!$F$6:$F$25,$M1969),$G1969&gt;=INDEX('Программа тренировок'!$L$6:$L$25,$M1969)),"Верх диапазона: пора добавлять вес",IF($G1969&lt;INDEX('Программа тренировок'!$L$6:$L$25,$M1969),"RIR ниже цели","В диапазоне")))))</f>
        <v/>
      </c>
      <c r="M1969" s="23" t="str">
        <f aca="false">IF($C1969="","",IFERROR(MATCH($C1969,'Программа тренировок'!$C$6:$C$25,0),""))</f>
        <v/>
      </c>
    </row>
    <row r="1970" customFormat="false" ht="15" hidden="false" customHeight="true" outlineLevel="0" collapsed="false">
      <c r="A1970" s="20"/>
      <c r="B1970" s="21"/>
      <c r="C1970" s="19"/>
      <c r="D1970" s="18"/>
      <c r="E1970" s="17"/>
      <c r="F1970" s="18"/>
      <c r="G1970" s="18"/>
      <c r="H1970" s="21"/>
      <c r="I1970" s="19"/>
      <c r="J1970" s="8" t="str">
        <f aca="false">IF(OR(E1970="",F1970=""),"",E1970*F1970)</f>
        <v/>
      </c>
      <c r="K1970" s="22" t="str">
        <f aca="false">IF($M1970="","",INDEX('Программа тренировок'!$G$6:$G$25,$M1970))</f>
        <v/>
      </c>
      <c r="L1970" s="23" t="str">
        <f aca="false">IF(OR($M1970="",$F1970="",$G1970=""),"",IF($H1970="Разминка","Разминка",IF($F1970&lt;INDEX('Программа тренировок'!$E$6:$E$25,$M1970),"Ниже диапазона",IF(AND($F1970&gt;=INDEX('Программа тренировок'!$F$6:$F$25,$M1970),$G1970&gt;=INDEX('Программа тренировок'!$L$6:$L$25,$M1970)),"Верх диапазона: пора добавлять вес",IF($G1970&lt;INDEX('Программа тренировок'!$L$6:$L$25,$M1970),"RIR ниже цели","В диапазоне")))))</f>
        <v/>
      </c>
      <c r="M1970" s="23" t="str">
        <f aca="false">IF($C1970="","",IFERROR(MATCH($C1970,'Программа тренировок'!$C$6:$C$25,0),""))</f>
        <v/>
      </c>
    </row>
    <row r="1971" customFormat="false" ht="15" hidden="false" customHeight="true" outlineLevel="0" collapsed="false">
      <c r="A1971" s="20"/>
      <c r="B1971" s="21"/>
      <c r="C1971" s="19"/>
      <c r="D1971" s="18"/>
      <c r="E1971" s="17"/>
      <c r="F1971" s="18"/>
      <c r="G1971" s="18"/>
      <c r="H1971" s="21"/>
      <c r="I1971" s="19"/>
      <c r="J1971" s="8" t="str">
        <f aca="false">IF(OR(E1971="",F1971=""),"",E1971*F1971)</f>
        <v/>
      </c>
      <c r="K1971" s="22" t="str">
        <f aca="false">IF($M1971="","",INDEX('Программа тренировок'!$G$6:$G$25,$M1971))</f>
        <v/>
      </c>
      <c r="L1971" s="23" t="str">
        <f aca="false">IF(OR($M1971="",$F1971="",$G1971=""),"",IF($H1971="Разминка","Разминка",IF($F1971&lt;INDEX('Программа тренировок'!$E$6:$E$25,$M1971),"Ниже диапазона",IF(AND($F1971&gt;=INDEX('Программа тренировок'!$F$6:$F$25,$M1971),$G1971&gt;=INDEX('Программа тренировок'!$L$6:$L$25,$M1971)),"Верх диапазона: пора добавлять вес",IF($G1971&lt;INDEX('Программа тренировок'!$L$6:$L$25,$M1971),"RIR ниже цели","В диапазоне")))))</f>
        <v/>
      </c>
      <c r="M1971" s="23" t="str">
        <f aca="false">IF($C1971="","",IFERROR(MATCH($C1971,'Программа тренировок'!$C$6:$C$25,0),""))</f>
        <v/>
      </c>
    </row>
    <row r="1972" customFormat="false" ht="15" hidden="false" customHeight="true" outlineLevel="0" collapsed="false">
      <c r="A1972" s="20"/>
      <c r="B1972" s="21"/>
      <c r="C1972" s="19"/>
      <c r="D1972" s="18"/>
      <c r="E1972" s="17"/>
      <c r="F1972" s="18"/>
      <c r="G1972" s="18"/>
      <c r="H1972" s="21"/>
      <c r="I1972" s="19"/>
      <c r="J1972" s="8" t="str">
        <f aca="false">IF(OR(E1972="",F1972=""),"",E1972*F1972)</f>
        <v/>
      </c>
      <c r="K1972" s="22" t="str">
        <f aca="false">IF($M1972="","",INDEX('Программа тренировок'!$G$6:$G$25,$M1972))</f>
        <v/>
      </c>
      <c r="L1972" s="23" t="str">
        <f aca="false">IF(OR($M1972="",$F1972="",$G1972=""),"",IF($H1972="Разминка","Разминка",IF($F1972&lt;INDEX('Программа тренировок'!$E$6:$E$25,$M1972),"Ниже диапазона",IF(AND($F1972&gt;=INDEX('Программа тренировок'!$F$6:$F$25,$M1972),$G1972&gt;=INDEX('Программа тренировок'!$L$6:$L$25,$M1972)),"Верх диапазона: пора добавлять вес",IF($G1972&lt;INDEX('Программа тренировок'!$L$6:$L$25,$M1972),"RIR ниже цели","В диапазоне")))))</f>
        <v/>
      </c>
      <c r="M1972" s="23" t="str">
        <f aca="false">IF($C1972="","",IFERROR(MATCH($C1972,'Программа тренировок'!$C$6:$C$25,0),""))</f>
        <v/>
      </c>
    </row>
    <row r="1973" customFormat="false" ht="15" hidden="false" customHeight="true" outlineLevel="0" collapsed="false">
      <c r="A1973" s="20"/>
      <c r="B1973" s="21"/>
      <c r="C1973" s="19"/>
      <c r="D1973" s="18"/>
      <c r="E1973" s="17"/>
      <c r="F1973" s="18"/>
      <c r="G1973" s="18"/>
      <c r="H1973" s="21"/>
      <c r="I1973" s="19"/>
      <c r="J1973" s="8" t="str">
        <f aca="false">IF(OR(E1973="",F1973=""),"",E1973*F1973)</f>
        <v/>
      </c>
      <c r="K1973" s="22" t="str">
        <f aca="false">IF($M1973="","",INDEX('Программа тренировок'!$G$6:$G$25,$M1973))</f>
        <v/>
      </c>
      <c r="L1973" s="23" t="str">
        <f aca="false">IF(OR($M1973="",$F1973="",$G1973=""),"",IF($H1973="Разминка","Разминка",IF($F1973&lt;INDEX('Программа тренировок'!$E$6:$E$25,$M1973),"Ниже диапазона",IF(AND($F1973&gt;=INDEX('Программа тренировок'!$F$6:$F$25,$M1973),$G1973&gt;=INDEX('Программа тренировок'!$L$6:$L$25,$M1973)),"Верх диапазона: пора добавлять вес",IF($G1973&lt;INDEX('Программа тренировок'!$L$6:$L$25,$M1973),"RIR ниже цели","В диапазоне")))))</f>
        <v/>
      </c>
      <c r="M1973" s="23" t="str">
        <f aca="false">IF($C1973="","",IFERROR(MATCH($C1973,'Программа тренировок'!$C$6:$C$25,0),""))</f>
        <v/>
      </c>
    </row>
    <row r="1974" customFormat="false" ht="15" hidden="false" customHeight="true" outlineLevel="0" collapsed="false">
      <c r="A1974" s="20"/>
      <c r="B1974" s="21"/>
      <c r="C1974" s="19"/>
      <c r="D1974" s="18"/>
      <c r="E1974" s="17"/>
      <c r="F1974" s="18"/>
      <c r="G1974" s="18"/>
      <c r="H1974" s="21"/>
      <c r="I1974" s="19"/>
      <c r="J1974" s="8" t="str">
        <f aca="false">IF(OR(E1974="",F1974=""),"",E1974*F1974)</f>
        <v/>
      </c>
      <c r="K1974" s="22" t="str">
        <f aca="false">IF($M1974="","",INDEX('Программа тренировок'!$G$6:$G$25,$M1974))</f>
        <v/>
      </c>
      <c r="L1974" s="23" t="str">
        <f aca="false">IF(OR($M1974="",$F1974="",$G1974=""),"",IF($H1974="Разминка","Разминка",IF($F1974&lt;INDEX('Программа тренировок'!$E$6:$E$25,$M1974),"Ниже диапазона",IF(AND($F1974&gt;=INDEX('Программа тренировок'!$F$6:$F$25,$M1974),$G1974&gt;=INDEX('Программа тренировок'!$L$6:$L$25,$M1974)),"Верх диапазона: пора добавлять вес",IF($G1974&lt;INDEX('Программа тренировок'!$L$6:$L$25,$M1974),"RIR ниже цели","В диапазоне")))))</f>
        <v/>
      </c>
      <c r="M1974" s="23" t="str">
        <f aca="false">IF($C1974="","",IFERROR(MATCH($C1974,'Программа тренировок'!$C$6:$C$25,0),""))</f>
        <v/>
      </c>
    </row>
    <row r="1975" customFormat="false" ht="15" hidden="false" customHeight="true" outlineLevel="0" collapsed="false">
      <c r="A1975" s="20"/>
      <c r="B1975" s="21"/>
      <c r="C1975" s="19"/>
      <c r="D1975" s="18"/>
      <c r="E1975" s="17"/>
      <c r="F1975" s="18"/>
      <c r="G1975" s="18"/>
      <c r="H1975" s="21"/>
      <c r="I1975" s="19"/>
      <c r="J1975" s="8" t="str">
        <f aca="false">IF(OR(E1975="",F1975=""),"",E1975*F1975)</f>
        <v/>
      </c>
      <c r="K1975" s="22" t="str">
        <f aca="false">IF($M1975="","",INDEX('Программа тренировок'!$G$6:$G$25,$M1975))</f>
        <v/>
      </c>
      <c r="L1975" s="23" t="str">
        <f aca="false">IF(OR($M1975="",$F1975="",$G1975=""),"",IF($H1975="Разминка","Разминка",IF($F1975&lt;INDEX('Программа тренировок'!$E$6:$E$25,$M1975),"Ниже диапазона",IF(AND($F1975&gt;=INDEX('Программа тренировок'!$F$6:$F$25,$M1975),$G1975&gt;=INDEX('Программа тренировок'!$L$6:$L$25,$M1975)),"Верх диапазона: пора добавлять вес",IF($G1975&lt;INDEX('Программа тренировок'!$L$6:$L$25,$M1975),"RIR ниже цели","В диапазоне")))))</f>
        <v/>
      </c>
      <c r="M1975" s="23" t="str">
        <f aca="false">IF($C1975="","",IFERROR(MATCH($C1975,'Программа тренировок'!$C$6:$C$25,0),""))</f>
        <v/>
      </c>
    </row>
    <row r="1976" customFormat="false" ht="15" hidden="false" customHeight="true" outlineLevel="0" collapsed="false">
      <c r="A1976" s="20"/>
      <c r="B1976" s="21"/>
      <c r="C1976" s="19"/>
      <c r="D1976" s="18"/>
      <c r="E1976" s="17"/>
      <c r="F1976" s="18"/>
      <c r="G1976" s="18"/>
      <c r="H1976" s="21"/>
      <c r="I1976" s="19"/>
      <c r="J1976" s="8" t="str">
        <f aca="false">IF(OR(E1976="",F1976=""),"",E1976*F1976)</f>
        <v/>
      </c>
      <c r="K1976" s="22" t="str">
        <f aca="false">IF($M1976="","",INDEX('Программа тренировок'!$G$6:$G$25,$M1976))</f>
        <v/>
      </c>
      <c r="L1976" s="23" t="str">
        <f aca="false">IF(OR($M1976="",$F1976="",$G1976=""),"",IF($H1976="Разминка","Разминка",IF($F1976&lt;INDEX('Программа тренировок'!$E$6:$E$25,$M1976),"Ниже диапазона",IF(AND($F1976&gt;=INDEX('Программа тренировок'!$F$6:$F$25,$M1976),$G1976&gt;=INDEX('Программа тренировок'!$L$6:$L$25,$M1976)),"Верх диапазона: пора добавлять вес",IF($G1976&lt;INDEX('Программа тренировок'!$L$6:$L$25,$M1976),"RIR ниже цели","В диапазоне")))))</f>
        <v/>
      </c>
      <c r="M1976" s="23" t="str">
        <f aca="false">IF($C1976="","",IFERROR(MATCH($C1976,'Программа тренировок'!$C$6:$C$25,0),""))</f>
        <v/>
      </c>
    </row>
    <row r="1977" customFormat="false" ht="15" hidden="false" customHeight="true" outlineLevel="0" collapsed="false">
      <c r="A1977" s="20"/>
      <c r="B1977" s="21"/>
      <c r="C1977" s="19"/>
      <c r="D1977" s="18"/>
      <c r="E1977" s="17"/>
      <c r="F1977" s="18"/>
      <c r="G1977" s="18"/>
      <c r="H1977" s="21"/>
      <c r="I1977" s="19"/>
      <c r="J1977" s="8" t="str">
        <f aca="false">IF(OR(E1977="",F1977=""),"",E1977*F1977)</f>
        <v/>
      </c>
      <c r="K1977" s="22" t="str">
        <f aca="false">IF($M1977="","",INDEX('Программа тренировок'!$G$6:$G$25,$M1977))</f>
        <v/>
      </c>
      <c r="L1977" s="23" t="str">
        <f aca="false">IF(OR($M1977="",$F1977="",$G1977=""),"",IF($H1977="Разминка","Разминка",IF($F1977&lt;INDEX('Программа тренировок'!$E$6:$E$25,$M1977),"Ниже диапазона",IF(AND($F1977&gt;=INDEX('Программа тренировок'!$F$6:$F$25,$M1977),$G1977&gt;=INDEX('Программа тренировок'!$L$6:$L$25,$M1977)),"Верх диапазона: пора добавлять вес",IF($G1977&lt;INDEX('Программа тренировок'!$L$6:$L$25,$M1977),"RIR ниже цели","В диапазоне")))))</f>
        <v/>
      </c>
      <c r="M1977" s="23" t="str">
        <f aca="false">IF($C1977="","",IFERROR(MATCH($C1977,'Программа тренировок'!$C$6:$C$25,0),""))</f>
        <v/>
      </c>
    </row>
    <row r="1978" customFormat="false" ht="15" hidden="false" customHeight="true" outlineLevel="0" collapsed="false">
      <c r="A1978" s="20"/>
      <c r="B1978" s="21"/>
      <c r="C1978" s="19"/>
      <c r="D1978" s="18"/>
      <c r="E1978" s="17"/>
      <c r="F1978" s="18"/>
      <c r="G1978" s="18"/>
      <c r="H1978" s="21"/>
      <c r="I1978" s="19"/>
      <c r="J1978" s="8" t="str">
        <f aca="false">IF(OR(E1978="",F1978=""),"",E1978*F1978)</f>
        <v/>
      </c>
      <c r="K1978" s="22" t="str">
        <f aca="false">IF($M1978="","",INDEX('Программа тренировок'!$G$6:$G$25,$M1978))</f>
        <v/>
      </c>
      <c r="L1978" s="23" t="str">
        <f aca="false">IF(OR($M1978="",$F1978="",$G1978=""),"",IF($H1978="Разминка","Разминка",IF($F1978&lt;INDEX('Программа тренировок'!$E$6:$E$25,$M1978),"Ниже диапазона",IF(AND($F1978&gt;=INDEX('Программа тренировок'!$F$6:$F$25,$M1978),$G1978&gt;=INDEX('Программа тренировок'!$L$6:$L$25,$M1978)),"Верх диапазона: пора добавлять вес",IF($G1978&lt;INDEX('Программа тренировок'!$L$6:$L$25,$M1978),"RIR ниже цели","В диапазоне")))))</f>
        <v/>
      </c>
      <c r="M1978" s="23" t="str">
        <f aca="false">IF($C1978="","",IFERROR(MATCH($C1978,'Программа тренировок'!$C$6:$C$25,0),""))</f>
        <v/>
      </c>
    </row>
    <row r="1979" customFormat="false" ht="15" hidden="false" customHeight="true" outlineLevel="0" collapsed="false">
      <c r="A1979" s="20"/>
      <c r="B1979" s="21"/>
      <c r="C1979" s="19"/>
      <c r="D1979" s="18"/>
      <c r="E1979" s="17"/>
      <c r="F1979" s="18"/>
      <c r="G1979" s="18"/>
      <c r="H1979" s="21"/>
      <c r="I1979" s="19"/>
      <c r="J1979" s="8" t="str">
        <f aca="false">IF(OR(E1979="",F1979=""),"",E1979*F1979)</f>
        <v/>
      </c>
      <c r="K1979" s="22" t="str">
        <f aca="false">IF($M1979="","",INDEX('Программа тренировок'!$G$6:$G$25,$M1979))</f>
        <v/>
      </c>
      <c r="L1979" s="23" t="str">
        <f aca="false">IF(OR($M1979="",$F1979="",$G1979=""),"",IF($H1979="Разминка","Разминка",IF($F1979&lt;INDEX('Программа тренировок'!$E$6:$E$25,$M1979),"Ниже диапазона",IF(AND($F1979&gt;=INDEX('Программа тренировок'!$F$6:$F$25,$M1979),$G1979&gt;=INDEX('Программа тренировок'!$L$6:$L$25,$M1979)),"Верх диапазона: пора добавлять вес",IF($G1979&lt;INDEX('Программа тренировок'!$L$6:$L$25,$M1979),"RIR ниже цели","В диапазоне")))))</f>
        <v/>
      </c>
      <c r="M1979" s="23" t="str">
        <f aca="false">IF($C1979="","",IFERROR(MATCH($C1979,'Программа тренировок'!$C$6:$C$25,0),""))</f>
        <v/>
      </c>
    </row>
    <row r="1980" customFormat="false" ht="15" hidden="false" customHeight="true" outlineLevel="0" collapsed="false">
      <c r="A1980" s="20"/>
      <c r="B1980" s="21"/>
      <c r="C1980" s="19"/>
      <c r="D1980" s="18"/>
      <c r="E1980" s="17"/>
      <c r="F1980" s="18"/>
      <c r="G1980" s="18"/>
      <c r="H1980" s="21"/>
      <c r="I1980" s="19"/>
      <c r="J1980" s="8" t="str">
        <f aca="false">IF(OR(E1980="",F1980=""),"",E1980*F1980)</f>
        <v/>
      </c>
      <c r="K1980" s="22" t="str">
        <f aca="false">IF($M1980="","",INDEX('Программа тренировок'!$G$6:$G$25,$M1980))</f>
        <v/>
      </c>
      <c r="L1980" s="23" t="str">
        <f aca="false">IF(OR($M1980="",$F1980="",$G1980=""),"",IF($H1980="Разминка","Разминка",IF($F1980&lt;INDEX('Программа тренировок'!$E$6:$E$25,$M1980),"Ниже диапазона",IF(AND($F1980&gt;=INDEX('Программа тренировок'!$F$6:$F$25,$M1980),$G1980&gt;=INDEX('Программа тренировок'!$L$6:$L$25,$M1980)),"Верх диапазона: пора добавлять вес",IF($G1980&lt;INDEX('Программа тренировок'!$L$6:$L$25,$M1980),"RIR ниже цели","В диапазоне")))))</f>
        <v/>
      </c>
      <c r="M1980" s="23" t="str">
        <f aca="false">IF($C1980="","",IFERROR(MATCH($C1980,'Программа тренировок'!$C$6:$C$25,0),""))</f>
        <v/>
      </c>
    </row>
    <row r="1981" customFormat="false" ht="15" hidden="false" customHeight="true" outlineLevel="0" collapsed="false">
      <c r="A1981" s="20"/>
      <c r="B1981" s="21"/>
      <c r="C1981" s="19"/>
      <c r="D1981" s="18"/>
      <c r="E1981" s="17"/>
      <c r="F1981" s="18"/>
      <c r="G1981" s="18"/>
      <c r="H1981" s="21"/>
      <c r="I1981" s="19"/>
      <c r="J1981" s="8" t="str">
        <f aca="false">IF(OR(E1981="",F1981=""),"",E1981*F1981)</f>
        <v/>
      </c>
      <c r="K1981" s="22" t="str">
        <f aca="false">IF($M1981="","",INDEX('Программа тренировок'!$G$6:$G$25,$M1981))</f>
        <v/>
      </c>
      <c r="L1981" s="23" t="str">
        <f aca="false">IF(OR($M1981="",$F1981="",$G1981=""),"",IF($H1981="Разминка","Разминка",IF($F1981&lt;INDEX('Программа тренировок'!$E$6:$E$25,$M1981),"Ниже диапазона",IF(AND($F1981&gt;=INDEX('Программа тренировок'!$F$6:$F$25,$M1981),$G1981&gt;=INDEX('Программа тренировок'!$L$6:$L$25,$M1981)),"Верх диапазона: пора добавлять вес",IF($G1981&lt;INDEX('Программа тренировок'!$L$6:$L$25,$M1981),"RIR ниже цели","В диапазоне")))))</f>
        <v/>
      </c>
      <c r="M1981" s="23" t="str">
        <f aca="false">IF($C1981="","",IFERROR(MATCH($C1981,'Программа тренировок'!$C$6:$C$25,0),""))</f>
        <v/>
      </c>
    </row>
    <row r="1982" customFormat="false" ht="15" hidden="false" customHeight="true" outlineLevel="0" collapsed="false">
      <c r="A1982" s="20"/>
      <c r="B1982" s="21"/>
      <c r="C1982" s="19"/>
      <c r="D1982" s="18"/>
      <c r="E1982" s="17"/>
      <c r="F1982" s="18"/>
      <c r="G1982" s="18"/>
      <c r="H1982" s="21"/>
      <c r="I1982" s="19"/>
      <c r="J1982" s="8" t="str">
        <f aca="false">IF(OR(E1982="",F1982=""),"",E1982*F1982)</f>
        <v/>
      </c>
      <c r="K1982" s="22" t="str">
        <f aca="false">IF($M1982="","",INDEX('Программа тренировок'!$G$6:$G$25,$M1982))</f>
        <v/>
      </c>
      <c r="L1982" s="23" t="str">
        <f aca="false">IF(OR($M1982="",$F1982="",$G1982=""),"",IF($H1982="Разминка","Разминка",IF($F1982&lt;INDEX('Программа тренировок'!$E$6:$E$25,$M1982),"Ниже диапазона",IF(AND($F1982&gt;=INDEX('Программа тренировок'!$F$6:$F$25,$M1982),$G1982&gt;=INDEX('Программа тренировок'!$L$6:$L$25,$M1982)),"Верх диапазона: пора добавлять вес",IF($G1982&lt;INDEX('Программа тренировок'!$L$6:$L$25,$M1982),"RIR ниже цели","В диапазоне")))))</f>
        <v/>
      </c>
      <c r="M1982" s="23" t="str">
        <f aca="false">IF($C1982="","",IFERROR(MATCH($C1982,'Программа тренировок'!$C$6:$C$25,0),""))</f>
        <v/>
      </c>
    </row>
    <row r="1983" customFormat="false" ht="15" hidden="false" customHeight="true" outlineLevel="0" collapsed="false">
      <c r="A1983" s="20"/>
      <c r="B1983" s="21"/>
      <c r="C1983" s="19"/>
      <c r="D1983" s="18"/>
      <c r="E1983" s="17"/>
      <c r="F1983" s="18"/>
      <c r="G1983" s="18"/>
      <c r="H1983" s="21"/>
      <c r="I1983" s="19"/>
      <c r="J1983" s="8" t="str">
        <f aca="false">IF(OR(E1983="",F1983=""),"",E1983*F1983)</f>
        <v/>
      </c>
      <c r="K1983" s="22" t="str">
        <f aca="false">IF($M1983="","",INDEX('Программа тренировок'!$G$6:$G$25,$M1983))</f>
        <v/>
      </c>
      <c r="L1983" s="23" t="str">
        <f aca="false">IF(OR($M1983="",$F1983="",$G1983=""),"",IF($H1983="Разминка","Разминка",IF($F1983&lt;INDEX('Программа тренировок'!$E$6:$E$25,$M1983),"Ниже диапазона",IF(AND($F1983&gt;=INDEX('Программа тренировок'!$F$6:$F$25,$M1983),$G1983&gt;=INDEX('Программа тренировок'!$L$6:$L$25,$M1983)),"Верх диапазона: пора добавлять вес",IF($G1983&lt;INDEX('Программа тренировок'!$L$6:$L$25,$M1983),"RIR ниже цели","В диапазоне")))))</f>
        <v/>
      </c>
      <c r="M1983" s="23" t="str">
        <f aca="false">IF($C1983="","",IFERROR(MATCH($C1983,'Программа тренировок'!$C$6:$C$25,0),""))</f>
        <v/>
      </c>
    </row>
    <row r="1984" customFormat="false" ht="15" hidden="false" customHeight="true" outlineLevel="0" collapsed="false">
      <c r="A1984" s="20"/>
      <c r="B1984" s="21"/>
      <c r="C1984" s="19"/>
      <c r="D1984" s="18"/>
      <c r="E1984" s="17"/>
      <c r="F1984" s="18"/>
      <c r="G1984" s="18"/>
      <c r="H1984" s="21"/>
      <c r="I1984" s="19"/>
      <c r="J1984" s="8" t="str">
        <f aca="false">IF(OR(E1984="",F1984=""),"",E1984*F1984)</f>
        <v/>
      </c>
      <c r="K1984" s="22" t="str">
        <f aca="false">IF($M1984="","",INDEX('Программа тренировок'!$G$6:$G$25,$M1984))</f>
        <v/>
      </c>
      <c r="L1984" s="23" t="str">
        <f aca="false">IF(OR($M1984="",$F1984="",$G1984=""),"",IF($H1984="Разминка","Разминка",IF($F1984&lt;INDEX('Программа тренировок'!$E$6:$E$25,$M1984),"Ниже диапазона",IF(AND($F1984&gt;=INDEX('Программа тренировок'!$F$6:$F$25,$M1984),$G1984&gt;=INDEX('Программа тренировок'!$L$6:$L$25,$M1984)),"Верх диапазона: пора добавлять вес",IF($G1984&lt;INDEX('Программа тренировок'!$L$6:$L$25,$M1984),"RIR ниже цели","В диапазоне")))))</f>
        <v/>
      </c>
      <c r="M1984" s="23" t="str">
        <f aca="false">IF($C1984="","",IFERROR(MATCH($C1984,'Программа тренировок'!$C$6:$C$25,0),""))</f>
        <v/>
      </c>
    </row>
    <row r="1985" customFormat="false" ht="15" hidden="false" customHeight="true" outlineLevel="0" collapsed="false">
      <c r="A1985" s="20"/>
      <c r="B1985" s="21"/>
      <c r="C1985" s="19"/>
      <c r="D1985" s="18"/>
      <c r="E1985" s="17"/>
      <c r="F1985" s="18"/>
      <c r="G1985" s="18"/>
      <c r="H1985" s="21"/>
      <c r="I1985" s="19"/>
      <c r="J1985" s="8" t="str">
        <f aca="false">IF(OR(E1985="",F1985=""),"",E1985*F1985)</f>
        <v/>
      </c>
      <c r="K1985" s="22" t="str">
        <f aca="false">IF($M1985="","",INDEX('Программа тренировок'!$G$6:$G$25,$M1985))</f>
        <v/>
      </c>
      <c r="L1985" s="23" t="str">
        <f aca="false">IF(OR($M1985="",$F1985="",$G1985=""),"",IF($H1985="Разминка","Разминка",IF($F1985&lt;INDEX('Программа тренировок'!$E$6:$E$25,$M1985),"Ниже диапазона",IF(AND($F1985&gt;=INDEX('Программа тренировок'!$F$6:$F$25,$M1985),$G1985&gt;=INDEX('Программа тренировок'!$L$6:$L$25,$M1985)),"Верх диапазона: пора добавлять вес",IF($G1985&lt;INDEX('Программа тренировок'!$L$6:$L$25,$M1985),"RIR ниже цели","В диапазоне")))))</f>
        <v/>
      </c>
      <c r="M1985" s="23" t="str">
        <f aca="false">IF($C1985="","",IFERROR(MATCH($C1985,'Программа тренировок'!$C$6:$C$25,0),""))</f>
        <v/>
      </c>
    </row>
    <row r="1986" customFormat="false" ht="15" hidden="false" customHeight="true" outlineLevel="0" collapsed="false">
      <c r="A1986" s="20"/>
      <c r="B1986" s="21"/>
      <c r="C1986" s="19"/>
      <c r="D1986" s="18"/>
      <c r="E1986" s="17"/>
      <c r="F1986" s="18"/>
      <c r="G1986" s="18"/>
      <c r="H1986" s="21"/>
      <c r="I1986" s="19"/>
      <c r="J1986" s="8" t="str">
        <f aca="false">IF(OR(E1986="",F1986=""),"",E1986*F1986)</f>
        <v/>
      </c>
      <c r="K1986" s="22" t="str">
        <f aca="false">IF($M1986="","",INDEX('Программа тренировок'!$G$6:$G$25,$M1986))</f>
        <v/>
      </c>
      <c r="L1986" s="23" t="str">
        <f aca="false">IF(OR($M1986="",$F1986="",$G1986=""),"",IF($H1986="Разминка","Разминка",IF($F1986&lt;INDEX('Программа тренировок'!$E$6:$E$25,$M1986),"Ниже диапазона",IF(AND($F1986&gt;=INDEX('Программа тренировок'!$F$6:$F$25,$M1986),$G1986&gt;=INDEX('Программа тренировок'!$L$6:$L$25,$M1986)),"Верх диапазона: пора добавлять вес",IF($G1986&lt;INDEX('Программа тренировок'!$L$6:$L$25,$M1986),"RIR ниже цели","В диапазоне")))))</f>
        <v/>
      </c>
      <c r="M1986" s="23" t="str">
        <f aca="false">IF($C1986="","",IFERROR(MATCH($C1986,'Программа тренировок'!$C$6:$C$25,0),""))</f>
        <v/>
      </c>
    </row>
    <row r="1987" customFormat="false" ht="15" hidden="false" customHeight="true" outlineLevel="0" collapsed="false">
      <c r="A1987" s="20"/>
      <c r="B1987" s="21"/>
      <c r="C1987" s="19"/>
      <c r="D1987" s="18"/>
      <c r="E1987" s="17"/>
      <c r="F1987" s="18"/>
      <c r="G1987" s="18"/>
      <c r="H1987" s="21"/>
      <c r="I1987" s="19"/>
      <c r="J1987" s="8" t="str">
        <f aca="false">IF(OR(E1987="",F1987=""),"",E1987*F1987)</f>
        <v/>
      </c>
      <c r="K1987" s="22" t="str">
        <f aca="false">IF($M1987="","",INDEX('Программа тренировок'!$G$6:$G$25,$M1987))</f>
        <v/>
      </c>
      <c r="L1987" s="23" t="str">
        <f aca="false">IF(OR($M1987="",$F1987="",$G1987=""),"",IF($H1987="Разминка","Разминка",IF($F1987&lt;INDEX('Программа тренировок'!$E$6:$E$25,$M1987),"Ниже диапазона",IF(AND($F1987&gt;=INDEX('Программа тренировок'!$F$6:$F$25,$M1987),$G1987&gt;=INDEX('Программа тренировок'!$L$6:$L$25,$M1987)),"Верх диапазона: пора добавлять вес",IF($G1987&lt;INDEX('Программа тренировок'!$L$6:$L$25,$M1987),"RIR ниже цели","В диапазоне")))))</f>
        <v/>
      </c>
      <c r="M1987" s="23" t="str">
        <f aca="false">IF($C1987="","",IFERROR(MATCH($C1987,'Программа тренировок'!$C$6:$C$25,0),""))</f>
        <v/>
      </c>
    </row>
    <row r="1988" customFormat="false" ht="15" hidden="false" customHeight="true" outlineLevel="0" collapsed="false">
      <c r="A1988" s="20"/>
      <c r="B1988" s="21"/>
      <c r="C1988" s="19"/>
      <c r="D1988" s="18"/>
      <c r="E1988" s="17"/>
      <c r="F1988" s="18"/>
      <c r="G1988" s="18"/>
      <c r="H1988" s="21"/>
      <c r="I1988" s="19"/>
      <c r="J1988" s="8" t="str">
        <f aca="false">IF(OR(E1988="",F1988=""),"",E1988*F1988)</f>
        <v/>
      </c>
      <c r="K1988" s="22" t="str">
        <f aca="false">IF($M1988="","",INDEX('Программа тренировок'!$G$6:$G$25,$M1988))</f>
        <v/>
      </c>
      <c r="L1988" s="23" t="str">
        <f aca="false">IF(OR($M1988="",$F1988="",$G1988=""),"",IF($H1988="Разминка","Разминка",IF($F1988&lt;INDEX('Программа тренировок'!$E$6:$E$25,$M1988),"Ниже диапазона",IF(AND($F1988&gt;=INDEX('Программа тренировок'!$F$6:$F$25,$M1988),$G1988&gt;=INDEX('Программа тренировок'!$L$6:$L$25,$M1988)),"Верх диапазона: пора добавлять вес",IF($G1988&lt;INDEX('Программа тренировок'!$L$6:$L$25,$M1988),"RIR ниже цели","В диапазоне")))))</f>
        <v/>
      </c>
      <c r="M1988" s="23" t="str">
        <f aca="false">IF($C1988="","",IFERROR(MATCH($C1988,'Программа тренировок'!$C$6:$C$25,0),""))</f>
        <v/>
      </c>
    </row>
    <row r="1989" customFormat="false" ht="15" hidden="false" customHeight="true" outlineLevel="0" collapsed="false">
      <c r="A1989" s="20"/>
      <c r="B1989" s="21"/>
      <c r="C1989" s="19"/>
      <c r="D1989" s="18"/>
      <c r="E1989" s="17"/>
      <c r="F1989" s="18"/>
      <c r="G1989" s="18"/>
      <c r="H1989" s="21"/>
      <c r="I1989" s="19"/>
      <c r="J1989" s="8" t="str">
        <f aca="false">IF(OR(E1989="",F1989=""),"",E1989*F1989)</f>
        <v/>
      </c>
      <c r="K1989" s="22" t="str">
        <f aca="false">IF($M1989="","",INDEX('Программа тренировок'!$G$6:$G$25,$M1989))</f>
        <v/>
      </c>
      <c r="L1989" s="23" t="str">
        <f aca="false">IF(OR($M1989="",$F1989="",$G1989=""),"",IF($H1989="Разминка","Разминка",IF($F1989&lt;INDEX('Программа тренировок'!$E$6:$E$25,$M1989),"Ниже диапазона",IF(AND($F1989&gt;=INDEX('Программа тренировок'!$F$6:$F$25,$M1989),$G1989&gt;=INDEX('Программа тренировок'!$L$6:$L$25,$M1989)),"Верх диапазона: пора добавлять вес",IF($G1989&lt;INDEX('Программа тренировок'!$L$6:$L$25,$M1989),"RIR ниже цели","В диапазоне")))))</f>
        <v/>
      </c>
      <c r="M1989" s="23" t="str">
        <f aca="false">IF($C1989="","",IFERROR(MATCH($C1989,'Программа тренировок'!$C$6:$C$25,0),""))</f>
        <v/>
      </c>
    </row>
    <row r="1990" customFormat="false" ht="15" hidden="false" customHeight="true" outlineLevel="0" collapsed="false">
      <c r="A1990" s="20"/>
      <c r="B1990" s="21"/>
      <c r="C1990" s="19"/>
      <c r="D1990" s="18"/>
      <c r="E1990" s="17"/>
      <c r="F1990" s="18"/>
      <c r="G1990" s="18"/>
      <c r="H1990" s="21"/>
      <c r="I1990" s="19"/>
      <c r="J1990" s="8" t="str">
        <f aca="false">IF(OR(E1990="",F1990=""),"",E1990*F1990)</f>
        <v/>
      </c>
      <c r="K1990" s="22" t="str">
        <f aca="false">IF($M1990="","",INDEX('Программа тренировок'!$G$6:$G$25,$M1990))</f>
        <v/>
      </c>
      <c r="L1990" s="23" t="str">
        <f aca="false">IF(OR($M1990="",$F1990="",$G1990=""),"",IF($H1990="Разминка","Разминка",IF($F1990&lt;INDEX('Программа тренировок'!$E$6:$E$25,$M1990),"Ниже диапазона",IF(AND($F1990&gt;=INDEX('Программа тренировок'!$F$6:$F$25,$M1990),$G1990&gt;=INDEX('Программа тренировок'!$L$6:$L$25,$M1990)),"Верх диапазона: пора добавлять вес",IF($G1990&lt;INDEX('Программа тренировок'!$L$6:$L$25,$M1990),"RIR ниже цели","В диапазоне")))))</f>
        <v/>
      </c>
      <c r="M1990" s="23" t="str">
        <f aca="false">IF($C1990="","",IFERROR(MATCH($C1990,'Программа тренировок'!$C$6:$C$25,0),""))</f>
        <v/>
      </c>
    </row>
    <row r="1991" customFormat="false" ht="15" hidden="false" customHeight="true" outlineLevel="0" collapsed="false">
      <c r="A1991" s="20"/>
      <c r="B1991" s="21"/>
      <c r="C1991" s="19"/>
      <c r="D1991" s="18"/>
      <c r="E1991" s="17"/>
      <c r="F1991" s="18"/>
      <c r="G1991" s="18"/>
      <c r="H1991" s="21"/>
      <c r="I1991" s="19"/>
      <c r="J1991" s="8" t="str">
        <f aca="false">IF(OR(E1991="",F1991=""),"",E1991*F1991)</f>
        <v/>
      </c>
      <c r="K1991" s="22" t="str">
        <f aca="false">IF($M1991="","",INDEX('Программа тренировок'!$G$6:$G$25,$M1991))</f>
        <v/>
      </c>
      <c r="L1991" s="23" t="str">
        <f aca="false">IF(OR($M1991="",$F1991="",$G1991=""),"",IF($H1991="Разминка","Разминка",IF($F1991&lt;INDEX('Программа тренировок'!$E$6:$E$25,$M1991),"Ниже диапазона",IF(AND($F1991&gt;=INDEX('Программа тренировок'!$F$6:$F$25,$M1991),$G1991&gt;=INDEX('Программа тренировок'!$L$6:$L$25,$M1991)),"Верх диапазона: пора добавлять вес",IF($G1991&lt;INDEX('Программа тренировок'!$L$6:$L$25,$M1991),"RIR ниже цели","В диапазоне")))))</f>
        <v/>
      </c>
      <c r="M1991" s="23" t="str">
        <f aca="false">IF($C1991="","",IFERROR(MATCH($C1991,'Программа тренировок'!$C$6:$C$25,0),""))</f>
        <v/>
      </c>
    </row>
    <row r="1992" customFormat="false" ht="15" hidden="false" customHeight="true" outlineLevel="0" collapsed="false">
      <c r="A1992" s="20"/>
      <c r="B1992" s="21"/>
      <c r="C1992" s="19"/>
      <c r="D1992" s="18"/>
      <c r="E1992" s="17"/>
      <c r="F1992" s="18"/>
      <c r="G1992" s="18"/>
      <c r="H1992" s="21"/>
      <c r="I1992" s="19"/>
      <c r="J1992" s="8" t="str">
        <f aca="false">IF(OR(E1992="",F1992=""),"",E1992*F1992)</f>
        <v/>
      </c>
      <c r="K1992" s="22" t="str">
        <f aca="false">IF($M1992="","",INDEX('Программа тренировок'!$G$6:$G$25,$M1992))</f>
        <v/>
      </c>
      <c r="L1992" s="23" t="str">
        <f aca="false">IF(OR($M1992="",$F1992="",$G1992=""),"",IF($H1992="Разминка","Разминка",IF($F1992&lt;INDEX('Программа тренировок'!$E$6:$E$25,$M1992),"Ниже диапазона",IF(AND($F1992&gt;=INDEX('Программа тренировок'!$F$6:$F$25,$M1992),$G1992&gt;=INDEX('Программа тренировок'!$L$6:$L$25,$M1992)),"Верх диапазона: пора добавлять вес",IF($G1992&lt;INDEX('Программа тренировок'!$L$6:$L$25,$M1992),"RIR ниже цели","В диапазоне")))))</f>
        <v/>
      </c>
      <c r="M1992" s="23" t="str">
        <f aca="false">IF($C1992="","",IFERROR(MATCH($C1992,'Программа тренировок'!$C$6:$C$25,0),""))</f>
        <v/>
      </c>
    </row>
    <row r="1993" customFormat="false" ht="15" hidden="false" customHeight="true" outlineLevel="0" collapsed="false">
      <c r="A1993" s="20"/>
      <c r="B1993" s="21"/>
      <c r="C1993" s="19"/>
      <c r="D1993" s="18"/>
      <c r="E1993" s="17"/>
      <c r="F1993" s="18"/>
      <c r="G1993" s="18"/>
      <c r="H1993" s="21"/>
      <c r="I1993" s="19"/>
      <c r="J1993" s="8" t="str">
        <f aca="false">IF(OR(E1993="",F1993=""),"",E1993*F1993)</f>
        <v/>
      </c>
      <c r="K1993" s="22" t="str">
        <f aca="false">IF($M1993="","",INDEX('Программа тренировок'!$G$6:$G$25,$M1993))</f>
        <v/>
      </c>
      <c r="L1993" s="23" t="str">
        <f aca="false">IF(OR($M1993="",$F1993="",$G1993=""),"",IF($H1993="Разминка","Разминка",IF($F1993&lt;INDEX('Программа тренировок'!$E$6:$E$25,$M1993),"Ниже диапазона",IF(AND($F1993&gt;=INDEX('Программа тренировок'!$F$6:$F$25,$M1993),$G1993&gt;=INDEX('Программа тренировок'!$L$6:$L$25,$M1993)),"Верх диапазона: пора добавлять вес",IF($G1993&lt;INDEX('Программа тренировок'!$L$6:$L$25,$M1993),"RIR ниже цели","В диапазоне")))))</f>
        <v/>
      </c>
      <c r="M1993" s="23" t="str">
        <f aca="false">IF($C1993="","",IFERROR(MATCH($C1993,'Программа тренировок'!$C$6:$C$25,0),""))</f>
        <v/>
      </c>
    </row>
    <row r="1994" customFormat="false" ht="15" hidden="false" customHeight="true" outlineLevel="0" collapsed="false">
      <c r="A1994" s="20"/>
      <c r="B1994" s="21"/>
      <c r="C1994" s="19"/>
      <c r="D1994" s="18"/>
      <c r="E1994" s="17"/>
      <c r="F1994" s="18"/>
      <c r="G1994" s="18"/>
      <c r="H1994" s="21"/>
      <c r="I1994" s="19"/>
      <c r="J1994" s="8" t="str">
        <f aca="false">IF(OR(E1994="",F1994=""),"",E1994*F1994)</f>
        <v/>
      </c>
      <c r="K1994" s="22" t="str">
        <f aca="false">IF($M1994="","",INDEX('Программа тренировок'!$G$6:$G$25,$M1994))</f>
        <v/>
      </c>
      <c r="L1994" s="23" t="str">
        <f aca="false">IF(OR($M1994="",$F1994="",$G1994=""),"",IF($H1994="Разминка","Разминка",IF($F1994&lt;INDEX('Программа тренировок'!$E$6:$E$25,$M1994),"Ниже диапазона",IF(AND($F1994&gt;=INDEX('Программа тренировок'!$F$6:$F$25,$M1994),$G1994&gt;=INDEX('Программа тренировок'!$L$6:$L$25,$M1994)),"Верх диапазона: пора добавлять вес",IF($G1994&lt;INDEX('Программа тренировок'!$L$6:$L$25,$M1994),"RIR ниже цели","В диапазоне")))))</f>
        <v/>
      </c>
      <c r="M1994" s="23" t="str">
        <f aca="false">IF($C1994="","",IFERROR(MATCH($C1994,'Программа тренировок'!$C$6:$C$25,0),""))</f>
        <v/>
      </c>
    </row>
    <row r="1995" customFormat="false" ht="15" hidden="false" customHeight="true" outlineLevel="0" collapsed="false">
      <c r="A1995" s="20"/>
      <c r="B1995" s="21"/>
      <c r="C1995" s="19"/>
      <c r="D1995" s="18"/>
      <c r="E1995" s="17"/>
      <c r="F1995" s="18"/>
      <c r="G1995" s="18"/>
      <c r="H1995" s="21"/>
      <c r="I1995" s="19"/>
      <c r="J1995" s="8" t="str">
        <f aca="false">IF(OR(E1995="",F1995=""),"",E1995*F1995)</f>
        <v/>
      </c>
      <c r="K1995" s="22" t="str">
        <f aca="false">IF($M1995="","",INDEX('Программа тренировок'!$G$6:$G$25,$M1995))</f>
        <v/>
      </c>
      <c r="L1995" s="23" t="str">
        <f aca="false">IF(OR($M1995="",$F1995="",$G1995=""),"",IF($H1995="Разминка","Разминка",IF($F1995&lt;INDEX('Программа тренировок'!$E$6:$E$25,$M1995),"Ниже диапазона",IF(AND($F1995&gt;=INDEX('Программа тренировок'!$F$6:$F$25,$M1995),$G1995&gt;=INDEX('Программа тренировок'!$L$6:$L$25,$M1995)),"Верх диапазона: пора добавлять вес",IF($G1995&lt;INDEX('Программа тренировок'!$L$6:$L$25,$M1995),"RIR ниже цели","В диапазоне")))))</f>
        <v/>
      </c>
      <c r="M1995" s="23" t="str">
        <f aca="false">IF($C1995="","",IFERROR(MATCH($C1995,'Программа тренировок'!$C$6:$C$25,0),""))</f>
        <v/>
      </c>
    </row>
    <row r="1996" customFormat="false" ht="15" hidden="false" customHeight="true" outlineLevel="0" collapsed="false">
      <c r="A1996" s="20"/>
      <c r="B1996" s="21"/>
      <c r="C1996" s="19"/>
      <c r="D1996" s="18"/>
      <c r="E1996" s="17"/>
      <c r="F1996" s="18"/>
      <c r="G1996" s="18"/>
      <c r="H1996" s="21"/>
      <c r="I1996" s="19"/>
      <c r="J1996" s="8" t="str">
        <f aca="false">IF(OR(E1996="",F1996=""),"",E1996*F1996)</f>
        <v/>
      </c>
      <c r="K1996" s="22" t="str">
        <f aca="false">IF($M1996="","",INDEX('Программа тренировок'!$G$6:$G$25,$M1996))</f>
        <v/>
      </c>
      <c r="L1996" s="23" t="str">
        <f aca="false">IF(OR($M1996="",$F1996="",$G1996=""),"",IF($H1996="Разминка","Разминка",IF($F1996&lt;INDEX('Программа тренировок'!$E$6:$E$25,$M1996),"Ниже диапазона",IF(AND($F1996&gt;=INDEX('Программа тренировок'!$F$6:$F$25,$M1996),$G1996&gt;=INDEX('Программа тренировок'!$L$6:$L$25,$M1996)),"Верх диапазона: пора добавлять вес",IF($G1996&lt;INDEX('Программа тренировок'!$L$6:$L$25,$M1996),"RIR ниже цели","В диапазоне")))))</f>
        <v/>
      </c>
      <c r="M1996" s="23" t="str">
        <f aca="false">IF($C1996="","",IFERROR(MATCH($C1996,'Программа тренировок'!$C$6:$C$25,0),""))</f>
        <v/>
      </c>
    </row>
    <row r="1997" customFormat="false" ht="15" hidden="false" customHeight="true" outlineLevel="0" collapsed="false">
      <c r="A1997" s="20"/>
      <c r="B1997" s="21"/>
      <c r="C1997" s="19"/>
      <c r="D1997" s="18"/>
      <c r="E1997" s="17"/>
      <c r="F1997" s="18"/>
      <c r="G1997" s="18"/>
      <c r="H1997" s="21"/>
      <c r="I1997" s="19"/>
      <c r="J1997" s="8" t="str">
        <f aca="false">IF(OR(E1997="",F1997=""),"",E1997*F1997)</f>
        <v/>
      </c>
      <c r="K1997" s="22" t="str">
        <f aca="false">IF($M1997="","",INDEX('Программа тренировок'!$G$6:$G$25,$M1997))</f>
        <v/>
      </c>
      <c r="L1997" s="23" t="str">
        <f aca="false">IF(OR($M1997="",$F1997="",$G1997=""),"",IF($H1997="Разминка","Разминка",IF($F1997&lt;INDEX('Программа тренировок'!$E$6:$E$25,$M1997),"Ниже диапазона",IF(AND($F1997&gt;=INDEX('Программа тренировок'!$F$6:$F$25,$M1997),$G1997&gt;=INDEX('Программа тренировок'!$L$6:$L$25,$M1997)),"Верх диапазона: пора добавлять вес",IF($G1997&lt;INDEX('Программа тренировок'!$L$6:$L$25,$M1997),"RIR ниже цели","В диапазоне")))))</f>
        <v/>
      </c>
      <c r="M1997" s="23" t="str">
        <f aca="false">IF($C1997="","",IFERROR(MATCH($C1997,'Программа тренировок'!$C$6:$C$25,0),""))</f>
        <v/>
      </c>
    </row>
    <row r="1998" customFormat="false" ht="15" hidden="false" customHeight="true" outlineLevel="0" collapsed="false">
      <c r="A1998" s="20"/>
      <c r="B1998" s="21"/>
      <c r="C1998" s="19"/>
      <c r="D1998" s="18"/>
      <c r="E1998" s="17"/>
      <c r="F1998" s="18"/>
      <c r="G1998" s="18"/>
      <c r="H1998" s="21"/>
      <c r="I1998" s="19"/>
      <c r="J1998" s="8" t="str">
        <f aca="false">IF(OR(E1998="",F1998=""),"",E1998*F1998)</f>
        <v/>
      </c>
      <c r="K1998" s="22" t="str">
        <f aca="false">IF($M1998="","",INDEX('Программа тренировок'!$G$6:$G$25,$M1998))</f>
        <v/>
      </c>
      <c r="L1998" s="23" t="str">
        <f aca="false">IF(OR($M1998="",$F1998="",$G1998=""),"",IF($H1998="Разминка","Разминка",IF($F1998&lt;INDEX('Программа тренировок'!$E$6:$E$25,$M1998),"Ниже диапазона",IF(AND($F1998&gt;=INDEX('Программа тренировок'!$F$6:$F$25,$M1998),$G1998&gt;=INDEX('Программа тренировок'!$L$6:$L$25,$M1998)),"Верх диапазона: пора добавлять вес",IF($G1998&lt;INDEX('Программа тренировок'!$L$6:$L$25,$M1998),"RIR ниже цели","В диапазоне")))))</f>
        <v/>
      </c>
      <c r="M1998" s="23" t="str">
        <f aca="false">IF($C1998="","",IFERROR(MATCH($C1998,'Программа тренировок'!$C$6:$C$25,0),""))</f>
        <v/>
      </c>
    </row>
    <row r="1999" customFormat="false" ht="15" hidden="false" customHeight="true" outlineLevel="0" collapsed="false">
      <c r="A1999" s="20"/>
      <c r="B1999" s="21"/>
      <c r="C1999" s="19"/>
      <c r="D1999" s="18"/>
      <c r="E1999" s="17"/>
      <c r="F1999" s="18"/>
      <c r="G1999" s="18"/>
      <c r="H1999" s="21"/>
      <c r="I1999" s="19"/>
      <c r="J1999" s="8" t="str">
        <f aca="false">IF(OR(E1999="",F1999=""),"",E1999*F1999)</f>
        <v/>
      </c>
      <c r="K1999" s="22" t="str">
        <f aca="false">IF($M1999="","",INDEX('Программа тренировок'!$G$6:$G$25,$M1999))</f>
        <v/>
      </c>
      <c r="L1999" s="23" t="str">
        <f aca="false">IF(OR($M1999="",$F1999="",$G1999=""),"",IF($H1999="Разминка","Разминка",IF($F1999&lt;INDEX('Программа тренировок'!$E$6:$E$25,$M1999),"Ниже диапазона",IF(AND($F1999&gt;=INDEX('Программа тренировок'!$F$6:$F$25,$M1999),$G1999&gt;=INDEX('Программа тренировок'!$L$6:$L$25,$M1999)),"Верх диапазона: пора добавлять вес",IF($G1999&lt;INDEX('Программа тренировок'!$L$6:$L$25,$M1999),"RIR ниже цели","В диапазоне")))))</f>
        <v/>
      </c>
      <c r="M1999" s="23" t="str">
        <f aca="false">IF($C1999="","",IFERROR(MATCH($C1999,'Программа тренировок'!$C$6:$C$25,0),""))</f>
        <v/>
      </c>
    </row>
    <row r="2000" customFormat="false" ht="15" hidden="false" customHeight="true" outlineLevel="0" collapsed="false">
      <c r="A2000" s="20"/>
      <c r="B2000" s="21"/>
      <c r="C2000" s="19"/>
      <c r="D2000" s="18"/>
      <c r="E2000" s="17"/>
      <c r="F2000" s="18"/>
      <c r="G2000" s="18"/>
      <c r="H2000" s="21"/>
      <c r="I2000" s="19"/>
      <c r="J2000" s="8" t="str">
        <f aca="false">IF(OR(E2000="",F2000=""),"",E2000*F2000)</f>
        <v/>
      </c>
      <c r="K2000" s="22" t="str">
        <f aca="false">IF($M2000="","",INDEX('Программа тренировок'!$G$6:$G$25,$M2000))</f>
        <v/>
      </c>
      <c r="L2000" s="23" t="str">
        <f aca="false">IF(OR($M2000="",$F2000="",$G2000=""),"",IF($H2000="Разминка","Разминка",IF($F2000&lt;INDEX('Программа тренировок'!$E$6:$E$25,$M2000),"Ниже диапазона",IF(AND($F2000&gt;=INDEX('Программа тренировок'!$F$6:$F$25,$M2000),$G2000&gt;=INDEX('Программа тренировок'!$L$6:$L$25,$M2000)),"Верх диапазона: пора добавлять вес",IF($G2000&lt;INDEX('Программа тренировок'!$L$6:$L$25,$M2000),"RIR ниже цели","В диапазоне")))))</f>
        <v/>
      </c>
      <c r="M2000" s="23" t="str">
        <f aca="false">IF($C2000="","",IFERROR(MATCH($C2000,'Программа тренировок'!$C$6:$C$25,0),""))</f>
        <v/>
      </c>
    </row>
    <row r="2001" customFormat="false" ht="15" hidden="false" customHeight="true" outlineLevel="0" collapsed="false">
      <c r="A2001" s="20"/>
      <c r="B2001" s="21"/>
      <c r="C2001" s="19"/>
      <c r="D2001" s="18"/>
      <c r="E2001" s="17"/>
      <c r="F2001" s="18"/>
      <c r="G2001" s="18"/>
      <c r="H2001" s="21"/>
      <c r="I2001" s="19"/>
      <c r="J2001" s="8" t="str">
        <f aca="false">IF(OR(E2001="",F2001=""),"",E2001*F2001)</f>
        <v/>
      </c>
      <c r="K2001" s="22" t="str">
        <f aca="false">IF($M2001="","",INDEX('Программа тренировок'!$G$6:$G$25,$M2001))</f>
        <v/>
      </c>
      <c r="L2001" s="23" t="str">
        <f aca="false">IF(OR($M2001="",$F2001="",$G2001=""),"",IF($H2001="Разминка","Разминка",IF($F2001&lt;INDEX('Программа тренировок'!$E$6:$E$25,$M2001),"Ниже диапазона",IF(AND($F2001&gt;=INDEX('Программа тренировок'!$F$6:$F$25,$M2001),$G2001&gt;=INDEX('Программа тренировок'!$L$6:$L$25,$M2001)),"Верх диапазона: пора добавлять вес",IF($G2001&lt;INDEX('Программа тренировок'!$L$6:$L$25,$M2001),"RIR ниже цели","В диапазоне")))))</f>
        <v/>
      </c>
      <c r="M2001" s="23" t="str">
        <f aca="false">IF($C2001="","",IFERROR(MATCH($C2001,'Программа тренировок'!$C$6:$C$25,0),""))</f>
        <v/>
      </c>
    </row>
    <row r="2002" customFormat="false" ht="15" hidden="false" customHeight="true" outlineLevel="0" collapsed="false">
      <c r="A2002" s="20"/>
      <c r="B2002" s="21"/>
      <c r="C2002" s="19"/>
      <c r="D2002" s="18"/>
      <c r="E2002" s="17"/>
      <c r="F2002" s="18"/>
      <c r="G2002" s="18"/>
      <c r="H2002" s="21"/>
      <c r="I2002" s="19"/>
      <c r="J2002" s="8" t="str">
        <f aca="false">IF(OR(E2002="",F2002=""),"",E2002*F2002)</f>
        <v/>
      </c>
      <c r="K2002" s="22" t="str">
        <f aca="false">IF($M2002="","",INDEX('Программа тренировок'!$G$6:$G$25,$M2002))</f>
        <v/>
      </c>
      <c r="L2002" s="23" t="str">
        <f aca="false">IF(OR($M2002="",$F2002="",$G2002=""),"",IF($H2002="Разминка","Разминка",IF($F2002&lt;INDEX('Программа тренировок'!$E$6:$E$25,$M2002),"Ниже диапазона",IF(AND($F2002&gt;=INDEX('Программа тренировок'!$F$6:$F$25,$M2002),$G2002&gt;=INDEX('Программа тренировок'!$L$6:$L$25,$M2002)),"Верх диапазона: пора добавлять вес",IF($G2002&lt;INDEX('Программа тренировок'!$L$6:$L$25,$M2002),"RIR ниже цели","В диапазоне")))))</f>
        <v/>
      </c>
      <c r="M2002" s="23" t="str">
        <f aca="false">IF($C2002="","",IFERROR(MATCH($C2002,'Программа тренировок'!$C$6:$C$25,0),""))</f>
        <v/>
      </c>
    </row>
    <row r="2003" customFormat="false" ht="15" hidden="false" customHeight="true" outlineLevel="0" collapsed="false">
      <c r="A2003" s="20"/>
      <c r="B2003" s="21"/>
      <c r="C2003" s="19"/>
      <c r="D2003" s="18"/>
      <c r="E2003" s="17"/>
      <c r="F2003" s="18"/>
      <c r="G2003" s="18"/>
      <c r="H2003" s="21"/>
      <c r="I2003" s="19"/>
      <c r="J2003" s="8" t="str">
        <f aca="false">IF(OR(E2003="",F2003=""),"",E2003*F2003)</f>
        <v/>
      </c>
      <c r="K2003" s="22" t="str">
        <f aca="false">IF($M2003="","",INDEX('Программа тренировок'!$G$6:$G$25,$M2003))</f>
        <v/>
      </c>
      <c r="L2003" s="23" t="str">
        <f aca="false">IF(OR($M2003="",$F2003="",$G2003=""),"",IF($H2003="Разминка","Разминка",IF($F2003&lt;INDEX('Программа тренировок'!$E$6:$E$25,$M2003),"Ниже диапазона",IF(AND($F2003&gt;=INDEX('Программа тренировок'!$F$6:$F$25,$M2003),$G2003&gt;=INDEX('Программа тренировок'!$L$6:$L$25,$M2003)),"Верх диапазона: пора добавлять вес",IF($G2003&lt;INDEX('Программа тренировок'!$L$6:$L$25,$M2003),"RIR ниже цели","В диапазоне")))))</f>
        <v/>
      </c>
      <c r="M2003" s="23" t="str">
        <f aca="false">IF($C2003="","",IFERROR(MATCH($C2003,'Программа тренировок'!$C$6:$C$25,0),""))</f>
        <v/>
      </c>
    </row>
    <row r="2004" customFormat="false" ht="15" hidden="false" customHeight="true" outlineLevel="0" collapsed="false">
      <c r="A2004" s="20"/>
      <c r="B2004" s="21"/>
      <c r="C2004" s="19"/>
      <c r="D2004" s="18"/>
      <c r="E2004" s="17"/>
      <c r="F2004" s="18"/>
      <c r="G2004" s="18"/>
      <c r="H2004" s="21"/>
      <c r="I2004" s="19"/>
      <c r="J2004" s="8" t="str">
        <f aca="false">IF(OR(E2004="",F2004=""),"",E2004*F2004)</f>
        <v/>
      </c>
      <c r="K2004" s="22" t="str">
        <f aca="false">IF($M2004="","",INDEX('Программа тренировок'!$G$6:$G$25,$M2004))</f>
        <v/>
      </c>
      <c r="L2004" s="23" t="str">
        <f aca="false">IF(OR($M2004="",$F2004="",$G2004=""),"",IF($H2004="Разминка","Разминка",IF($F2004&lt;INDEX('Программа тренировок'!$E$6:$E$25,$M2004),"Ниже диапазона",IF(AND($F2004&gt;=INDEX('Программа тренировок'!$F$6:$F$25,$M2004),$G2004&gt;=INDEX('Программа тренировок'!$L$6:$L$25,$M2004)),"Верх диапазона: пора добавлять вес",IF($G2004&lt;INDEX('Программа тренировок'!$L$6:$L$25,$M2004),"RIR ниже цели","В диапазоне")))))</f>
        <v/>
      </c>
      <c r="M2004" s="23" t="str">
        <f aca="false">IF($C2004="","",IFERROR(MATCH($C2004,'Программа тренировок'!$C$6:$C$25,0),""))</f>
        <v/>
      </c>
    </row>
    <row r="2005" customFormat="false" ht="15" hidden="false" customHeight="true" outlineLevel="0" collapsed="false">
      <c r="A2005" s="20"/>
      <c r="B2005" s="21"/>
      <c r="C2005" s="19"/>
      <c r="D2005" s="18"/>
      <c r="E2005" s="17"/>
      <c r="F2005" s="18"/>
      <c r="G2005" s="18"/>
      <c r="H2005" s="21"/>
      <c r="I2005" s="19"/>
      <c r="J2005" s="8" t="str">
        <f aca="false">IF(OR(E2005="",F2005=""),"",E2005*F2005)</f>
        <v/>
      </c>
      <c r="K2005" s="22" t="str">
        <f aca="false">IF($M2005="","",INDEX('Программа тренировок'!$G$6:$G$25,$M2005))</f>
        <v/>
      </c>
      <c r="L2005" s="23" t="str">
        <f aca="false">IF(OR($M2005="",$F2005="",$G2005=""),"",IF($H2005="Разминка","Разминка",IF($F2005&lt;INDEX('Программа тренировок'!$E$6:$E$25,$M2005),"Ниже диапазона",IF(AND($F2005&gt;=INDEX('Программа тренировок'!$F$6:$F$25,$M2005),$G2005&gt;=INDEX('Программа тренировок'!$L$6:$L$25,$M2005)),"Верх диапазона: пора добавлять вес",IF($G2005&lt;INDEX('Программа тренировок'!$L$6:$L$25,$M2005),"RIR ниже цели","В диапазоне")))))</f>
        <v/>
      </c>
      <c r="M2005" s="23" t="str">
        <f aca="false">IF($C2005="","",IFERROR(MATCH($C2005,'Программа тренировок'!$C$6:$C$25,0),""))</f>
        <v/>
      </c>
    </row>
  </sheetData>
  <sheetProtection sheet="true" formatCells="false" formatColumns="false" formatRows="false" sort="false" autoFilter="false"/>
  <autoFilter ref="A5:L2005"/>
  <mergeCells count="1">
    <mergeCell ref="A2:L2"/>
  </mergeCells>
  <conditionalFormatting sqref="L6:L2005">
    <cfRule type="expression" priority="2" aboveAverage="0" equalAverage="0" bottom="0" percent="0" rank="0" text="" dxfId="7">
      <formula>LEFT($L6,4)="Верх"</formula>
    </cfRule>
    <cfRule type="expression" priority="3" aboveAverage="0" equalAverage="0" bottom="0" percent="0" rank="0" text="" dxfId="9">
      <formula>$L6="Ниже диапазона"</formula>
    </cfRule>
    <cfRule type="expression" priority="4" aboveAverage="0" equalAverage="0" bottom="0" percent="0" rank="0" text="" dxfId="8">
      <formula>$L6="RIR ниже цели"</formula>
    </cfRule>
  </conditionalFormatting>
  <dataValidations count="7">
    <dataValidation allowBlank="true" errorStyle="stop" operator="between" showDropDown="false" showErrorMessage="false" showInputMessage="false" sqref="B6:B2005" type="list">
      <formula1>"A,B,C"</formula1>
      <formula2>0</formula2>
    </dataValidation>
    <dataValidation allowBlank="true" errorStyle="stop" operator="between" showDropDown="false" showErrorMessage="false" showInputMessage="false" sqref="H6:H2005" type="list">
      <formula1>"Рабочий,Разминка"</formula1>
      <formula2>0</formula2>
    </dataValidation>
    <dataValidation allowBlank="true" errorStyle="stop" operator="between" showDropDown="false" showErrorMessage="false" showInputMessage="false" sqref="G6:G2005" type="list">
      <formula1>"0,1,2,3,4,5"</formula1>
      <formula2>0</formula2>
    </dataValidation>
    <dataValidation allowBlank="true" error="Выбери упражнение из списка программы." errorStyle="stop" errorTitle="Упражнение" operator="between" showDropDown="false" showErrorMessage="true" showInputMessage="false" sqref="C6:C2005" type="list">
      <formula1>'Программа тренировок'!$C$6:$C$25</formula1>
      <formula2>0</formula2>
    </dataValidation>
    <dataValidation allowBlank="true" errorStyle="stop" operator="between" showDropDown="false" showErrorMessage="false" showInputMessage="false" sqref="D6:D2005" type="whole">
      <formula1>1</formula1>
      <formula2>8</formula2>
    </dataValidation>
    <dataValidation allowBlank="true" errorStyle="stop" operator="between" showDropDown="false" showErrorMessage="false" showInputMessage="false" sqref="E6:E2005" type="decimal">
      <formula1>0</formula1>
      <formula2>500</formula2>
    </dataValidation>
    <dataValidation allowBlank="true" errorStyle="stop" operator="between" showDropDown="false" showErrorMessage="false" showInputMessage="false" sqref="F6:F2005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34"/>
    <col collapsed="false" customWidth="true" hidden="false" outlineLevel="0" max="4" min="4" style="1" width="9"/>
    <col collapsed="false" customWidth="true" hidden="false" outlineLevel="0" max="6" min="5" style="1" width="8"/>
    <col collapsed="false" customWidth="true" hidden="false" outlineLevel="0" max="11" min="7" style="1" width="11"/>
    <col collapsed="false" customWidth="true" hidden="false" outlineLevel="0" max="12" min="12" style="1" width="9"/>
    <col collapsed="false" customWidth="true" hidden="false" outlineLevel="0" max="13" min="13" style="1" width="11"/>
    <col collapsed="false" customWidth="true" hidden="false" outlineLevel="0" max="14" min="14" style="1" width="8"/>
    <col collapsed="false" customWidth="true" hidden="false" outlineLevel="0" max="15" min="15" style="1" width="48"/>
    <col collapsed="false" customWidth="true" hidden="false" outlineLevel="0" max="17" min="16" style="1" width="50"/>
    <col collapsed="false" customWidth="true" hidden="false" outlineLevel="0" max="18" min="18" style="1" width="13"/>
    <col collapsed="false" customWidth="true" hidden="false" outlineLevel="0" max="20" min="19" style="1" width="9"/>
    <col collapsed="false" customWidth="true" hidden="false" outlineLevel="0" max="21" min="21" style="1" width="8"/>
    <col collapsed="false" customWidth="true" hidden="false" outlineLevel="0" max="22" min="22" style="1" width="34"/>
    <col collapsed="false" customWidth="true" hidden="false" outlineLevel="0" max="23" min="23" style="1" width="12"/>
  </cols>
  <sheetData>
    <row r="1" customFormat="false" ht="17.25" hidden="false" customHeight="true" outlineLevel="0" collapsed="false">
      <c r="A1" s="2" t="s">
        <v>87</v>
      </c>
    </row>
    <row r="2" customFormat="false" ht="37.5" hidden="false" customHeight="true" outlineLevel="0" collapsed="false">
      <c r="A2" s="3" t="s">
        <v>88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42" hidden="false" customHeight="true" outlineLevel="0" collapsed="false">
      <c r="A3" s="24" t="s">
        <v>89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</row>
    <row r="5" customFormat="false" ht="42" hidden="false" customHeight="true" outlineLevel="0" collapsed="false">
      <c r="A5" s="6" t="s">
        <v>90</v>
      </c>
      <c r="B5" s="6" t="s">
        <v>91</v>
      </c>
      <c r="C5" s="6" t="s">
        <v>42</v>
      </c>
      <c r="D5" s="6" t="s">
        <v>92</v>
      </c>
      <c r="E5" s="6" t="s">
        <v>93</v>
      </c>
      <c r="F5" s="6" t="s">
        <v>94</v>
      </c>
      <c r="G5" s="6" t="s">
        <v>45</v>
      </c>
      <c r="H5" s="6" t="s">
        <v>95</v>
      </c>
      <c r="I5" s="6" t="s">
        <v>96</v>
      </c>
      <c r="J5" s="6" t="s">
        <v>97</v>
      </c>
      <c r="K5" s="6" t="s">
        <v>98</v>
      </c>
      <c r="L5" s="6" t="s">
        <v>99</v>
      </c>
      <c r="M5" s="6" t="s">
        <v>100</v>
      </c>
      <c r="N5" s="6" t="s">
        <v>101</v>
      </c>
      <c r="O5" s="6" t="s">
        <v>102</v>
      </c>
      <c r="P5" s="6" t="s">
        <v>103</v>
      </c>
      <c r="Q5" s="6" t="s">
        <v>104</v>
      </c>
      <c r="R5" s="6" t="s">
        <v>105</v>
      </c>
      <c r="S5" s="6" t="s">
        <v>106</v>
      </c>
      <c r="T5" s="6" t="s">
        <v>107</v>
      </c>
      <c r="U5" s="6" t="s">
        <v>108</v>
      </c>
      <c r="V5" s="6" t="s">
        <v>109</v>
      </c>
      <c r="W5" s="6" t="s">
        <v>110</v>
      </c>
    </row>
    <row r="6" customFormat="false" ht="91.5" hidden="false" customHeight="true" outlineLevel="0" collapsed="false">
      <c r="A6" s="25" t="s">
        <v>37</v>
      </c>
      <c r="B6" s="26" t="n">
        <v>1</v>
      </c>
      <c r="C6" s="27" t="s">
        <v>38</v>
      </c>
      <c r="D6" s="18" t="n">
        <v>3</v>
      </c>
      <c r="E6" s="18" t="n">
        <v>10</v>
      </c>
      <c r="F6" s="18" t="n">
        <v>12</v>
      </c>
      <c r="G6" s="26" t="str">
        <f aca="false">E6&amp;"–"&amp;F6</f>
        <v>10–12</v>
      </c>
      <c r="H6" s="17" t="n">
        <v>80</v>
      </c>
      <c r="I6" s="21" t="s">
        <v>111</v>
      </c>
      <c r="J6" s="18" t="n">
        <v>2</v>
      </c>
      <c r="K6" s="18" t="n">
        <v>1</v>
      </c>
      <c r="L6" s="28" t="n">
        <f aca="false">IF(WeekNo&lt;=AdaptWeeks,J6,K6)</f>
        <v>2</v>
      </c>
      <c r="M6" s="26" t="str">
        <f aca="false">"RIR "&amp;L6&amp;"–"&amp;(L6+1)</f>
        <v>RIR 2–3</v>
      </c>
      <c r="N6" s="17" t="n">
        <v>5</v>
      </c>
      <c r="O6" s="29" t="s">
        <v>112</v>
      </c>
      <c r="P6" s="29" t="s">
        <v>113</v>
      </c>
      <c r="Q6" s="29" t="s">
        <v>114</v>
      </c>
      <c r="R6" s="16" t="n">
        <f aca="false">IF(COUNTIF(Тренировки!$C$6:$C$2005,$C6)=0,"",_xlfn.MAXIFS(Тренировки!$A$6:$A$2005,Тренировки!$C$6:$C$2005,$C6))</f>
        <v>46193</v>
      </c>
      <c r="S6" s="9" t="n">
        <f aca="false">IF($R6="","",_xlfn.MAXIFS(Тренировки!$E$6:$E$2005,Тренировки!$C$6:$C$2005,$C6,Тренировки!$A$6:$A$2005,$R6,Тренировки!$H$6:$H$2005,"&lt;&gt;Разминка"))</f>
        <v>70</v>
      </c>
      <c r="T6" s="8" t="n">
        <f aca="false">IF($R6="","",_xlfn.MINIFS(Тренировки!$F$6:$F$2005,Тренировки!$C$6:$C$2005,$C6,Тренировки!$A$6:$A$2005,$R6,Тренировки!$H$6:$H$2005,"&lt;&gt;Разминка",Тренировки!$F$6:$F$2005,"&gt;0"))</f>
        <v>15</v>
      </c>
      <c r="U6" s="8" t="str">
        <f aca="false">IF($R6="","",IF(COUNTIFS(Тренировки!$C$6:$C$2005,$C6,Тренировки!$A$6:$A$2005,$R6,Тренировки!$H$6:$H$2005,"&lt;&gt;Разминка",Тренировки!$G$6:$G$2005,"&gt;=0")=0,"",_xlfn.MINIFS(Тренировки!$G$6:$G$2005,Тренировки!$C$6:$C$2005,$C6,Тренировки!$A$6:$A$2005,$R6,Тренировки!$H$6:$H$2005,"&lt;&gt;Разминка",Тренировки!$G$6:$G$2005,"&gt;=0")))</f>
        <v/>
      </c>
      <c r="V6" s="30" t="str">
        <f aca="false">IF($R6="","Нет данных: начни со стартового веса",IF($U6="","Внеси RIR в журнал",IF($T6&lt;$E6,"Уменьшить вес или увеличить отдых",IF(AND($T6&gt;=$F6,$U6&gt;=$L6),"Увеличить вес",IF($U6&gt;=$L6+2,"Увеличить вес (RIR слишком высокий — вес занижен)",IF($U6&lt;$L6,"Оставить вес; останавливайся раньше (RIR ниже цели)","Оставить вес, добирай повторения"))))))</f>
        <v>Внеси RIR в журнал</v>
      </c>
      <c r="W6" s="9" t="n">
        <f aca="false">IF($R6="",$H6,IF(LEFT($V6,9)="Увеличить",$S6+$N6,IF(LEFT($V6,9)="Уменьшить",MAX(0,$S6-$N6),$S6)))</f>
        <v>70</v>
      </c>
    </row>
    <row r="7" customFormat="false" ht="91.5" hidden="false" customHeight="true" outlineLevel="0" collapsed="false">
      <c r="A7" s="25" t="s">
        <v>37</v>
      </c>
      <c r="B7" s="26" t="n">
        <v>2</v>
      </c>
      <c r="C7" s="27" t="s">
        <v>115</v>
      </c>
      <c r="D7" s="18" t="n">
        <v>3</v>
      </c>
      <c r="E7" s="18" t="n">
        <v>8</v>
      </c>
      <c r="F7" s="18" t="n">
        <v>10</v>
      </c>
      <c r="G7" s="26" t="str">
        <f aca="false">E7&amp;"–"&amp;F7</f>
        <v>8–10</v>
      </c>
      <c r="H7" s="17" t="n">
        <v>30</v>
      </c>
      <c r="I7" s="21" t="s">
        <v>111</v>
      </c>
      <c r="J7" s="18" t="n">
        <v>2</v>
      </c>
      <c r="K7" s="18" t="n">
        <v>2</v>
      </c>
      <c r="L7" s="28" t="n">
        <f aca="false">IF(WeekNo&lt;=AdaptWeeks,J7,K7)</f>
        <v>2</v>
      </c>
      <c r="M7" s="26" t="str">
        <f aca="false">"RIR "&amp;L7&amp;"–"&amp;(L7+1)</f>
        <v>RIR 2–3</v>
      </c>
      <c r="N7" s="17" t="n">
        <v>2.5</v>
      </c>
      <c r="O7" s="29" t="s">
        <v>112</v>
      </c>
      <c r="P7" s="29" t="s">
        <v>116</v>
      </c>
      <c r="Q7" s="29" t="s">
        <v>117</v>
      </c>
      <c r="R7" s="16" t="str">
        <f aca="false">IF(COUNTIF(Тренировки!$C$6:$C$2005,$C7)=0,"",_xlfn.MAXIFS(Тренировки!$A$6:$A$2005,Тренировки!$C$6:$C$2005,$C7))</f>
        <v/>
      </c>
      <c r="S7" s="9" t="str">
        <f aca="false">IF($R7="","",_xlfn.MAXIFS(Тренировки!$E$6:$E$2005,Тренировки!$C$6:$C$2005,$C7,Тренировки!$A$6:$A$2005,$R7,Тренировки!$H$6:$H$2005,"&lt;&gt;Разминка"))</f>
        <v/>
      </c>
      <c r="T7" s="8" t="str">
        <f aca="false">IF($R7="","",_xlfn.MINIFS(Тренировки!$F$6:$F$2005,Тренировки!$C$6:$C$2005,$C7,Тренировки!$A$6:$A$2005,$R7,Тренировки!$H$6:$H$2005,"&lt;&gt;Разминка",Тренировки!$F$6:$F$2005,"&gt;0"))</f>
        <v/>
      </c>
      <c r="U7" s="8" t="str">
        <f aca="false">IF($R7="","",IF(COUNTIFS(Тренировки!$C$6:$C$2005,$C7,Тренировки!$A$6:$A$2005,$R7,Тренировки!$H$6:$H$2005,"&lt;&gt;Разминка",Тренировки!$G$6:$G$2005,"&gt;=0")=0,"",_xlfn.MINIFS(Тренировки!$G$6:$G$2005,Тренировки!$C$6:$C$2005,$C7,Тренировки!$A$6:$A$2005,$R7,Тренировки!$H$6:$H$2005,"&lt;&gt;Разминка",Тренировки!$G$6:$G$2005,"&gt;=0")))</f>
        <v/>
      </c>
      <c r="V7" s="30" t="str">
        <f aca="false">IF($R7="","Нет данных: начни со стартового веса",IF($U7="","Внеси RIR в журнал",IF($T7&lt;$E7,"Уменьшить вес или увеличить отдых",IF(AND($T7&gt;=$F7,$U7&gt;=$L7),"Увеличить вес",IF($U7&gt;=$L7+2,"Увеличить вес (RIR слишком высокий — вес занижен)",IF($U7&lt;$L7,"Оставить вес; останавливайся раньше (RIR ниже цели)","Оставить вес, добирай повторения"))))))</f>
        <v>Нет данных: начни со стартового веса</v>
      </c>
      <c r="W7" s="9" t="n">
        <f aca="false">IF($R7="",$H7,IF(LEFT($V7,9)="Увеличить",$S7+$N7,IF(LEFT($V7,9)="Уменьшить",MAX(0,$S7-$N7),$S7)))</f>
        <v>30</v>
      </c>
    </row>
    <row r="8" customFormat="false" ht="91.5" hidden="false" customHeight="true" outlineLevel="0" collapsed="false">
      <c r="A8" s="25" t="s">
        <v>37</v>
      </c>
      <c r="B8" s="26" t="n">
        <v>3</v>
      </c>
      <c r="C8" s="27" t="s">
        <v>118</v>
      </c>
      <c r="D8" s="18" t="n">
        <v>3</v>
      </c>
      <c r="E8" s="18" t="n">
        <v>10</v>
      </c>
      <c r="F8" s="18" t="n">
        <v>12</v>
      </c>
      <c r="G8" s="26" t="str">
        <f aca="false">E8&amp;"–"&amp;F8</f>
        <v>10–12</v>
      </c>
      <c r="H8" s="17" t="n">
        <v>40</v>
      </c>
      <c r="I8" s="21" t="s">
        <v>119</v>
      </c>
      <c r="J8" s="18" t="n">
        <v>2</v>
      </c>
      <c r="K8" s="18" t="n">
        <v>1</v>
      </c>
      <c r="L8" s="28" t="n">
        <f aca="false">IF(WeekNo&lt;=AdaptWeeks,J8,K8)</f>
        <v>2</v>
      </c>
      <c r="M8" s="26" t="str">
        <f aca="false">"RIR "&amp;L8&amp;"–"&amp;(L8+1)</f>
        <v>RIR 2–3</v>
      </c>
      <c r="N8" s="17" t="n">
        <v>2.5</v>
      </c>
      <c r="O8" s="29" t="s">
        <v>112</v>
      </c>
      <c r="P8" s="29" t="s">
        <v>120</v>
      </c>
      <c r="Q8" s="29" t="s">
        <v>121</v>
      </c>
      <c r="R8" s="16" t="str">
        <f aca="false">IF(COUNTIF(Тренировки!$C$6:$C$2005,$C8)=0,"",_xlfn.MAXIFS(Тренировки!$A$6:$A$2005,Тренировки!$C$6:$C$2005,$C8))</f>
        <v/>
      </c>
      <c r="S8" s="9" t="str">
        <f aca="false">IF($R8="","",_xlfn.MAXIFS(Тренировки!$E$6:$E$2005,Тренировки!$C$6:$C$2005,$C8,Тренировки!$A$6:$A$2005,$R8,Тренировки!$H$6:$H$2005,"&lt;&gt;Разминка"))</f>
        <v/>
      </c>
      <c r="T8" s="8" t="str">
        <f aca="false">IF($R8="","",_xlfn.MINIFS(Тренировки!$F$6:$F$2005,Тренировки!$C$6:$C$2005,$C8,Тренировки!$A$6:$A$2005,$R8,Тренировки!$H$6:$H$2005,"&lt;&gt;Разминка",Тренировки!$F$6:$F$2005,"&gt;0"))</f>
        <v/>
      </c>
      <c r="U8" s="8" t="str">
        <f aca="false">IF($R8="","",IF(COUNTIFS(Тренировки!$C$6:$C$2005,$C8,Тренировки!$A$6:$A$2005,$R8,Тренировки!$H$6:$H$2005,"&lt;&gt;Разминка",Тренировки!$G$6:$G$2005,"&gt;=0")=0,"",_xlfn.MINIFS(Тренировки!$G$6:$G$2005,Тренировки!$C$6:$C$2005,$C8,Тренировки!$A$6:$A$2005,$R8,Тренировки!$H$6:$H$2005,"&lt;&gt;Разминка",Тренировки!$G$6:$G$2005,"&gt;=0")))</f>
        <v/>
      </c>
      <c r="V8" s="30" t="str">
        <f aca="false">IF($R8="","Нет данных: начни со стартового веса",IF($U8="","Внеси RIR в журнал",IF($T8&lt;$E8,"Уменьшить вес или увеличить отдых",IF(AND($T8&gt;=$F8,$U8&gt;=$L8),"Увеличить вес",IF($U8&gt;=$L8+2,"Увеличить вес (RIR слишком высокий — вес занижен)",IF($U8&lt;$L8,"Оставить вес; останавливайся раньше (RIR ниже цели)","Оставить вес, добирай повторения"))))))</f>
        <v>Нет данных: начни со стартового веса</v>
      </c>
      <c r="W8" s="9" t="n">
        <f aca="false">IF($R8="",$H8,IF(LEFT($V8,9)="Увеличить",$S8+$N8,IF(LEFT($V8,9)="Уменьшить",MAX(0,$S8-$N8),$S8)))</f>
        <v>40</v>
      </c>
    </row>
    <row r="9" customFormat="false" ht="91.5" hidden="false" customHeight="true" outlineLevel="0" collapsed="false">
      <c r="A9" s="25" t="s">
        <v>37</v>
      </c>
      <c r="B9" s="26" t="n">
        <v>4</v>
      </c>
      <c r="C9" s="27" t="s">
        <v>122</v>
      </c>
      <c r="D9" s="18" t="n">
        <v>3</v>
      </c>
      <c r="E9" s="18" t="n">
        <v>10</v>
      </c>
      <c r="F9" s="18" t="n">
        <v>12</v>
      </c>
      <c r="G9" s="26" t="str">
        <f aca="false">E9&amp;"–"&amp;F9</f>
        <v>10–12</v>
      </c>
      <c r="H9" s="17" t="n">
        <v>25</v>
      </c>
      <c r="I9" s="21" t="s">
        <v>123</v>
      </c>
      <c r="J9" s="18" t="n">
        <v>2</v>
      </c>
      <c r="K9" s="18" t="n">
        <v>1</v>
      </c>
      <c r="L9" s="28" t="n">
        <f aca="false">IF(WeekNo&lt;=AdaptWeeks,J9,K9)</f>
        <v>2</v>
      </c>
      <c r="M9" s="26" t="str">
        <f aca="false">"RIR "&amp;L9&amp;"–"&amp;(L9+1)</f>
        <v>RIR 2–3</v>
      </c>
      <c r="N9" s="17" t="n">
        <v>2.5</v>
      </c>
      <c r="O9" s="29" t="s">
        <v>124</v>
      </c>
      <c r="P9" s="29" t="s">
        <v>125</v>
      </c>
      <c r="Q9" s="29" t="s">
        <v>126</v>
      </c>
      <c r="R9" s="16" t="str">
        <f aca="false">IF(COUNTIF(Тренировки!$C$6:$C$2005,$C9)=0,"",_xlfn.MAXIFS(Тренировки!$A$6:$A$2005,Тренировки!$C$6:$C$2005,$C9))</f>
        <v/>
      </c>
      <c r="S9" s="9" t="str">
        <f aca="false">IF($R9="","",_xlfn.MAXIFS(Тренировки!$E$6:$E$2005,Тренировки!$C$6:$C$2005,$C9,Тренировки!$A$6:$A$2005,$R9,Тренировки!$H$6:$H$2005,"&lt;&gt;Разминка"))</f>
        <v/>
      </c>
      <c r="T9" s="8" t="str">
        <f aca="false">IF($R9="","",_xlfn.MINIFS(Тренировки!$F$6:$F$2005,Тренировки!$C$6:$C$2005,$C9,Тренировки!$A$6:$A$2005,$R9,Тренировки!$H$6:$H$2005,"&lt;&gt;Разминка",Тренировки!$F$6:$F$2005,"&gt;0"))</f>
        <v/>
      </c>
      <c r="U9" s="8" t="str">
        <f aca="false">IF($R9="","",IF(COUNTIFS(Тренировки!$C$6:$C$2005,$C9,Тренировки!$A$6:$A$2005,$R9,Тренировки!$H$6:$H$2005,"&lt;&gt;Разминка",Тренировки!$G$6:$G$2005,"&gt;=0")=0,"",_xlfn.MINIFS(Тренировки!$G$6:$G$2005,Тренировки!$C$6:$C$2005,$C9,Тренировки!$A$6:$A$2005,$R9,Тренировки!$H$6:$H$2005,"&lt;&gt;Разминка",Тренировки!$G$6:$G$2005,"&gt;=0")))</f>
        <v/>
      </c>
      <c r="V9" s="30" t="str">
        <f aca="false">IF($R9="","Нет данных: начни со стартового веса",IF($U9="","Внеси RIR в журнал",IF($T9&lt;$E9,"Уменьшить вес или увеличить отдых",IF(AND($T9&gt;=$F9,$U9&gt;=$L9),"Увеличить вес",IF($U9&gt;=$L9+2,"Увеличить вес (RIR слишком высокий — вес занижен)",IF($U9&lt;$L9,"Оставить вес; останавливайся раньше (RIR ниже цели)","Оставить вес, добирай повторения"))))))</f>
        <v>Нет данных: начни со стартового веса</v>
      </c>
      <c r="W9" s="9" t="n">
        <f aca="false">IF($R9="",$H9,IF(LEFT($V9,9)="Увеличить",$S9+$N9,IF(LEFT($V9,9)="Уменьшить",MAX(0,$S9-$N9),$S9)))</f>
        <v>25</v>
      </c>
    </row>
    <row r="10" customFormat="false" ht="91.5" hidden="false" customHeight="true" outlineLevel="0" collapsed="false">
      <c r="A10" s="25" t="s">
        <v>37</v>
      </c>
      <c r="B10" s="26" t="n">
        <v>5</v>
      </c>
      <c r="C10" s="27" t="s">
        <v>127</v>
      </c>
      <c r="D10" s="18" t="n">
        <v>3</v>
      </c>
      <c r="E10" s="18" t="n">
        <v>12</v>
      </c>
      <c r="F10" s="18" t="n">
        <v>15</v>
      </c>
      <c r="G10" s="26" t="str">
        <f aca="false">E10&amp;"–"&amp;F10</f>
        <v>12–15</v>
      </c>
      <c r="H10" s="17" t="n">
        <v>50</v>
      </c>
      <c r="I10" s="21" t="s">
        <v>128</v>
      </c>
      <c r="J10" s="18" t="n">
        <v>2</v>
      </c>
      <c r="K10" s="18" t="n">
        <v>1</v>
      </c>
      <c r="L10" s="28" t="n">
        <f aca="false">IF(WeekNo&lt;=AdaptWeeks,J10,K10)</f>
        <v>2</v>
      </c>
      <c r="M10" s="26" t="str">
        <f aca="false">"RIR "&amp;L10&amp;"–"&amp;(L10+1)</f>
        <v>RIR 2–3</v>
      </c>
      <c r="N10" s="17" t="n">
        <v>5</v>
      </c>
      <c r="O10" s="29" t="s">
        <v>124</v>
      </c>
      <c r="P10" s="29" t="s">
        <v>129</v>
      </c>
      <c r="Q10" s="29" t="s">
        <v>130</v>
      </c>
      <c r="R10" s="16" t="str">
        <f aca="false">IF(COUNTIF(Тренировки!$C$6:$C$2005,$C10)=0,"",_xlfn.MAXIFS(Тренировки!$A$6:$A$2005,Тренировки!$C$6:$C$2005,$C10))</f>
        <v/>
      </c>
      <c r="S10" s="9" t="str">
        <f aca="false">IF($R10="","",_xlfn.MAXIFS(Тренировки!$E$6:$E$2005,Тренировки!$C$6:$C$2005,$C10,Тренировки!$A$6:$A$2005,$R10,Тренировки!$H$6:$H$2005,"&lt;&gt;Разминка"))</f>
        <v/>
      </c>
      <c r="T10" s="8" t="str">
        <f aca="false">IF($R10="","",_xlfn.MINIFS(Тренировки!$F$6:$F$2005,Тренировки!$C$6:$C$2005,$C10,Тренировки!$A$6:$A$2005,$R10,Тренировки!$H$6:$H$2005,"&lt;&gt;Разминка",Тренировки!$F$6:$F$2005,"&gt;0"))</f>
        <v/>
      </c>
      <c r="U10" s="8" t="str">
        <f aca="false">IF($R10="","",IF(COUNTIFS(Тренировки!$C$6:$C$2005,$C10,Тренировки!$A$6:$A$2005,$R10,Тренировки!$H$6:$H$2005,"&lt;&gt;Разминка",Тренировки!$G$6:$G$2005,"&gt;=0")=0,"",_xlfn.MINIFS(Тренировки!$G$6:$G$2005,Тренировки!$C$6:$C$2005,$C10,Тренировки!$A$6:$A$2005,$R10,Тренировки!$H$6:$H$2005,"&lt;&gt;Разминка",Тренировки!$G$6:$G$2005,"&gt;=0")))</f>
        <v/>
      </c>
      <c r="V10" s="30" t="str">
        <f aca="false">IF($R10="","Нет данных: начни со стартового веса",IF($U10="","Внеси RIR в журнал",IF($T10&lt;$E10,"Уменьшить вес или увеличить отдых",IF(AND($T10&gt;=$F10,$U10&gt;=$L10),"Увеличить вес",IF($U10&gt;=$L10+2,"Увеличить вес (RIR слишком высокий — вес занижен)",IF($U10&lt;$L10,"Оставить вес; останавливайся раньше (RIR ниже цели)","Оставить вес, добирай повторения"))))))</f>
        <v>Нет данных: начни со стартового веса</v>
      </c>
      <c r="W10" s="9" t="n">
        <f aca="false">IF($R10="",$H10,IF(LEFT($V10,9)="Увеличить",$S10+$N10,IF(LEFT($V10,9)="Уменьшить",MAX(0,$S10-$N10),$S10)))</f>
        <v>50</v>
      </c>
    </row>
    <row r="11" customFormat="false" ht="91.5" hidden="false" customHeight="true" outlineLevel="0" collapsed="false">
      <c r="A11" s="25" t="s">
        <v>37</v>
      </c>
      <c r="B11" s="26" t="n">
        <v>6</v>
      </c>
      <c r="C11" s="27" t="s">
        <v>131</v>
      </c>
      <c r="D11" s="18" t="n">
        <v>3</v>
      </c>
      <c r="E11" s="18" t="n">
        <v>10</v>
      </c>
      <c r="F11" s="18" t="n">
        <v>12</v>
      </c>
      <c r="G11" s="26" t="str">
        <f aca="false">E11&amp;"–"&amp;F11</f>
        <v>10–12</v>
      </c>
      <c r="H11" s="17" t="n">
        <v>10</v>
      </c>
      <c r="I11" s="21" t="s">
        <v>132</v>
      </c>
      <c r="J11" s="18" t="n">
        <v>3</v>
      </c>
      <c r="K11" s="18" t="n">
        <v>2</v>
      </c>
      <c r="L11" s="28" t="n">
        <f aca="false">IF(WeekNo&lt;=AdaptWeeks,J11,K11)</f>
        <v>3</v>
      </c>
      <c r="M11" s="26" t="str">
        <f aca="false">"RIR "&amp;L11&amp;"–"&amp;(L11+1)</f>
        <v>RIR 3–4</v>
      </c>
      <c r="N11" s="17" t="n">
        <v>2.5</v>
      </c>
      <c r="O11" s="29" t="s">
        <v>124</v>
      </c>
      <c r="P11" s="29" t="s">
        <v>133</v>
      </c>
      <c r="Q11" s="29" t="s">
        <v>134</v>
      </c>
      <c r="R11" s="16" t="str">
        <f aca="false">IF(COUNTIF(Тренировки!$C$6:$C$2005,$C11)=0,"",_xlfn.MAXIFS(Тренировки!$A$6:$A$2005,Тренировки!$C$6:$C$2005,$C11))</f>
        <v/>
      </c>
      <c r="S11" s="9" t="str">
        <f aca="false">IF($R11="","",_xlfn.MAXIFS(Тренировки!$E$6:$E$2005,Тренировки!$C$6:$C$2005,$C11,Тренировки!$A$6:$A$2005,$R11,Тренировки!$H$6:$H$2005,"&lt;&gt;Разминка"))</f>
        <v/>
      </c>
      <c r="T11" s="8" t="str">
        <f aca="false">IF($R11="","",_xlfn.MINIFS(Тренировки!$F$6:$F$2005,Тренировки!$C$6:$C$2005,$C11,Тренировки!$A$6:$A$2005,$R11,Тренировки!$H$6:$H$2005,"&lt;&gt;Разминка",Тренировки!$F$6:$F$2005,"&gt;0"))</f>
        <v/>
      </c>
      <c r="U11" s="8" t="str">
        <f aca="false">IF($R11="","",IF(COUNTIFS(Тренировки!$C$6:$C$2005,$C11,Тренировки!$A$6:$A$2005,$R11,Тренировки!$H$6:$H$2005,"&lt;&gt;Разминка",Тренировки!$G$6:$G$2005,"&gt;=0")=0,"",_xlfn.MINIFS(Тренировки!$G$6:$G$2005,Тренировки!$C$6:$C$2005,$C11,Тренировки!$A$6:$A$2005,$R11,Тренировки!$H$6:$H$2005,"&lt;&gt;Разминка",Тренировки!$G$6:$G$2005,"&gt;=0")))</f>
        <v/>
      </c>
      <c r="V11" s="30" t="str">
        <f aca="false">IF($R11="","Нет данных: начни со стартового веса",IF($U11="","Внеси RIR в журнал",IF($T11&lt;$E11,"Уменьшить вес или увеличить отдых",IF(AND($T11&gt;=$F11,$U11&gt;=$L11),"Увеличить вес",IF($U11&gt;=$L11+2,"Увеличить вес (RIR слишком высокий — вес занижен)",IF($U11&lt;$L11,"Оставить вес; останавливайся раньше (RIR ниже цели)","Оставить вес, добирай повторения"))))))</f>
        <v>Нет данных: начни со стартового веса</v>
      </c>
      <c r="W11" s="9" t="n">
        <f aca="false">IF($R11="",$H11,IF(LEFT($V11,9)="Увеличить",$S11+$N11,IF(LEFT($V11,9)="Уменьшить",MAX(0,$S11-$N11),$S11)))</f>
        <v>10</v>
      </c>
    </row>
    <row r="12" customFormat="false" ht="91.5" hidden="false" customHeight="true" outlineLevel="0" collapsed="false">
      <c r="A12" s="31" t="s">
        <v>135</v>
      </c>
      <c r="B12" s="32" t="n">
        <v>1</v>
      </c>
      <c r="C12" s="33" t="s">
        <v>136</v>
      </c>
      <c r="D12" s="18" t="n">
        <v>3</v>
      </c>
      <c r="E12" s="18" t="n">
        <v>10</v>
      </c>
      <c r="F12" s="18" t="n">
        <v>12</v>
      </c>
      <c r="G12" s="32" t="str">
        <f aca="false">E12&amp;"–"&amp;F12</f>
        <v>10–12</v>
      </c>
      <c r="H12" s="17" t="n">
        <v>30</v>
      </c>
      <c r="I12" s="21" t="s">
        <v>111</v>
      </c>
      <c r="J12" s="18" t="n">
        <v>3</v>
      </c>
      <c r="K12" s="18" t="n">
        <v>2</v>
      </c>
      <c r="L12" s="34" t="n">
        <f aca="false">IF(WeekNo&lt;=AdaptWeeks,J12,K12)</f>
        <v>3</v>
      </c>
      <c r="M12" s="32" t="str">
        <f aca="false">"RIR "&amp;L12&amp;"–"&amp;(L12+1)</f>
        <v>RIR 3–4</v>
      </c>
      <c r="N12" s="17" t="n">
        <v>2.5</v>
      </c>
      <c r="O12" s="29" t="s">
        <v>112</v>
      </c>
      <c r="P12" s="29" t="s">
        <v>137</v>
      </c>
      <c r="Q12" s="29" t="s">
        <v>138</v>
      </c>
      <c r="R12" s="16" t="str">
        <f aca="false">IF(COUNTIF(Тренировки!$C$6:$C$2005,$C12)=0,"",_xlfn.MAXIFS(Тренировки!$A$6:$A$2005,Тренировки!$C$6:$C$2005,$C12))</f>
        <v/>
      </c>
      <c r="S12" s="9" t="str">
        <f aca="false">IF($R12="","",_xlfn.MAXIFS(Тренировки!$E$6:$E$2005,Тренировки!$C$6:$C$2005,$C12,Тренировки!$A$6:$A$2005,$R12,Тренировки!$H$6:$H$2005,"&lt;&gt;Разминка"))</f>
        <v/>
      </c>
      <c r="T12" s="8" t="str">
        <f aca="false">IF($R12="","",_xlfn.MINIFS(Тренировки!$F$6:$F$2005,Тренировки!$C$6:$C$2005,$C12,Тренировки!$A$6:$A$2005,$R12,Тренировки!$H$6:$H$2005,"&lt;&gt;Разминка",Тренировки!$F$6:$F$2005,"&gt;0"))</f>
        <v/>
      </c>
      <c r="U12" s="8" t="str">
        <f aca="false">IF($R12="","",IF(COUNTIFS(Тренировки!$C$6:$C$2005,$C12,Тренировки!$A$6:$A$2005,$R12,Тренировки!$H$6:$H$2005,"&lt;&gt;Разминка",Тренировки!$G$6:$G$2005,"&gt;=0")=0,"",_xlfn.MINIFS(Тренировки!$G$6:$G$2005,Тренировки!$C$6:$C$2005,$C12,Тренировки!$A$6:$A$2005,$R12,Тренировки!$H$6:$H$2005,"&lt;&gt;Разминка",Тренировки!$G$6:$G$2005,"&gt;=0")))</f>
        <v/>
      </c>
      <c r="V12" s="30" t="str">
        <f aca="false">IF($R12="","Нет данных: начни со стартового веса",IF($U12="","Внеси RIR в журнал",IF($T12&lt;$E12,"Уменьшить вес или увеличить отдых",IF(AND($T12&gt;=$F12,$U12&gt;=$L12),"Увеличить вес",IF($U12&gt;=$L12+2,"Увеличить вес (RIR слишком высокий — вес занижен)",IF($U12&lt;$L12,"Оставить вес; останавливайся раньше (RIR ниже цели)","Оставить вес, добирай повторения"))))))</f>
        <v>Нет данных: начни со стартового веса</v>
      </c>
      <c r="W12" s="9" t="n">
        <f aca="false">IF($R12="",$H12,IF(LEFT($V12,9)="Увеличить",$S12+$N12,IF(LEFT($V12,9)="Уменьшить",MAX(0,$S12-$N12),$S12)))</f>
        <v>30</v>
      </c>
    </row>
    <row r="13" customFormat="false" ht="91.5" hidden="false" customHeight="true" outlineLevel="0" collapsed="false">
      <c r="A13" s="31" t="s">
        <v>135</v>
      </c>
      <c r="B13" s="32" t="n">
        <v>2</v>
      </c>
      <c r="C13" s="33" t="s">
        <v>139</v>
      </c>
      <c r="D13" s="18" t="n">
        <v>3</v>
      </c>
      <c r="E13" s="18" t="n">
        <v>8</v>
      </c>
      <c r="F13" s="18" t="n">
        <v>10</v>
      </c>
      <c r="G13" s="32" t="str">
        <f aca="false">E13&amp;"–"&amp;F13</f>
        <v>8–10</v>
      </c>
      <c r="H13" s="17" t="n">
        <v>12</v>
      </c>
      <c r="I13" s="21" t="s">
        <v>111</v>
      </c>
      <c r="J13" s="18" t="n">
        <v>2</v>
      </c>
      <c r="K13" s="18" t="n">
        <v>2</v>
      </c>
      <c r="L13" s="34" t="n">
        <f aca="false">IF(WeekNo&lt;=AdaptWeeks,J13,K13)</f>
        <v>2</v>
      </c>
      <c r="M13" s="32" t="str">
        <f aca="false">"RIR "&amp;L13&amp;"–"&amp;(L13+1)</f>
        <v>RIR 2–3</v>
      </c>
      <c r="N13" s="17" t="n">
        <v>1</v>
      </c>
      <c r="O13" s="29" t="s">
        <v>112</v>
      </c>
      <c r="P13" s="29" t="s">
        <v>140</v>
      </c>
      <c r="Q13" s="29" t="s">
        <v>141</v>
      </c>
      <c r="R13" s="16" t="str">
        <f aca="false">IF(COUNTIF(Тренировки!$C$6:$C$2005,$C13)=0,"",_xlfn.MAXIFS(Тренировки!$A$6:$A$2005,Тренировки!$C$6:$C$2005,$C13))</f>
        <v/>
      </c>
      <c r="S13" s="9" t="str">
        <f aca="false">IF($R13="","",_xlfn.MAXIFS(Тренировки!$E$6:$E$2005,Тренировки!$C$6:$C$2005,$C13,Тренировки!$A$6:$A$2005,$R13,Тренировки!$H$6:$H$2005,"&lt;&gt;Разминка"))</f>
        <v/>
      </c>
      <c r="T13" s="8" t="str">
        <f aca="false">IF($R13="","",_xlfn.MINIFS(Тренировки!$F$6:$F$2005,Тренировки!$C$6:$C$2005,$C13,Тренировки!$A$6:$A$2005,$R13,Тренировки!$H$6:$H$2005,"&lt;&gt;Разминка",Тренировки!$F$6:$F$2005,"&gt;0"))</f>
        <v/>
      </c>
      <c r="U13" s="8" t="str">
        <f aca="false">IF($R13="","",IF(COUNTIFS(Тренировки!$C$6:$C$2005,$C13,Тренировки!$A$6:$A$2005,$R13,Тренировки!$H$6:$H$2005,"&lt;&gt;Разминка",Тренировки!$G$6:$G$2005,"&gt;=0")=0,"",_xlfn.MINIFS(Тренировки!$G$6:$G$2005,Тренировки!$C$6:$C$2005,$C13,Тренировки!$A$6:$A$2005,$R13,Тренировки!$H$6:$H$2005,"&lt;&gt;Разминка",Тренировки!$G$6:$G$2005,"&gt;=0")))</f>
        <v/>
      </c>
      <c r="V13" s="30" t="str">
        <f aca="false">IF($R13="","Нет данных: начни со стартового веса",IF($U13="","Внеси RIR в журнал",IF($T13&lt;$E13,"Уменьшить вес или увеличить отдых",IF(AND($T13&gt;=$F13,$U13&gt;=$L13),"Увеличить вес",IF($U13&gt;=$L13+2,"Увеличить вес (RIR слишком высокий — вес занижен)",IF($U13&lt;$L13,"Оставить вес; останавливайся раньше (RIR ниже цели)","Оставить вес, добирай повторения"))))))</f>
        <v>Нет данных: начни со стартового веса</v>
      </c>
      <c r="W13" s="9" t="n">
        <f aca="false">IF($R13="",$H13,IF(LEFT($V13,9)="Увеличить",$S13+$N13,IF(LEFT($V13,9)="Уменьшить",MAX(0,$S13-$N13),$S13)))</f>
        <v>12</v>
      </c>
    </row>
    <row r="14" customFormat="false" ht="91.5" hidden="false" customHeight="true" outlineLevel="0" collapsed="false">
      <c r="A14" s="31" t="s">
        <v>135</v>
      </c>
      <c r="B14" s="32" t="n">
        <v>3</v>
      </c>
      <c r="C14" s="33" t="s">
        <v>142</v>
      </c>
      <c r="D14" s="18" t="n">
        <v>3</v>
      </c>
      <c r="E14" s="18" t="n">
        <v>10</v>
      </c>
      <c r="F14" s="18" t="n">
        <v>12</v>
      </c>
      <c r="G14" s="32" t="str">
        <f aca="false">E14&amp;"–"&amp;F14</f>
        <v>10–12</v>
      </c>
      <c r="H14" s="17" t="n">
        <v>12</v>
      </c>
      <c r="I14" s="21" t="s">
        <v>119</v>
      </c>
      <c r="J14" s="18" t="n">
        <v>3</v>
      </c>
      <c r="K14" s="18" t="n">
        <v>2</v>
      </c>
      <c r="L14" s="34" t="n">
        <f aca="false">IF(WeekNo&lt;=AdaptWeeks,J14,K14)</f>
        <v>3</v>
      </c>
      <c r="M14" s="32" t="str">
        <f aca="false">"RIR "&amp;L14&amp;"–"&amp;(L14+1)</f>
        <v>RIR 3–4</v>
      </c>
      <c r="N14" s="17" t="n">
        <v>2</v>
      </c>
      <c r="O14" s="29" t="s">
        <v>112</v>
      </c>
      <c r="P14" s="29" t="s">
        <v>143</v>
      </c>
      <c r="Q14" s="29" t="s">
        <v>144</v>
      </c>
      <c r="R14" s="16" t="str">
        <f aca="false">IF(COUNTIF(Тренировки!$C$6:$C$2005,$C14)=0,"",_xlfn.MAXIFS(Тренировки!$A$6:$A$2005,Тренировки!$C$6:$C$2005,$C14))</f>
        <v/>
      </c>
      <c r="S14" s="9" t="str">
        <f aca="false">IF($R14="","",_xlfn.MAXIFS(Тренировки!$E$6:$E$2005,Тренировки!$C$6:$C$2005,$C14,Тренировки!$A$6:$A$2005,$R14,Тренировки!$H$6:$H$2005,"&lt;&gt;Разминка"))</f>
        <v/>
      </c>
      <c r="T14" s="8" t="str">
        <f aca="false">IF($R14="","",_xlfn.MINIFS(Тренировки!$F$6:$F$2005,Тренировки!$C$6:$C$2005,$C14,Тренировки!$A$6:$A$2005,$R14,Тренировки!$H$6:$H$2005,"&lt;&gt;Разминка",Тренировки!$F$6:$F$2005,"&gt;0"))</f>
        <v/>
      </c>
      <c r="U14" s="8" t="str">
        <f aca="false">IF($R14="","",IF(COUNTIFS(Тренировки!$C$6:$C$2005,$C14,Тренировки!$A$6:$A$2005,$R14,Тренировки!$H$6:$H$2005,"&lt;&gt;Разминка",Тренировки!$G$6:$G$2005,"&gt;=0")=0,"",_xlfn.MINIFS(Тренировки!$G$6:$G$2005,Тренировки!$C$6:$C$2005,$C14,Тренировки!$A$6:$A$2005,$R14,Тренировки!$H$6:$H$2005,"&lt;&gt;Разминка",Тренировки!$G$6:$G$2005,"&gt;=0")))</f>
        <v/>
      </c>
      <c r="V14" s="30" t="str">
        <f aca="false">IF($R14="","Нет данных: начни со стартового веса",IF($U14="","Внеси RIR в журнал",IF($T14&lt;$E14,"Уменьшить вес или увеличить отдых",IF(AND($T14&gt;=$F14,$U14&gt;=$L14),"Увеличить вес",IF($U14&gt;=$L14+2,"Увеличить вес (RIR слишком высокий — вес занижен)",IF($U14&lt;$L14,"Оставить вес; останавливайся раньше (RIR ниже цели)","Оставить вес, добирай повторения"))))))</f>
        <v>Нет данных: начни со стартового веса</v>
      </c>
      <c r="W14" s="9" t="n">
        <f aca="false">IF($R14="",$H14,IF(LEFT($V14,9)="Увеличить",$S14+$N14,IF(LEFT($V14,9)="Уменьшить",MAX(0,$S14-$N14),$S14)))</f>
        <v>12</v>
      </c>
    </row>
    <row r="15" customFormat="false" ht="91.5" hidden="false" customHeight="true" outlineLevel="0" collapsed="false">
      <c r="A15" s="31" t="s">
        <v>135</v>
      </c>
      <c r="B15" s="32" t="n">
        <v>4</v>
      </c>
      <c r="C15" s="33" t="s">
        <v>145</v>
      </c>
      <c r="D15" s="18" t="n">
        <v>3</v>
      </c>
      <c r="E15" s="18" t="n">
        <v>12</v>
      </c>
      <c r="F15" s="18" t="n">
        <v>15</v>
      </c>
      <c r="G15" s="32" t="str">
        <f aca="false">E15&amp;"–"&amp;F15</f>
        <v>12–15</v>
      </c>
      <c r="H15" s="17" t="n">
        <v>10</v>
      </c>
      <c r="I15" s="21" t="s">
        <v>128</v>
      </c>
      <c r="J15" s="18" t="n">
        <v>2</v>
      </c>
      <c r="K15" s="18" t="n">
        <v>2</v>
      </c>
      <c r="L15" s="34" t="n">
        <f aca="false">IF(WeekNo&lt;=AdaptWeeks,J15,K15)</f>
        <v>2</v>
      </c>
      <c r="M15" s="32" t="str">
        <f aca="false">"RIR "&amp;L15&amp;"–"&amp;(L15+1)</f>
        <v>RIR 2–3</v>
      </c>
      <c r="N15" s="17" t="n">
        <v>1</v>
      </c>
      <c r="O15" s="29" t="s">
        <v>124</v>
      </c>
      <c r="P15" s="29" t="s">
        <v>146</v>
      </c>
      <c r="Q15" s="29" t="s">
        <v>147</v>
      </c>
      <c r="R15" s="16" t="str">
        <f aca="false">IF(COUNTIF(Тренировки!$C$6:$C$2005,$C15)=0,"",_xlfn.MAXIFS(Тренировки!$A$6:$A$2005,Тренировки!$C$6:$C$2005,$C15))</f>
        <v/>
      </c>
      <c r="S15" s="9" t="str">
        <f aca="false">IF($R15="","",_xlfn.MAXIFS(Тренировки!$E$6:$E$2005,Тренировки!$C$6:$C$2005,$C15,Тренировки!$A$6:$A$2005,$R15,Тренировки!$H$6:$H$2005,"&lt;&gt;Разминка"))</f>
        <v/>
      </c>
      <c r="T15" s="8" t="str">
        <f aca="false">IF($R15="","",_xlfn.MINIFS(Тренировки!$F$6:$F$2005,Тренировки!$C$6:$C$2005,$C15,Тренировки!$A$6:$A$2005,$R15,Тренировки!$H$6:$H$2005,"&lt;&gt;Разминка",Тренировки!$F$6:$F$2005,"&gt;0"))</f>
        <v/>
      </c>
      <c r="U15" s="8" t="str">
        <f aca="false">IF($R15="","",IF(COUNTIFS(Тренировки!$C$6:$C$2005,$C15,Тренировки!$A$6:$A$2005,$R15,Тренировки!$H$6:$H$2005,"&lt;&gt;Разминка",Тренировки!$G$6:$G$2005,"&gt;=0")=0,"",_xlfn.MINIFS(Тренировки!$G$6:$G$2005,Тренировки!$C$6:$C$2005,$C15,Тренировки!$A$6:$A$2005,$R15,Тренировки!$H$6:$H$2005,"&lt;&gt;Разминка",Тренировки!$G$6:$G$2005,"&gt;=0")))</f>
        <v/>
      </c>
      <c r="V15" s="30" t="str">
        <f aca="false">IF($R15="","Нет данных: начни со стартового веса",IF($U15="","Внеси RIR в журнал",IF($T15&lt;$E15,"Уменьшить вес или увеличить отдых",IF(AND($T15&gt;=$F15,$U15&gt;=$L15),"Увеличить вес",IF($U15&gt;=$L15+2,"Увеличить вес (RIR слишком высокий — вес занижен)",IF($U15&lt;$L15,"Оставить вес; останавливайся раньше (RIR ниже цели)","Оставить вес, добирай повторения"))))))</f>
        <v>Нет данных: начни со стартового веса</v>
      </c>
      <c r="W15" s="9" t="n">
        <f aca="false">IF($R15="",$H15,IF(LEFT($V15,9)="Увеличить",$S15+$N15,IF(LEFT($V15,9)="Уменьшить",MAX(0,$S15-$N15),$S15)))</f>
        <v>10</v>
      </c>
    </row>
    <row r="16" customFormat="false" ht="91.5" hidden="false" customHeight="true" outlineLevel="0" collapsed="false">
      <c r="A16" s="31" t="s">
        <v>135</v>
      </c>
      <c r="B16" s="32" t="n">
        <v>5</v>
      </c>
      <c r="C16" s="33" t="s">
        <v>148</v>
      </c>
      <c r="D16" s="18" t="n">
        <v>3</v>
      </c>
      <c r="E16" s="18" t="n">
        <v>10</v>
      </c>
      <c r="F16" s="18" t="n">
        <v>12</v>
      </c>
      <c r="G16" s="32" t="str">
        <f aca="false">E16&amp;"–"&amp;F16</f>
        <v>10–12</v>
      </c>
      <c r="H16" s="17" t="n">
        <v>30</v>
      </c>
      <c r="I16" s="21" t="s">
        <v>123</v>
      </c>
      <c r="J16" s="18" t="n">
        <v>2</v>
      </c>
      <c r="K16" s="18" t="n">
        <v>1</v>
      </c>
      <c r="L16" s="34" t="n">
        <f aca="false">IF(WeekNo&lt;=AdaptWeeks,J16,K16)</f>
        <v>2</v>
      </c>
      <c r="M16" s="32" t="str">
        <f aca="false">"RIR "&amp;L16&amp;"–"&amp;(L16+1)</f>
        <v>RIR 2–3</v>
      </c>
      <c r="N16" s="17" t="n">
        <v>2.5</v>
      </c>
      <c r="O16" s="29" t="s">
        <v>124</v>
      </c>
      <c r="P16" s="29" t="s">
        <v>149</v>
      </c>
      <c r="Q16" s="29" t="s">
        <v>150</v>
      </c>
      <c r="R16" s="16" t="str">
        <f aca="false">IF(COUNTIF(Тренировки!$C$6:$C$2005,$C16)=0,"",_xlfn.MAXIFS(Тренировки!$A$6:$A$2005,Тренировки!$C$6:$C$2005,$C16))</f>
        <v/>
      </c>
      <c r="S16" s="9" t="str">
        <f aca="false">IF($R16="","",_xlfn.MAXIFS(Тренировки!$E$6:$E$2005,Тренировки!$C$6:$C$2005,$C16,Тренировки!$A$6:$A$2005,$R16,Тренировки!$H$6:$H$2005,"&lt;&gt;Разминка"))</f>
        <v/>
      </c>
      <c r="T16" s="8" t="str">
        <f aca="false">IF($R16="","",_xlfn.MINIFS(Тренировки!$F$6:$F$2005,Тренировки!$C$6:$C$2005,$C16,Тренировки!$A$6:$A$2005,$R16,Тренировки!$H$6:$H$2005,"&lt;&gt;Разминка",Тренировки!$F$6:$F$2005,"&gt;0"))</f>
        <v/>
      </c>
      <c r="U16" s="8" t="str">
        <f aca="false">IF($R16="","",IF(COUNTIFS(Тренировки!$C$6:$C$2005,$C16,Тренировки!$A$6:$A$2005,$R16,Тренировки!$H$6:$H$2005,"&lt;&gt;Разминка",Тренировки!$G$6:$G$2005,"&gt;=0")=0,"",_xlfn.MINIFS(Тренировки!$G$6:$G$2005,Тренировки!$C$6:$C$2005,$C16,Тренировки!$A$6:$A$2005,$R16,Тренировки!$H$6:$H$2005,"&lt;&gt;Разминка",Тренировки!$G$6:$G$2005,"&gt;=0")))</f>
        <v/>
      </c>
      <c r="V16" s="30" t="str">
        <f aca="false">IF($R16="","Нет данных: начни со стартового веса",IF($U16="","Внеси RIR в журнал",IF($T16&lt;$E16,"Уменьшить вес или увеличить отдых",IF(AND($T16&gt;=$F16,$U16&gt;=$L16),"Увеличить вес",IF($U16&gt;=$L16+2,"Увеличить вес (RIR слишком высокий — вес занижен)",IF($U16&lt;$L16,"Оставить вес; останавливайся раньше (RIR ниже цели)","Оставить вес, добирай повторения"))))))</f>
        <v>Нет данных: начни со стартового веса</v>
      </c>
      <c r="W16" s="9" t="n">
        <f aca="false">IF($R16="",$H16,IF(LEFT($V16,9)="Увеличить",$S16+$N16,IF(LEFT($V16,9)="Уменьшить",MAX(0,$S16-$N16),$S16)))</f>
        <v>30</v>
      </c>
    </row>
    <row r="17" customFormat="false" ht="91.5" hidden="false" customHeight="true" outlineLevel="0" collapsed="false">
      <c r="A17" s="31" t="s">
        <v>135</v>
      </c>
      <c r="B17" s="32" t="n">
        <v>6</v>
      </c>
      <c r="C17" s="33" t="s">
        <v>151</v>
      </c>
      <c r="D17" s="18" t="n">
        <v>3</v>
      </c>
      <c r="E17" s="18" t="n">
        <v>12</v>
      </c>
      <c r="F17" s="18" t="n">
        <v>15</v>
      </c>
      <c r="G17" s="32" t="str">
        <f aca="false">E17&amp;"–"&amp;F17</f>
        <v>12–15</v>
      </c>
      <c r="H17" s="17" t="n">
        <v>8</v>
      </c>
      <c r="I17" s="21" t="s">
        <v>128</v>
      </c>
      <c r="J17" s="18" t="n">
        <v>2</v>
      </c>
      <c r="K17" s="18" t="n">
        <v>1</v>
      </c>
      <c r="L17" s="34" t="n">
        <f aca="false">IF(WeekNo&lt;=AdaptWeeks,J17,K17)</f>
        <v>2</v>
      </c>
      <c r="M17" s="32" t="str">
        <f aca="false">"RIR "&amp;L17&amp;"–"&amp;(L17+1)</f>
        <v>RIR 2–3</v>
      </c>
      <c r="N17" s="17" t="n">
        <v>2</v>
      </c>
      <c r="O17" s="29" t="s">
        <v>124</v>
      </c>
      <c r="P17" s="29" t="s">
        <v>152</v>
      </c>
      <c r="Q17" s="29" t="s">
        <v>153</v>
      </c>
      <c r="R17" s="16" t="str">
        <f aca="false">IF(COUNTIF(Тренировки!$C$6:$C$2005,$C17)=0,"",_xlfn.MAXIFS(Тренировки!$A$6:$A$2005,Тренировки!$C$6:$C$2005,$C17))</f>
        <v/>
      </c>
      <c r="S17" s="9" t="str">
        <f aca="false">IF($R17="","",_xlfn.MAXIFS(Тренировки!$E$6:$E$2005,Тренировки!$C$6:$C$2005,$C17,Тренировки!$A$6:$A$2005,$R17,Тренировки!$H$6:$H$2005,"&lt;&gt;Разминка"))</f>
        <v/>
      </c>
      <c r="T17" s="8" t="str">
        <f aca="false">IF($R17="","",_xlfn.MINIFS(Тренировки!$F$6:$F$2005,Тренировки!$C$6:$C$2005,$C17,Тренировки!$A$6:$A$2005,$R17,Тренировки!$H$6:$H$2005,"&lt;&gt;Разминка",Тренировки!$F$6:$F$2005,"&gt;0"))</f>
        <v/>
      </c>
      <c r="U17" s="8" t="str">
        <f aca="false">IF($R17="","",IF(COUNTIFS(Тренировки!$C$6:$C$2005,$C17,Тренировки!$A$6:$A$2005,$R17,Тренировки!$H$6:$H$2005,"&lt;&gt;Разминка",Тренировки!$G$6:$G$2005,"&gt;=0")=0,"",_xlfn.MINIFS(Тренировки!$G$6:$G$2005,Тренировки!$C$6:$C$2005,$C17,Тренировки!$A$6:$A$2005,$R17,Тренировки!$H$6:$H$2005,"&lt;&gt;Разминка",Тренировки!$G$6:$G$2005,"&gt;=0")))</f>
        <v/>
      </c>
      <c r="V17" s="30" t="str">
        <f aca="false">IF($R17="","Нет данных: начни со стартового веса",IF($U17="","Внеси RIR в журнал",IF($T17&lt;$E17,"Уменьшить вес или увеличить отдых",IF(AND($T17&gt;=$F17,$U17&gt;=$L17),"Увеличить вес",IF($U17&gt;=$L17+2,"Увеличить вес (RIR слишком высокий — вес занижен)",IF($U17&lt;$L17,"Оставить вес; останавливайся раньше (RIR ниже цели)","Оставить вес, добирай повторения"))))))</f>
        <v>Нет данных: начни со стартового веса</v>
      </c>
      <c r="W17" s="9" t="n">
        <f aca="false">IF($R17="",$H17,IF(LEFT($V17,9)="Увеличить",$S17+$N17,IF(LEFT($V17,9)="Уменьшить",MAX(0,$S17-$N17),$S17)))</f>
        <v>8</v>
      </c>
    </row>
    <row r="18" customFormat="false" ht="91.5" hidden="false" customHeight="true" outlineLevel="0" collapsed="false">
      <c r="A18" s="31" t="s">
        <v>135</v>
      </c>
      <c r="B18" s="32" t="n">
        <v>7</v>
      </c>
      <c r="C18" s="33" t="s">
        <v>154</v>
      </c>
      <c r="D18" s="18" t="n">
        <v>3</v>
      </c>
      <c r="E18" s="18" t="n">
        <v>8</v>
      </c>
      <c r="F18" s="18" t="n">
        <v>10</v>
      </c>
      <c r="G18" s="32" t="str">
        <f aca="false">E18&amp;"–"&amp;F18</f>
        <v>8–10</v>
      </c>
      <c r="H18" s="17" t="n">
        <v>0</v>
      </c>
      <c r="I18" s="21" t="s">
        <v>132</v>
      </c>
      <c r="J18" s="18" t="n">
        <v>3</v>
      </c>
      <c r="K18" s="18" t="n">
        <v>2</v>
      </c>
      <c r="L18" s="34" t="n">
        <f aca="false">IF(WeekNo&lt;=AdaptWeeks,J18,K18)</f>
        <v>3</v>
      </c>
      <c r="M18" s="32" t="str">
        <f aca="false">"RIR "&amp;L18&amp;"–"&amp;(L18+1)</f>
        <v>RIR 3–4</v>
      </c>
      <c r="N18" s="17" t="n">
        <v>0</v>
      </c>
      <c r="O18" s="29" t="s">
        <v>155</v>
      </c>
      <c r="P18" s="29" t="s">
        <v>156</v>
      </c>
      <c r="Q18" s="29" t="s">
        <v>157</v>
      </c>
      <c r="R18" s="16" t="str">
        <f aca="false">IF(COUNTIF(Тренировки!$C$6:$C$2005,$C18)=0,"",_xlfn.MAXIFS(Тренировки!$A$6:$A$2005,Тренировки!$C$6:$C$2005,$C18))</f>
        <v/>
      </c>
      <c r="S18" s="9" t="str">
        <f aca="false">IF($R18="","",_xlfn.MAXIFS(Тренировки!$E$6:$E$2005,Тренировки!$C$6:$C$2005,$C18,Тренировки!$A$6:$A$2005,$R18,Тренировки!$H$6:$H$2005,"&lt;&gt;Разминка"))</f>
        <v/>
      </c>
      <c r="T18" s="8" t="str">
        <f aca="false">IF($R18="","",_xlfn.MINIFS(Тренировки!$F$6:$F$2005,Тренировки!$C$6:$C$2005,$C18,Тренировки!$A$6:$A$2005,$R18,Тренировки!$H$6:$H$2005,"&lt;&gt;Разминка",Тренировки!$F$6:$F$2005,"&gt;0"))</f>
        <v/>
      </c>
      <c r="U18" s="8" t="str">
        <f aca="false">IF($R18="","",IF(COUNTIFS(Тренировки!$C$6:$C$2005,$C18,Тренировки!$A$6:$A$2005,$R18,Тренировки!$H$6:$H$2005,"&lt;&gt;Разминка",Тренировки!$G$6:$G$2005,"&gt;=0")=0,"",_xlfn.MINIFS(Тренировки!$G$6:$G$2005,Тренировки!$C$6:$C$2005,$C18,Тренировки!$A$6:$A$2005,$R18,Тренировки!$H$6:$H$2005,"&lt;&gt;Разминка",Тренировки!$G$6:$G$2005,"&gt;=0")))</f>
        <v/>
      </c>
      <c r="V18" s="30" t="str">
        <f aca="false">IF($R18="","Нет данных: начни со стартового веса",IF($U18="","Внеси RIR в журнал",IF($T18&lt;$E18,"Уменьшить вес или увеличить отдых",IF(AND($T18&gt;=$F18,$U18&gt;=$L18),"Увеличить вес",IF($U18&gt;=$L18+2,"Увеличить вес (RIR слишком высокий — вес занижен)",IF($U18&lt;$L18,"Оставить вес; останавливайся раньше (RIR ниже цели)","Оставить вес, добирай повторения"))))))</f>
        <v>Нет данных: начни со стартового веса</v>
      </c>
      <c r="W18" s="9" t="n">
        <f aca="false">IF($R18="",$H18,IF(LEFT($V18,9)="Увеличить",$S18+$N18,IF(LEFT($V18,9)="Уменьшить",MAX(0,$S18-$N18),$S18)))</f>
        <v>0</v>
      </c>
    </row>
    <row r="19" customFormat="false" ht="91.5" hidden="false" customHeight="true" outlineLevel="0" collapsed="false">
      <c r="A19" s="35" t="s">
        <v>158</v>
      </c>
      <c r="B19" s="36" t="n">
        <v>1</v>
      </c>
      <c r="C19" s="37" t="s">
        <v>159</v>
      </c>
      <c r="D19" s="18" t="n">
        <v>3</v>
      </c>
      <c r="E19" s="18" t="n">
        <v>12</v>
      </c>
      <c r="F19" s="18" t="n">
        <v>15</v>
      </c>
      <c r="G19" s="36" t="str">
        <f aca="false">E19&amp;"–"&amp;F19</f>
        <v>12–15</v>
      </c>
      <c r="H19" s="17" t="n">
        <v>50</v>
      </c>
      <c r="I19" s="21" t="s">
        <v>123</v>
      </c>
      <c r="J19" s="18" t="n">
        <v>2</v>
      </c>
      <c r="K19" s="18" t="n">
        <v>1</v>
      </c>
      <c r="L19" s="38" t="n">
        <f aca="false">IF(WeekNo&lt;=AdaptWeeks,J19,K19)</f>
        <v>2</v>
      </c>
      <c r="M19" s="36" t="str">
        <f aca="false">"RIR "&amp;L19&amp;"–"&amp;(L19+1)</f>
        <v>RIR 2–3</v>
      </c>
      <c r="N19" s="17" t="n">
        <v>2.5</v>
      </c>
      <c r="O19" s="29" t="s">
        <v>124</v>
      </c>
      <c r="P19" s="29" t="s">
        <v>160</v>
      </c>
      <c r="Q19" s="29" t="s">
        <v>161</v>
      </c>
      <c r="R19" s="16" t="str">
        <f aca="false">IF(COUNTIF(Тренировки!$C$6:$C$2005,$C19)=0,"",_xlfn.MAXIFS(Тренировки!$A$6:$A$2005,Тренировки!$C$6:$C$2005,$C19))</f>
        <v/>
      </c>
      <c r="S19" s="9" t="str">
        <f aca="false">IF($R19="","",_xlfn.MAXIFS(Тренировки!$E$6:$E$2005,Тренировки!$C$6:$C$2005,$C19,Тренировки!$A$6:$A$2005,$R19,Тренировки!$H$6:$H$2005,"&lt;&gt;Разминка"))</f>
        <v/>
      </c>
      <c r="T19" s="8" t="str">
        <f aca="false">IF($R19="","",_xlfn.MINIFS(Тренировки!$F$6:$F$2005,Тренировки!$C$6:$C$2005,$C19,Тренировки!$A$6:$A$2005,$R19,Тренировки!$H$6:$H$2005,"&lt;&gt;Разминка",Тренировки!$F$6:$F$2005,"&gt;0"))</f>
        <v/>
      </c>
      <c r="U19" s="8" t="str">
        <f aca="false">IF($R19="","",IF(COUNTIFS(Тренировки!$C$6:$C$2005,$C19,Тренировки!$A$6:$A$2005,$R19,Тренировки!$H$6:$H$2005,"&lt;&gt;Разминка",Тренировки!$G$6:$G$2005,"&gt;=0")=0,"",_xlfn.MINIFS(Тренировки!$G$6:$G$2005,Тренировки!$C$6:$C$2005,$C19,Тренировки!$A$6:$A$2005,$R19,Тренировки!$H$6:$H$2005,"&lt;&gt;Разминка",Тренировки!$G$6:$G$2005,"&gt;=0")))</f>
        <v/>
      </c>
      <c r="V19" s="30" t="str">
        <f aca="false">IF($R19="","Нет данных: начни со стартового веса",IF($U19="","Внеси RIR в журнал",IF($T19&lt;$E19,"Уменьшить вес или увеличить отдых",IF(AND($T19&gt;=$F19,$U19&gt;=$L19),"Увеличить вес",IF($U19&gt;=$L19+2,"Увеличить вес (RIR слишком высокий — вес занижен)",IF($U19&lt;$L19,"Оставить вес; останавливайся раньше (RIR ниже цели)","Оставить вес, добирай повторения"))))))</f>
        <v>Нет данных: начни со стартового веса</v>
      </c>
      <c r="W19" s="9" t="n">
        <f aca="false">IF($R19="",$H19,IF(LEFT($V19,9)="Увеличить",$S19+$N19,IF(LEFT($V19,9)="Уменьшить",MAX(0,$S19-$N19),$S19)))</f>
        <v>50</v>
      </c>
    </row>
    <row r="20" customFormat="false" ht="91.5" hidden="false" customHeight="true" outlineLevel="0" collapsed="false">
      <c r="A20" s="35" t="s">
        <v>158</v>
      </c>
      <c r="B20" s="36" t="n">
        <v>2</v>
      </c>
      <c r="C20" s="37" t="s">
        <v>162</v>
      </c>
      <c r="D20" s="18" t="n">
        <v>3</v>
      </c>
      <c r="E20" s="18" t="n">
        <v>10</v>
      </c>
      <c r="F20" s="18" t="n">
        <v>12</v>
      </c>
      <c r="G20" s="36" t="str">
        <f aca="false">E20&amp;"–"&amp;F20</f>
        <v>10–12</v>
      </c>
      <c r="H20" s="17" t="n">
        <v>35</v>
      </c>
      <c r="I20" s="21" t="s">
        <v>123</v>
      </c>
      <c r="J20" s="18" t="n">
        <v>2</v>
      </c>
      <c r="K20" s="18" t="n">
        <v>2</v>
      </c>
      <c r="L20" s="38" t="n">
        <f aca="false">IF(WeekNo&lt;=AdaptWeeks,J20,K20)</f>
        <v>2</v>
      </c>
      <c r="M20" s="36" t="str">
        <f aca="false">"RIR "&amp;L20&amp;"–"&amp;(L20+1)</f>
        <v>RIR 2–3</v>
      </c>
      <c r="N20" s="17" t="n">
        <v>2.5</v>
      </c>
      <c r="O20" s="29" t="s">
        <v>124</v>
      </c>
      <c r="P20" s="29" t="s">
        <v>163</v>
      </c>
      <c r="Q20" s="29" t="s">
        <v>164</v>
      </c>
      <c r="R20" s="16" t="str">
        <f aca="false">IF(COUNTIF(Тренировки!$C$6:$C$2005,$C20)=0,"",_xlfn.MAXIFS(Тренировки!$A$6:$A$2005,Тренировки!$C$6:$C$2005,$C20))</f>
        <v/>
      </c>
      <c r="S20" s="9" t="str">
        <f aca="false">IF($R20="","",_xlfn.MAXIFS(Тренировки!$E$6:$E$2005,Тренировки!$C$6:$C$2005,$C20,Тренировки!$A$6:$A$2005,$R20,Тренировки!$H$6:$H$2005,"&lt;&gt;Разминка"))</f>
        <v/>
      </c>
      <c r="T20" s="8" t="str">
        <f aca="false">IF($R20="","",_xlfn.MINIFS(Тренировки!$F$6:$F$2005,Тренировки!$C$6:$C$2005,$C20,Тренировки!$A$6:$A$2005,$R20,Тренировки!$H$6:$H$2005,"&lt;&gt;Разминка",Тренировки!$F$6:$F$2005,"&gt;0"))</f>
        <v/>
      </c>
      <c r="U20" s="8" t="str">
        <f aca="false">IF($R20="","",IF(COUNTIFS(Тренировки!$C$6:$C$2005,$C20,Тренировки!$A$6:$A$2005,$R20,Тренировки!$H$6:$H$2005,"&lt;&gt;Разминка",Тренировки!$G$6:$G$2005,"&gt;=0")=0,"",_xlfn.MINIFS(Тренировки!$G$6:$G$2005,Тренировки!$C$6:$C$2005,$C20,Тренировки!$A$6:$A$2005,$R20,Тренировки!$H$6:$H$2005,"&lt;&gt;Разминка",Тренировки!$G$6:$G$2005,"&gt;=0")))</f>
        <v/>
      </c>
      <c r="V20" s="30" t="str">
        <f aca="false">IF($R20="","Нет данных: начни со стартового веса",IF($U20="","Внеси RIR в журнал",IF($T20&lt;$E20,"Уменьшить вес или увеличить отдых",IF(AND($T20&gt;=$F20,$U20&gt;=$L20),"Увеличить вес",IF($U20&gt;=$L20+2,"Увеличить вес (RIR слишком высокий — вес занижен)",IF($U20&lt;$L20,"Оставить вес; останавливайся раньше (RIR ниже цели)","Оставить вес, добирай повторения"))))))</f>
        <v>Нет данных: начни со стартового веса</v>
      </c>
      <c r="W20" s="9" t="n">
        <f aca="false">IF($R20="",$H20,IF(LEFT($V20,9)="Увеличить",$S20+$N20,IF(LEFT($V20,9)="Уменьшить",MAX(0,$S20-$N20),$S20)))</f>
        <v>35</v>
      </c>
    </row>
    <row r="21" customFormat="false" ht="91.5" hidden="false" customHeight="true" outlineLevel="0" collapsed="false">
      <c r="A21" s="35" t="s">
        <v>158</v>
      </c>
      <c r="B21" s="36" t="n">
        <v>3</v>
      </c>
      <c r="C21" s="37" t="s">
        <v>165</v>
      </c>
      <c r="D21" s="18" t="n">
        <v>3</v>
      </c>
      <c r="E21" s="18" t="n">
        <v>8</v>
      </c>
      <c r="F21" s="18" t="n">
        <v>10</v>
      </c>
      <c r="G21" s="36" t="str">
        <f aca="false">E21&amp;"–"&amp;F21</f>
        <v>8–10</v>
      </c>
      <c r="H21" s="17" t="n">
        <v>50</v>
      </c>
      <c r="I21" s="21" t="s">
        <v>119</v>
      </c>
      <c r="J21" s="18" t="n">
        <v>2</v>
      </c>
      <c r="K21" s="18" t="n">
        <v>1</v>
      </c>
      <c r="L21" s="38" t="n">
        <f aca="false">IF(WeekNo&lt;=AdaptWeeks,J21,K21)</f>
        <v>2</v>
      </c>
      <c r="M21" s="36" t="str">
        <f aca="false">"RIR "&amp;L21&amp;"–"&amp;(L21+1)</f>
        <v>RIR 2–3</v>
      </c>
      <c r="N21" s="17" t="n">
        <v>2.5</v>
      </c>
      <c r="O21" s="29" t="s">
        <v>112</v>
      </c>
      <c r="P21" s="29" t="s">
        <v>166</v>
      </c>
      <c r="Q21" s="29" t="s">
        <v>167</v>
      </c>
      <c r="R21" s="16" t="str">
        <f aca="false">IF(COUNTIF(Тренировки!$C$6:$C$2005,$C21)=0,"",_xlfn.MAXIFS(Тренировки!$A$6:$A$2005,Тренировки!$C$6:$C$2005,$C21))</f>
        <v/>
      </c>
      <c r="S21" s="9" t="str">
        <f aca="false">IF($R21="","",_xlfn.MAXIFS(Тренировки!$E$6:$E$2005,Тренировки!$C$6:$C$2005,$C21,Тренировки!$A$6:$A$2005,$R21,Тренировки!$H$6:$H$2005,"&lt;&gt;Разминка"))</f>
        <v/>
      </c>
      <c r="T21" s="8" t="str">
        <f aca="false">IF($R21="","",_xlfn.MINIFS(Тренировки!$F$6:$F$2005,Тренировки!$C$6:$C$2005,$C21,Тренировки!$A$6:$A$2005,$R21,Тренировки!$H$6:$H$2005,"&lt;&gt;Разминка",Тренировки!$F$6:$F$2005,"&gt;0"))</f>
        <v/>
      </c>
      <c r="U21" s="8" t="str">
        <f aca="false">IF($R21="","",IF(COUNTIFS(Тренировки!$C$6:$C$2005,$C21,Тренировки!$A$6:$A$2005,$R21,Тренировки!$H$6:$H$2005,"&lt;&gt;Разминка",Тренировки!$G$6:$G$2005,"&gt;=0")=0,"",_xlfn.MINIFS(Тренировки!$G$6:$G$2005,Тренировки!$C$6:$C$2005,$C21,Тренировки!$A$6:$A$2005,$R21,Тренировки!$H$6:$H$2005,"&lt;&gt;Разминка",Тренировки!$G$6:$G$2005,"&gt;=0")))</f>
        <v/>
      </c>
      <c r="V21" s="30" t="str">
        <f aca="false">IF($R21="","Нет данных: начни со стартового веса",IF($U21="","Внеси RIR в журнал",IF($T21&lt;$E21,"Уменьшить вес или увеличить отдых",IF(AND($T21&gt;=$F21,$U21&gt;=$L21),"Увеличить вес",IF($U21&gt;=$L21+2,"Увеличить вес (RIR слишком высокий — вес занижен)",IF($U21&lt;$L21,"Оставить вес; останавливайся раньше (RIR ниже цели)","Оставить вес, добирай повторения"))))))</f>
        <v>Нет данных: начни со стартового веса</v>
      </c>
      <c r="W21" s="9" t="n">
        <f aca="false">IF($R21="",$H21,IF(LEFT($V21,9)="Увеличить",$S21+$N21,IF(LEFT($V21,9)="Уменьшить",MAX(0,$S21-$N21),$S21)))</f>
        <v>50</v>
      </c>
    </row>
    <row r="22" customFormat="false" ht="91.5" hidden="false" customHeight="true" outlineLevel="0" collapsed="false">
      <c r="A22" s="35" t="s">
        <v>158</v>
      </c>
      <c r="B22" s="36" t="n">
        <v>4</v>
      </c>
      <c r="C22" s="37" t="s">
        <v>168</v>
      </c>
      <c r="D22" s="18" t="n">
        <v>3</v>
      </c>
      <c r="E22" s="18" t="n">
        <v>10</v>
      </c>
      <c r="F22" s="18" t="n">
        <v>12</v>
      </c>
      <c r="G22" s="36" t="str">
        <f aca="false">E22&amp;"–"&amp;F22</f>
        <v>10–12</v>
      </c>
      <c r="H22" s="17" t="n">
        <v>40</v>
      </c>
      <c r="I22" s="21" t="s">
        <v>119</v>
      </c>
      <c r="J22" s="18" t="n">
        <v>3</v>
      </c>
      <c r="K22" s="18" t="n">
        <v>2</v>
      </c>
      <c r="L22" s="38" t="n">
        <f aca="false">IF(WeekNo&lt;=AdaptWeeks,J22,K22)</f>
        <v>3</v>
      </c>
      <c r="M22" s="36" t="str">
        <f aca="false">"RIR "&amp;L22&amp;"–"&amp;(L22+1)</f>
        <v>RIR 3–4</v>
      </c>
      <c r="N22" s="17" t="n">
        <v>5</v>
      </c>
      <c r="O22" s="29" t="s">
        <v>112</v>
      </c>
      <c r="P22" s="29" t="s">
        <v>169</v>
      </c>
      <c r="Q22" s="29" t="s">
        <v>170</v>
      </c>
      <c r="R22" s="16" t="str">
        <f aca="false">IF(COUNTIF(Тренировки!$C$6:$C$2005,$C22)=0,"",_xlfn.MAXIFS(Тренировки!$A$6:$A$2005,Тренировки!$C$6:$C$2005,$C22))</f>
        <v/>
      </c>
      <c r="S22" s="9" t="str">
        <f aca="false">IF($R22="","",_xlfn.MAXIFS(Тренировки!$E$6:$E$2005,Тренировки!$C$6:$C$2005,$C22,Тренировки!$A$6:$A$2005,$R22,Тренировки!$H$6:$H$2005,"&lt;&gt;Разминка"))</f>
        <v/>
      </c>
      <c r="T22" s="8" t="str">
        <f aca="false">IF($R22="","",_xlfn.MINIFS(Тренировки!$F$6:$F$2005,Тренировки!$C$6:$C$2005,$C22,Тренировки!$A$6:$A$2005,$R22,Тренировки!$H$6:$H$2005,"&lt;&gt;Разминка",Тренировки!$F$6:$F$2005,"&gt;0"))</f>
        <v/>
      </c>
      <c r="U22" s="8" t="str">
        <f aca="false">IF($R22="","",IF(COUNTIFS(Тренировки!$C$6:$C$2005,$C22,Тренировки!$A$6:$A$2005,$R22,Тренировки!$H$6:$H$2005,"&lt;&gt;Разминка",Тренировки!$G$6:$G$2005,"&gt;=0")=0,"",_xlfn.MINIFS(Тренировки!$G$6:$G$2005,Тренировки!$C$6:$C$2005,$C22,Тренировки!$A$6:$A$2005,$R22,Тренировки!$H$6:$H$2005,"&lt;&gt;Разминка",Тренировки!$G$6:$G$2005,"&gt;=0")))</f>
        <v/>
      </c>
      <c r="V22" s="30" t="str">
        <f aca="false">IF($R22="","Нет данных: начни со стартового веса",IF($U22="","Внеси RIR в журнал",IF($T22&lt;$E22,"Уменьшить вес или увеличить отдых",IF(AND($T22&gt;=$F22,$U22&gt;=$L22),"Увеличить вес",IF($U22&gt;=$L22+2,"Увеличить вес (RIR слишком высокий — вес занижен)",IF($U22&lt;$L22,"Оставить вес; останавливайся раньше (RIR ниже цели)","Оставить вес, добирай повторения"))))))</f>
        <v>Нет данных: начни со стартового веса</v>
      </c>
      <c r="W22" s="9" t="n">
        <f aca="false">IF($R22="",$H22,IF(LEFT($V22,9)="Увеличить",$S22+$N22,IF(LEFT($V22,9)="Уменьшить",MAX(0,$S22-$N22),$S22)))</f>
        <v>40</v>
      </c>
    </row>
    <row r="23" customFormat="false" ht="91.5" hidden="false" customHeight="true" outlineLevel="0" collapsed="false">
      <c r="A23" s="35" t="s">
        <v>158</v>
      </c>
      <c r="B23" s="36" t="n">
        <v>5</v>
      </c>
      <c r="C23" s="37" t="s">
        <v>171</v>
      </c>
      <c r="D23" s="18" t="n">
        <v>3</v>
      </c>
      <c r="E23" s="18" t="n">
        <v>10</v>
      </c>
      <c r="F23" s="18" t="n">
        <v>12</v>
      </c>
      <c r="G23" s="36" t="str">
        <f aca="false">E23&amp;"–"&amp;F23</f>
        <v>10–12</v>
      </c>
      <c r="H23" s="17" t="n">
        <v>10</v>
      </c>
      <c r="I23" s="21" t="s">
        <v>123</v>
      </c>
      <c r="J23" s="18" t="n">
        <v>2</v>
      </c>
      <c r="K23" s="18" t="n">
        <v>1</v>
      </c>
      <c r="L23" s="38" t="n">
        <f aca="false">IF(WeekNo&lt;=AdaptWeeks,J23,K23)</f>
        <v>2</v>
      </c>
      <c r="M23" s="36" t="str">
        <f aca="false">"RIR "&amp;L23&amp;"–"&amp;(L23+1)</f>
        <v>RIR 2–3</v>
      </c>
      <c r="N23" s="17" t="n">
        <v>1</v>
      </c>
      <c r="O23" s="29" t="s">
        <v>124</v>
      </c>
      <c r="P23" s="29" t="s">
        <v>172</v>
      </c>
      <c r="Q23" s="29" t="s">
        <v>173</v>
      </c>
      <c r="R23" s="16" t="str">
        <f aca="false">IF(COUNTIF(Тренировки!$C$6:$C$2005,$C23)=0,"",_xlfn.MAXIFS(Тренировки!$A$6:$A$2005,Тренировки!$C$6:$C$2005,$C23))</f>
        <v/>
      </c>
      <c r="S23" s="9" t="str">
        <f aca="false">IF($R23="","",_xlfn.MAXIFS(Тренировки!$E$6:$E$2005,Тренировки!$C$6:$C$2005,$C23,Тренировки!$A$6:$A$2005,$R23,Тренировки!$H$6:$H$2005,"&lt;&gt;Разминка"))</f>
        <v/>
      </c>
      <c r="T23" s="8" t="str">
        <f aca="false">IF($R23="","",_xlfn.MINIFS(Тренировки!$F$6:$F$2005,Тренировки!$C$6:$C$2005,$C23,Тренировки!$A$6:$A$2005,$R23,Тренировки!$H$6:$H$2005,"&lt;&gt;Разминка",Тренировки!$F$6:$F$2005,"&gt;0"))</f>
        <v/>
      </c>
      <c r="U23" s="8" t="str">
        <f aca="false">IF($R23="","",IF(COUNTIFS(Тренировки!$C$6:$C$2005,$C23,Тренировки!$A$6:$A$2005,$R23,Тренировки!$H$6:$H$2005,"&lt;&gt;Разминка",Тренировки!$G$6:$G$2005,"&gt;=0")=0,"",_xlfn.MINIFS(Тренировки!$G$6:$G$2005,Тренировки!$C$6:$C$2005,$C23,Тренировки!$A$6:$A$2005,$R23,Тренировки!$H$6:$H$2005,"&lt;&gt;Разминка",Тренировки!$G$6:$G$2005,"&gt;=0")))</f>
        <v/>
      </c>
      <c r="V23" s="30" t="str">
        <f aca="false">IF($R23="","Нет данных: начни со стартового веса",IF($U23="","Внеси RIR в журнал",IF($T23&lt;$E23,"Уменьшить вес или увеличить отдых",IF(AND($T23&gt;=$F23,$U23&gt;=$L23),"Увеличить вес",IF($U23&gt;=$L23+2,"Увеличить вес (RIR слишком высокий — вес занижен)",IF($U23&lt;$L23,"Оставить вес; останавливайся раньше (RIR ниже цели)","Оставить вес, добирай повторения"))))))</f>
        <v>Нет данных: начни со стартового веса</v>
      </c>
      <c r="W23" s="9" t="n">
        <f aca="false">IF($R23="",$H23,IF(LEFT($V23,9)="Увеличить",$S23+$N23,IF(LEFT($V23,9)="Уменьшить",MAX(0,$S23-$N23),$S23)))</f>
        <v>10</v>
      </c>
    </row>
    <row r="24" customFormat="false" ht="91.5" hidden="false" customHeight="true" outlineLevel="0" collapsed="false">
      <c r="A24" s="35" t="s">
        <v>158</v>
      </c>
      <c r="B24" s="36" t="n">
        <v>6</v>
      </c>
      <c r="C24" s="37" t="s">
        <v>174</v>
      </c>
      <c r="D24" s="18" t="n">
        <v>3</v>
      </c>
      <c r="E24" s="18" t="n">
        <v>12</v>
      </c>
      <c r="F24" s="18" t="n">
        <v>15</v>
      </c>
      <c r="G24" s="36" t="str">
        <f aca="false">E24&amp;"–"&amp;F24</f>
        <v>12–15</v>
      </c>
      <c r="H24" s="17" t="n">
        <v>30</v>
      </c>
      <c r="I24" s="21" t="s">
        <v>128</v>
      </c>
      <c r="J24" s="18" t="n">
        <v>2</v>
      </c>
      <c r="K24" s="18" t="n">
        <v>1</v>
      </c>
      <c r="L24" s="38" t="n">
        <f aca="false">IF(WeekNo&lt;=AdaptWeeks,J24,K24)</f>
        <v>2</v>
      </c>
      <c r="M24" s="36" t="str">
        <f aca="false">"RIR "&amp;L24&amp;"–"&amp;(L24+1)</f>
        <v>RIR 2–3</v>
      </c>
      <c r="N24" s="17" t="n">
        <v>2.5</v>
      </c>
      <c r="O24" s="29" t="s">
        <v>124</v>
      </c>
      <c r="P24" s="29" t="s">
        <v>175</v>
      </c>
      <c r="Q24" s="29" t="s">
        <v>176</v>
      </c>
      <c r="R24" s="16" t="str">
        <f aca="false">IF(COUNTIF(Тренировки!$C$6:$C$2005,$C24)=0,"",_xlfn.MAXIFS(Тренировки!$A$6:$A$2005,Тренировки!$C$6:$C$2005,$C24))</f>
        <v/>
      </c>
      <c r="S24" s="9" t="str">
        <f aca="false">IF($R24="","",_xlfn.MAXIFS(Тренировки!$E$6:$E$2005,Тренировки!$C$6:$C$2005,$C24,Тренировки!$A$6:$A$2005,$R24,Тренировки!$H$6:$H$2005,"&lt;&gt;Разминка"))</f>
        <v/>
      </c>
      <c r="T24" s="8" t="str">
        <f aca="false">IF($R24="","",_xlfn.MINIFS(Тренировки!$F$6:$F$2005,Тренировки!$C$6:$C$2005,$C24,Тренировки!$A$6:$A$2005,$R24,Тренировки!$H$6:$H$2005,"&lt;&gt;Разминка",Тренировки!$F$6:$F$2005,"&gt;0"))</f>
        <v/>
      </c>
      <c r="U24" s="8" t="str">
        <f aca="false">IF($R24="","",IF(COUNTIFS(Тренировки!$C$6:$C$2005,$C24,Тренировки!$A$6:$A$2005,$R24,Тренировки!$H$6:$H$2005,"&lt;&gt;Разминка",Тренировки!$G$6:$G$2005,"&gt;=0")=0,"",_xlfn.MINIFS(Тренировки!$G$6:$G$2005,Тренировки!$C$6:$C$2005,$C24,Тренировки!$A$6:$A$2005,$R24,Тренировки!$H$6:$H$2005,"&lt;&gt;Разминка",Тренировки!$G$6:$G$2005,"&gt;=0")))</f>
        <v/>
      </c>
      <c r="V24" s="30" t="str">
        <f aca="false">IF($R24="","Нет данных: начни со стартового веса",IF($U24="","Внеси RIR в журнал",IF($T24&lt;$E24,"Уменьшить вес или увеличить отдых",IF(AND($T24&gt;=$F24,$U24&gt;=$L24),"Увеличить вес",IF($U24&gt;=$L24+2,"Увеличить вес (RIR слишком высокий — вес занижен)",IF($U24&lt;$L24,"Оставить вес; останавливайся раньше (RIR ниже цели)","Оставить вес, добирай повторения"))))))</f>
        <v>Нет данных: начни со стартового веса</v>
      </c>
      <c r="W24" s="9" t="n">
        <f aca="false">IF($R24="",$H24,IF(LEFT($V24,9)="Увеличить",$S24+$N24,IF(LEFT($V24,9)="Уменьшить",MAX(0,$S24-$N24),$S24)))</f>
        <v>30</v>
      </c>
    </row>
    <row r="25" customFormat="false" ht="91.5" hidden="false" customHeight="true" outlineLevel="0" collapsed="false">
      <c r="A25" s="35" t="s">
        <v>158</v>
      </c>
      <c r="B25" s="36" t="n">
        <v>7</v>
      </c>
      <c r="C25" s="37" t="s">
        <v>177</v>
      </c>
      <c r="D25" s="18" t="n">
        <v>3</v>
      </c>
      <c r="E25" s="18" t="n">
        <v>20</v>
      </c>
      <c r="F25" s="18" t="n">
        <v>40</v>
      </c>
      <c r="G25" s="36" t="str">
        <f aca="false">E25&amp;"–"&amp;F25</f>
        <v>20–40</v>
      </c>
      <c r="H25" s="17" t="n">
        <v>0</v>
      </c>
      <c r="I25" s="21" t="s">
        <v>132</v>
      </c>
      <c r="J25" s="18" t="n">
        <v>3</v>
      </c>
      <c r="K25" s="18" t="n">
        <v>2</v>
      </c>
      <c r="L25" s="38" t="n">
        <f aca="false">IF(WeekNo&lt;=AdaptWeeks,J25,K25)</f>
        <v>3</v>
      </c>
      <c r="M25" s="36" t="str">
        <f aca="false">"RIR "&amp;L25&amp;"–"&amp;(L25+1)</f>
        <v>RIR 3–4</v>
      </c>
      <c r="N25" s="17" t="n">
        <v>0</v>
      </c>
      <c r="O25" s="29" t="s">
        <v>155</v>
      </c>
      <c r="P25" s="29" t="s">
        <v>178</v>
      </c>
      <c r="Q25" s="29" t="s">
        <v>179</v>
      </c>
      <c r="R25" s="16" t="str">
        <f aca="false">IF(COUNTIF(Тренировки!$C$6:$C$2005,$C25)=0,"",_xlfn.MAXIFS(Тренировки!$A$6:$A$2005,Тренировки!$C$6:$C$2005,$C25))</f>
        <v/>
      </c>
      <c r="S25" s="9" t="str">
        <f aca="false">IF($R25="","",_xlfn.MAXIFS(Тренировки!$E$6:$E$2005,Тренировки!$C$6:$C$2005,$C25,Тренировки!$A$6:$A$2005,$R25,Тренировки!$H$6:$H$2005,"&lt;&gt;Разминка"))</f>
        <v/>
      </c>
      <c r="T25" s="8" t="str">
        <f aca="false">IF($R25="","",_xlfn.MINIFS(Тренировки!$F$6:$F$2005,Тренировки!$C$6:$C$2005,$C25,Тренировки!$A$6:$A$2005,$R25,Тренировки!$H$6:$H$2005,"&lt;&gt;Разминка",Тренировки!$F$6:$F$2005,"&gt;0"))</f>
        <v/>
      </c>
      <c r="U25" s="8" t="str">
        <f aca="false">IF($R25="","",IF(COUNTIFS(Тренировки!$C$6:$C$2005,$C25,Тренировки!$A$6:$A$2005,$R25,Тренировки!$H$6:$H$2005,"&lt;&gt;Разминка",Тренировки!$G$6:$G$2005,"&gt;=0")=0,"",_xlfn.MINIFS(Тренировки!$G$6:$G$2005,Тренировки!$C$6:$C$2005,$C25,Тренировки!$A$6:$A$2005,$R25,Тренировки!$H$6:$H$2005,"&lt;&gt;Разминка",Тренировки!$G$6:$G$2005,"&gt;=0")))</f>
        <v/>
      </c>
      <c r="V25" s="30" t="str">
        <f aca="false">IF($R25="","Нет данных: начни со стартового веса",IF($U25="","Внеси RIR в журнал",IF($T25&lt;$E25,"Уменьшить вес или увеличить отдых",IF(AND($T25&gt;=$F25,$U25&gt;=$L25),"Увеличить вес",IF($U25&gt;=$L25+2,"Увеличить вес (RIR слишком высокий — вес занижен)",IF($U25&lt;$L25,"Оставить вес; останавливайся раньше (RIR ниже цели)","Оставить вес, добирай повторения"))))))</f>
        <v>Нет данных: начни со стартового веса</v>
      </c>
      <c r="W25" s="9" t="n">
        <f aca="false">IF($R25="",$H25,IF(LEFT($V25,9)="Увеличить",$S25+$N25,IF(LEFT($V25,9)="Уменьшить",MAX(0,$S25-$N25),$S25)))</f>
        <v>0</v>
      </c>
    </row>
    <row r="28" customFormat="false" ht="15" hidden="false" customHeight="true" outlineLevel="0" collapsed="false">
      <c r="A28" s="39" t="s">
        <v>180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</row>
    <row r="29" customFormat="false" ht="43.5" hidden="false" customHeight="true" outlineLevel="0" collapsed="false">
      <c r="A29" s="40" t="s">
        <v>181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</row>
    <row r="30" customFormat="false" ht="43.5" hidden="false" customHeight="true" outlineLevel="0" collapsed="false">
      <c r="A30" s="40" t="s">
        <v>182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</row>
    <row r="31" customFormat="false" ht="43.5" hidden="false" customHeight="true" outlineLevel="0" collapsed="false">
      <c r="A31" s="40" t="s">
        <v>183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</row>
    <row r="32" customFormat="false" ht="43.5" hidden="false" customHeight="true" outlineLevel="0" collapsed="false">
      <c r="A32" s="40" t="s">
        <v>184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</row>
    <row r="33" customFormat="false" ht="43.5" hidden="false" customHeight="true" outlineLevel="0" collapsed="false">
      <c r="A33" s="40" t="s">
        <v>185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</row>
  </sheetData>
  <sheetProtection sheet="true" formatCells="false" formatColumns="false" formatRows="false" sort="false" autoFilter="false"/>
  <autoFilter ref="A5:W25"/>
  <mergeCells count="7">
    <mergeCell ref="A2:W2"/>
    <mergeCell ref="A3:W3"/>
    <mergeCell ref="A29:W29"/>
    <mergeCell ref="A30:W30"/>
    <mergeCell ref="A31:W31"/>
    <mergeCell ref="A32:W32"/>
    <mergeCell ref="A33:W33"/>
  </mergeCells>
  <conditionalFormatting sqref="V6:V25">
    <cfRule type="expression" priority="2" aboveAverage="0" equalAverage="0" bottom="0" percent="0" rank="0" text="" dxfId="7">
      <formula>LEFT($V6,9)="Увеличить"</formula>
    </cfRule>
    <cfRule type="expression" priority="3" aboveAverage="0" equalAverage="0" bottom="0" percent="0" rank="0" text="" dxfId="9">
      <formula>LEFT($V6,9)="Уменьшить"</formula>
    </cfRule>
    <cfRule type="expression" priority="4" aboveAverage="0" equalAverage="0" bottom="0" percent="0" rank="0" text="" dxfId="8">
      <formula>LEFT($V6,7)="Оставить"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42"/>
    <col collapsed="false" customWidth="true" hidden="false" outlineLevel="0" max="7" min="4" style="1" width="11"/>
    <col collapsed="false" customWidth="true" hidden="false" outlineLevel="0" max="8" min="8" style="1" width="12"/>
    <col collapsed="false" customWidth="true" hidden="false" outlineLevel="0" max="9" min="9" style="1" width="13"/>
  </cols>
  <sheetData>
    <row r="1" customFormat="false" ht="17.25" hidden="false" customHeight="true" outlineLevel="0" collapsed="false">
      <c r="A1" s="2" t="s">
        <v>186</v>
      </c>
    </row>
    <row r="2" customFormat="false" ht="37.5" hidden="false" customHeight="true" outlineLevel="0" collapsed="false">
      <c r="A2" s="3" t="s">
        <v>187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39" t="s">
        <v>188</v>
      </c>
      <c r="B4" s="39"/>
      <c r="C4" s="39"/>
      <c r="D4" s="39"/>
      <c r="E4" s="39"/>
      <c r="F4" s="39"/>
      <c r="G4" s="39"/>
      <c r="H4" s="39"/>
      <c r="I4" s="39"/>
    </row>
    <row r="5" customFormat="false" ht="99.75" hidden="false" customHeight="true" outlineLevel="0" collapsed="false">
      <c r="A5" s="40" t="s">
        <v>189</v>
      </c>
      <c r="B5" s="40"/>
      <c r="C5" s="40"/>
      <c r="D5" s="40"/>
      <c r="E5" s="40"/>
      <c r="F5" s="40"/>
      <c r="G5" s="40"/>
      <c r="H5" s="40"/>
      <c r="I5" s="40"/>
    </row>
    <row r="7" customFormat="false" ht="15" hidden="false" customHeight="true" outlineLevel="0" collapsed="false">
      <c r="A7" s="39" t="s">
        <v>190</v>
      </c>
      <c r="B7" s="39"/>
      <c r="C7" s="39"/>
      <c r="D7" s="39"/>
      <c r="E7" s="39"/>
      <c r="F7" s="39"/>
      <c r="G7" s="39"/>
      <c r="H7" s="39"/>
      <c r="I7" s="39"/>
    </row>
    <row r="8" customFormat="false" ht="15" hidden="false" customHeight="true" outlineLevel="0" collapsed="false">
      <c r="A8" s="6" t="s">
        <v>191</v>
      </c>
      <c r="B8" s="6" t="s">
        <v>192</v>
      </c>
      <c r="C8" s="6" t="s">
        <v>24</v>
      </c>
      <c r="D8" s="6" t="s">
        <v>193</v>
      </c>
    </row>
    <row r="9" customFormat="false" ht="27.75" hidden="false" customHeight="true" outlineLevel="0" collapsed="false">
      <c r="A9" s="7" t="s">
        <v>194</v>
      </c>
      <c r="B9" s="8" t="n">
        <f aca="false">TargetKcal</f>
        <v>2200</v>
      </c>
      <c r="C9" s="30" t="str">
        <f aca="false">"TDEE ≈ "&amp;TDEE&amp;" ккал (BMR "&amp;BMR&amp;" × "&amp;ActFactor&amp;"), дефицит "&amp;PlanDeficit&amp;" ккал"</f>
        <v>TDEE ≈ 2542 ккал (BMR 1816 × 1.4), дефицит 350 ккал</v>
      </c>
      <c r="D9" s="8" t="n">
        <f aca="false">B9/StartWeight</f>
        <v>26.6666666666667</v>
      </c>
    </row>
    <row r="10" customFormat="false" ht="27.75" hidden="false" customHeight="true" outlineLevel="0" collapsed="false">
      <c r="A10" s="7" t="s">
        <v>5</v>
      </c>
      <c r="B10" s="8" t="n">
        <f aca="false">TargetProtein</f>
        <v>165</v>
      </c>
      <c r="C10" s="30" t="str">
        <f aca="false">"Из них протеин: "&amp;WheyServ*WheyProt&amp;" г, из еды: "&amp;(TargetProtein-WheyServ*WheyProt)&amp;" г"</f>
        <v>Из них протеин: 24 г, из еды: 141 г</v>
      </c>
      <c r="D10" s="9" t="n">
        <f aca="false">B10/StartWeight</f>
        <v>2</v>
      </c>
    </row>
    <row r="11" customFormat="false" ht="27.75" hidden="false" customHeight="true" outlineLevel="0" collapsed="false">
      <c r="A11" s="7" t="s">
        <v>6</v>
      </c>
      <c r="B11" s="8" t="n">
        <f aca="false">TargetFat</f>
        <v>70</v>
      </c>
      <c r="C11" s="30" t="s">
        <v>195</v>
      </c>
      <c r="D11" s="9" t="n">
        <f aca="false">B11/StartWeight</f>
        <v>0.848484848484849</v>
      </c>
    </row>
    <row r="12" customFormat="false" ht="27.75" hidden="false" customHeight="true" outlineLevel="0" collapsed="false">
      <c r="A12" s="7" t="s">
        <v>7</v>
      </c>
      <c r="B12" s="8" t="n">
        <f aca="false">TargetCarb</f>
        <v>228</v>
      </c>
      <c r="C12" s="30" t="s">
        <v>196</v>
      </c>
      <c r="D12" s="9" t="n">
        <f aca="false">B12/StartWeight</f>
        <v>2.76363636363636</v>
      </c>
    </row>
    <row r="13" customFormat="false" ht="27.75" hidden="false" customHeight="true" outlineLevel="0" collapsed="false">
      <c r="A13" s="7" t="s">
        <v>8</v>
      </c>
      <c r="B13" s="8" t="n">
        <f aca="false">TargetFiber</f>
        <v>30</v>
      </c>
      <c r="C13" s="30" t="s">
        <v>197</v>
      </c>
      <c r="D13" s="13" t="n">
        <f aca="false">B13/StartWeight</f>
        <v>0.363636363636364</v>
      </c>
    </row>
    <row r="14" customFormat="false" ht="27.75" hidden="false" customHeight="true" outlineLevel="0" collapsed="false">
      <c r="A14" s="7" t="s">
        <v>9</v>
      </c>
      <c r="B14" s="9" t="n">
        <f aca="false">TargetWater</f>
        <v>2.8</v>
      </c>
      <c r="C14" s="30" t="s">
        <v>198</v>
      </c>
      <c r="D14" s="41" t="n">
        <f aca="false">B14/StartWeight</f>
        <v>0.0339393939393939</v>
      </c>
    </row>
    <row r="15" customFormat="false" ht="23.25" hidden="false" customHeight="true" outlineLevel="0" collapsed="false">
      <c r="A15" s="7" t="s">
        <v>199</v>
      </c>
      <c r="B15" s="8" t="n">
        <f aca="false">4*TargetProtein+9*TargetFat+4*TargetCarb</f>
        <v>2202</v>
      </c>
      <c r="C15" s="30" t="s">
        <v>200</v>
      </c>
    </row>
    <row r="17" customFormat="false" ht="15" hidden="false" customHeight="true" outlineLevel="0" collapsed="false">
      <c r="A17" s="39" t="s">
        <v>201</v>
      </c>
      <c r="B17" s="39"/>
      <c r="C17" s="39"/>
      <c r="D17" s="39"/>
      <c r="E17" s="39"/>
      <c r="F17" s="39"/>
      <c r="G17" s="39"/>
      <c r="H17" s="39"/>
      <c r="I17" s="39"/>
    </row>
    <row r="18" customFormat="false" ht="15" hidden="false" customHeight="true" outlineLevel="0" collapsed="false">
      <c r="A18" s="6" t="s">
        <v>202</v>
      </c>
      <c r="B18" s="6" t="s">
        <v>203</v>
      </c>
      <c r="C18" s="6" t="s">
        <v>204</v>
      </c>
      <c r="D18" s="6" t="s">
        <v>205</v>
      </c>
      <c r="E18" s="6" t="s">
        <v>206</v>
      </c>
    </row>
    <row r="19" customFormat="false" ht="39.75" hidden="false" customHeight="true" outlineLevel="0" collapsed="false">
      <c r="A19" s="42" t="s">
        <v>207</v>
      </c>
      <c r="B19" s="43" t="s">
        <v>208</v>
      </c>
      <c r="C19" s="30" t="s">
        <v>209</v>
      </c>
      <c r="D19" s="8" t="n">
        <f aca="false">E31</f>
        <v>595.9</v>
      </c>
      <c r="E19" s="8" t="n">
        <f aca="false">F31</f>
        <v>33.99</v>
      </c>
    </row>
    <row r="20" customFormat="false" ht="39.75" hidden="false" customHeight="true" outlineLevel="0" collapsed="false">
      <c r="A20" s="42" t="s">
        <v>210</v>
      </c>
      <c r="B20" s="43" t="s">
        <v>211</v>
      </c>
      <c r="C20" s="30" t="s">
        <v>212</v>
      </c>
      <c r="D20" s="8" t="n">
        <f aca="false">E36</f>
        <v>585.2</v>
      </c>
      <c r="E20" s="8" t="n">
        <f aca="false">F36</f>
        <v>48.73</v>
      </c>
    </row>
    <row r="21" customFormat="false" ht="39.75" hidden="false" customHeight="true" outlineLevel="0" collapsed="false">
      <c r="A21" s="42" t="s">
        <v>213</v>
      </c>
      <c r="B21" s="43" t="s">
        <v>214</v>
      </c>
      <c r="C21" s="30" t="s">
        <v>215</v>
      </c>
      <c r="D21" s="8" t="n">
        <f aca="false">E41</f>
        <v>623.75</v>
      </c>
      <c r="E21" s="8" t="n">
        <f aca="false">F41</f>
        <v>41.375</v>
      </c>
    </row>
    <row r="22" customFormat="false" ht="39.75" hidden="false" customHeight="true" outlineLevel="0" collapsed="false">
      <c r="A22" s="42" t="s">
        <v>216</v>
      </c>
      <c r="B22" s="43" t="s">
        <v>217</v>
      </c>
      <c r="C22" s="30" t="s">
        <v>218</v>
      </c>
      <c r="D22" s="8" t="n">
        <f aca="false">E46</f>
        <v>412.4</v>
      </c>
      <c r="E22" s="8" t="n">
        <f aca="false">F46</f>
        <v>44.2</v>
      </c>
    </row>
    <row r="23" customFormat="false" ht="31.5" hidden="false" customHeight="true" outlineLevel="0" collapsed="false">
      <c r="A23" s="40" t="s">
        <v>219</v>
      </c>
      <c r="B23" s="40"/>
      <c r="C23" s="40"/>
      <c r="D23" s="40"/>
      <c r="E23" s="40"/>
      <c r="F23" s="40"/>
      <c r="G23" s="40"/>
      <c r="H23" s="40"/>
      <c r="I23" s="40"/>
    </row>
    <row r="25" customFormat="false" ht="15" hidden="false" customHeight="true" outlineLevel="0" collapsed="false">
      <c r="A25" s="39" t="s">
        <v>220</v>
      </c>
      <c r="B25" s="39"/>
      <c r="C25" s="39"/>
      <c r="D25" s="39"/>
      <c r="E25" s="39"/>
      <c r="F25" s="39"/>
      <c r="G25" s="39"/>
      <c r="H25" s="39"/>
      <c r="I25" s="39"/>
    </row>
    <row r="26" customFormat="false" ht="15" hidden="false" customHeight="true" outlineLevel="0" collapsed="false">
      <c r="A26" s="6" t="s">
        <v>202</v>
      </c>
      <c r="B26" s="6" t="s">
        <v>203</v>
      </c>
      <c r="C26" s="6" t="s">
        <v>221</v>
      </c>
      <c r="D26" s="6" t="s">
        <v>222</v>
      </c>
      <c r="E26" s="6" t="s">
        <v>4</v>
      </c>
      <c r="F26" s="6" t="s">
        <v>5</v>
      </c>
      <c r="G26" s="6" t="s">
        <v>6</v>
      </c>
      <c r="H26" s="6" t="s">
        <v>7</v>
      </c>
      <c r="I26" s="6" t="s">
        <v>8</v>
      </c>
    </row>
    <row r="27" customFormat="false" ht="15" hidden="false" customHeight="true" outlineLevel="0" collapsed="false">
      <c r="A27" s="22" t="s">
        <v>207</v>
      </c>
      <c r="B27" s="23" t="s">
        <v>208</v>
      </c>
      <c r="C27" s="19" t="s">
        <v>223</v>
      </c>
      <c r="D27" s="18" t="n">
        <v>70</v>
      </c>
      <c r="E27" s="8" t="n">
        <f aca="false">IFERROR(INDEX(Продукты!$B$5:$B$60,MATCH($C27,Продукты!$A$5:$A$60,0))*$D27/100,0)</f>
        <v>239.4</v>
      </c>
      <c r="F27" s="9" t="n">
        <f aca="false">IFERROR(INDEX(Продукты!$C$5:$C$60,MATCH($C27,Продукты!$A$5:$A$60,0))*$D27/100,0)</f>
        <v>8.61</v>
      </c>
      <c r="G27" s="9" t="n">
        <f aca="false">IFERROR(INDEX(Продукты!$D$5:$D$60,MATCH($C27,Продукты!$A$5:$A$60,0))*$D27/100,0)</f>
        <v>4.27</v>
      </c>
      <c r="H27" s="9" t="n">
        <f aca="false">IFERROR(INDEX(Продукты!$E$5:$E$60,MATCH($C27,Продукты!$A$5:$A$60,0))*$D27/100,0)</f>
        <v>41.65</v>
      </c>
      <c r="I27" s="9" t="n">
        <f aca="false">IFERROR(INDEX(Продукты!$F$5:$F$60,MATCH($C27,Продукты!$A$5:$A$60,0))*$D27/100,0)</f>
        <v>7</v>
      </c>
    </row>
    <row r="28" customFormat="false" ht="15" hidden="false" customHeight="true" outlineLevel="0" collapsed="false">
      <c r="A28" s="22" t="s">
        <v>207</v>
      </c>
      <c r="B28" s="23" t="s">
        <v>208</v>
      </c>
      <c r="C28" s="19" t="s">
        <v>224</v>
      </c>
      <c r="D28" s="18" t="n">
        <v>110</v>
      </c>
      <c r="E28" s="8" t="n">
        <f aca="false">IFERROR(INDEX(Продукты!$B$5:$B$60,MATCH($C28,Продукты!$A$5:$A$60,0))*$D28/100,0)</f>
        <v>163.9</v>
      </c>
      <c r="F28" s="9" t="n">
        <f aca="false">IFERROR(INDEX(Продукты!$C$5:$C$60,MATCH($C28,Продукты!$A$5:$A$60,0))*$D28/100,0)</f>
        <v>13.86</v>
      </c>
      <c r="G28" s="9" t="n">
        <f aca="false">IFERROR(INDEX(Продукты!$D$5:$D$60,MATCH($C28,Продукты!$A$5:$A$60,0))*$D28/100,0)</f>
        <v>11.66</v>
      </c>
      <c r="H28" s="9" t="n">
        <f aca="false">IFERROR(INDEX(Продукты!$E$5:$E$60,MATCH($C28,Продукты!$A$5:$A$60,0))*$D28/100,0)</f>
        <v>0.77</v>
      </c>
      <c r="I28" s="9" t="n">
        <f aca="false">IFERROR(INDEX(Продукты!$F$5:$F$60,MATCH($C28,Продукты!$A$5:$A$60,0))*$D28/100,0)</f>
        <v>0</v>
      </c>
    </row>
    <row r="29" customFormat="false" ht="15" hidden="false" customHeight="true" outlineLevel="0" collapsed="false">
      <c r="A29" s="22" t="s">
        <v>207</v>
      </c>
      <c r="B29" s="23" t="s">
        <v>208</v>
      </c>
      <c r="C29" s="19" t="s">
        <v>225</v>
      </c>
      <c r="D29" s="18" t="n">
        <v>60</v>
      </c>
      <c r="E29" s="8" t="n">
        <f aca="false">IFERROR(INDEX(Продукты!$B$5:$B$60,MATCH($C29,Продукты!$A$5:$A$60,0))*$D29/100,0)</f>
        <v>75</v>
      </c>
      <c r="F29" s="9" t="n">
        <f aca="false">IFERROR(INDEX(Продукты!$C$5:$C$60,MATCH($C29,Продукты!$A$5:$A$60,0))*$D29/100,0)</f>
        <v>10.2</v>
      </c>
      <c r="G29" s="9" t="n">
        <f aca="false">IFERROR(INDEX(Продукты!$D$5:$D$60,MATCH($C29,Продукты!$A$5:$A$60,0))*$D29/100,0)</f>
        <v>3</v>
      </c>
      <c r="H29" s="9" t="n">
        <f aca="false">IFERROR(INDEX(Продукты!$E$5:$E$60,MATCH($C29,Продукты!$A$5:$A$60,0))*$D29/100,0)</f>
        <v>1.8</v>
      </c>
      <c r="I29" s="9" t="n">
        <f aca="false">IFERROR(INDEX(Продукты!$F$5:$F$60,MATCH($C29,Продукты!$A$5:$A$60,0))*$D29/100,0)</f>
        <v>0</v>
      </c>
    </row>
    <row r="30" customFormat="false" ht="15" hidden="false" customHeight="true" outlineLevel="0" collapsed="false">
      <c r="A30" s="22" t="s">
        <v>207</v>
      </c>
      <c r="B30" s="23" t="s">
        <v>208</v>
      </c>
      <c r="C30" s="19" t="s">
        <v>226</v>
      </c>
      <c r="D30" s="18" t="n">
        <v>120</v>
      </c>
      <c r="E30" s="8" t="n">
        <f aca="false">IFERROR(INDEX(Продукты!$B$5:$B$60,MATCH($C30,Продукты!$A$5:$A$60,0))*$D30/100,0)</f>
        <v>117.6</v>
      </c>
      <c r="F30" s="9" t="n">
        <f aca="false">IFERROR(INDEX(Продукты!$C$5:$C$60,MATCH($C30,Продукты!$A$5:$A$60,0))*$D30/100,0)</f>
        <v>1.32</v>
      </c>
      <c r="G30" s="9" t="n">
        <f aca="false">IFERROR(INDEX(Продукты!$D$5:$D$60,MATCH($C30,Продукты!$A$5:$A$60,0))*$D30/100,0)</f>
        <v>0.36</v>
      </c>
      <c r="H30" s="9" t="n">
        <f aca="false">IFERROR(INDEX(Продукты!$E$5:$E$60,MATCH($C30,Продукты!$A$5:$A$60,0))*$D30/100,0)</f>
        <v>27.36</v>
      </c>
      <c r="I30" s="9" t="n">
        <f aca="false">IFERROR(INDEX(Продукты!$F$5:$F$60,MATCH($C30,Продукты!$A$5:$A$60,0))*$D30/100,0)</f>
        <v>3.12</v>
      </c>
    </row>
    <row r="31" customFormat="false" ht="15" hidden="false" customHeight="true" outlineLevel="0" collapsed="false">
      <c r="A31" s="44"/>
      <c r="B31" s="7" t="s">
        <v>227</v>
      </c>
      <c r="C31" s="44"/>
      <c r="D31" s="44"/>
      <c r="E31" s="45" t="n">
        <f aca="false">SUM(E27:E30)</f>
        <v>595.9</v>
      </c>
      <c r="F31" s="45" t="n">
        <f aca="false">SUM(F27:F30)</f>
        <v>33.99</v>
      </c>
      <c r="G31" s="45" t="n">
        <f aca="false">SUM(G27:G30)</f>
        <v>19.29</v>
      </c>
      <c r="H31" s="45" t="n">
        <f aca="false">SUM(H27:H30)</f>
        <v>71.58</v>
      </c>
      <c r="I31" s="45" t="n">
        <f aca="false">SUM(I27:I30)</f>
        <v>10.12</v>
      </c>
    </row>
    <row r="32" customFormat="false" ht="15" hidden="false" customHeight="true" outlineLevel="0" collapsed="false">
      <c r="A32" s="22" t="s">
        <v>210</v>
      </c>
      <c r="B32" s="23" t="s">
        <v>211</v>
      </c>
      <c r="C32" s="19" t="s">
        <v>228</v>
      </c>
      <c r="D32" s="18" t="n">
        <v>150</v>
      </c>
      <c r="E32" s="8" t="n">
        <f aca="false">IFERROR(INDEX(Продукты!$B$5:$B$60,MATCH($C32,Продукты!$A$5:$A$60,0))*$D32/100,0)</f>
        <v>169.5</v>
      </c>
      <c r="F32" s="9" t="n">
        <f aca="false">IFERROR(INDEX(Продукты!$C$5:$C$60,MATCH($C32,Продукты!$A$5:$A$60,0))*$D32/100,0)</f>
        <v>35.4</v>
      </c>
      <c r="G32" s="9" t="n">
        <f aca="false">IFERROR(INDEX(Продукты!$D$5:$D$60,MATCH($C32,Продукты!$A$5:$A$60,0))*$D32/100,0)</f>
        <v>2.85</v>
      </c>
      <c r="H32" s="9" t="n">
        <f aca="false">IFERROR(INDEX(Продукты!$E$5:$E$60,MATCH($C32,Продукты!$A$5:$A$60,0))*$D32/100,0)</f>
        <v>0.6</v>
      </c>
      <c r="I32" s="9" t="n">
        <f aca="false">IFERROR(INDEX(Продукты!$F$5:$F$60,MATCH($C32,Продукты!$A$5:$A$60,0))*$D32/100,0)</f>
        <v>0</v>
      </c>
    </row>
    <row r="33" customFormat="false" ht="15" hidden="false" customHeight="true" outlineLevel="0" collapsed="false">
      <c r="A33" s="22" t="s">
        <v>210</v>
      </c>
      <c r="B33" s="23" t="s">
        <v>211</v>
      </c>
      <c r="C33" s="19" t="s">
        <v>229</v>
      </c>
      <c r="D33" s="18" t="n">
        <v>80</v>
      </c>
      <c r="E33" s="8" t="n">
        <f aca="false">IFERROR(INDEX(Продукты!$B$5:$B$60,MATCH($C33,Продукты!$A$5:$A$60,0))*$D33/100,0)</f>
        <v>263.2</v>
      </c>
      <c r="F33" s="9" t="n">
        <f aca="false">IFERROR(INDEX(Продукты!$C$5:$C$60,MATCH($C33,Продукты!$A$5:$A$60,0))*$D33/100,0)</f>
        <v>10.08</v>
      </c>
      <c r="G33" s="9" t="n">
        <f aca="false">IFERROR(INDEX(Продукты!$D$5:$D$60,MATCH($C33,Продукты!$A$5:$A$60,0))*$D33/100,0)</f>
        <v>2.64</v>
      </c>
      <c r="H33" s="9" t="n">
        <f aca="false">IFERROR(INDEX(Продукты!$E$5:$E$60,MATCH($C33,Продукты!$A$5:$A$60,0))*$D33/100,0)</f>
        <v>49.68</v>
      </c>
      <c r="I33" s="9" t="n">
        <f aca="false">IFERROR(INDEX(Продукты!$F$5:$F$60,MATCH($C33,Продукты!$A$5:$A$60,0))*$D33/100,0)</f>
        <v>8.64</v>
      </c>
    </row>
    <row r="34" customFormat="false" ht="15" hidden="false" customHeight="true" outlineLevel="0" collapsed="false">
      <c r="A34" s="22" t="s">
        <v>210</v>
      </c>
      <c r="B34" s="23" t="s">
        <v>211</v>
      </c>
      <c r="C34" s="19" t="s">
        <v>230</v>
      </c>
      <c r="D34" s="18" t="n">
        <v>250</v>
      </c>
      <c r="E34" s="8" t="n">
        <f aca="false">IFERROR(INDEX(Продукты!$B$5:$B$60,MATCH($C34,Продукты!$A$5:$A$60,0))*$D34/100,0)</f>
        <v>62.5</v>
      </c>
      <c r="F34" s="9" t="n">
        <f aca="false">IFERROR(INDEX(Продукты!$C$5:$C$60,MATCH($C34,Продукты!$A$5:$A$60,0))*$D34/100,0)</f>
        <v>3.25</v>
      </c>
      <c r="G34" s="9" t="n">
        <f aca="false">IFERROR(INDEX(Продукты!$D$5:$D$60,MATCH($C34,Продукты!$A$5:$A$60,0))*$D34/100,0)</f>
        <v>0.5</v>
      </c>
      <c r="H34" s="9" t="n">
        <f aca="false">IFERROR(INDEX(Продукты!$E$5:$E$60,MATCH($C34,Продукты!$A$5:$A$60,0))*$D34/100,0)</f>
        <v>11.25</v>
      </c>
      <c r="I34" s="9" t="n">
        <f aca="false">IFERROR(INDEX(Продукты!$F$5:$F$60,MATCH($C34,Продукты!$A$5:$A$60,0))*$D34/100,0)</f>
        <v>5</v>
      </c>
    </row>
    <row r="35" customFormat="false" ht="15" hidden="false" customHeight="true" outlineLevel="0" collapsed="false">
      <c r="A35" s="22" t="s">
        <v>210</v>
      </c>
      <c r="B35" s="23" t="s">
        <v>211</v>
      </c>
      <c r="C35" s="19" t="s">
        <v>231</v>
      </c>
      <c r="D35" s="18" t="n">
        <v>10</v>
      </c>
      <c r="E35" s="8" t="n">
        <f aca="false">IFERROR(INDEX(Продукты!$B$5:$B$60,MATCH($C35,Продукты!$A$5:$A$60,0))*$D35/100,0)</f>
        <v>90</v>
      </c>
      <c r="F35" s="9" t="n">
        <f aca="false">IFERROR(INDEX(Продукты!$C$5:$C$60,MATCH($C35,Продукты!$A$5:$A$60,0))*$D35/100,0)</f>
        <v>0</v>
      </c>
      <c r="G35" s="9" t="n">
        <f aca="false">IFERROR(INDEX(Продукты!$D$5:$D$60,MATCH($C35,Продукты!$A$5:$A$60,0))*$D35/100,0)</f>
        <v>10</v>
      </c>
      <c r="H35" s="9" t="n">
        <f aca="false">IFERROR(INDEX(Продукты!$E$5:$E$60,MATCH($C35,Продукты!$A$5:$A$60,0))*$D35/100,0)</f>
        <v>0</v>
      </c>
      <c r="I35" s="9" t="n">
        <f aca="false">IFERROR(INDEX(Продукты!$F$5:$F$60,MATCH($C35,Продукты!$A$5:$A$60,0))*$D35/100,0)</f>
        <v>0</v>
      </c>
    </row>
    <row r="36" customFormat="false" ht="15" hidden="false" customHeight="true" outlineLevel="0" collapsed="false">
      <c r="A36" s="44"/>
      <c r="B36" s="7" t="s">
        <v>232</v>
      </c>
      <c r="C36" s="44"/>
      <c r="D36" s="44"/>
      <c r="E36" s="45" t="n">
        <f aca="false">SUM(E32:E35)</f>
        <v>585.2</v>
      </c>
      <c r="F36" s="45" t="n">
        <f aca="false">SUM(F32:F35)</f>
        <v>48.73</v>
      </c>
      <c r="G36" s="45" t="n">
        <f aca="false">SUM(G32:G35)</f>
        <v>15.99</v>
      </c>
      <c r="H36" s="45" t="n">
        <f aca="false">SUM(H32:H35)</f>
        <v>61.53</v>
      </c>
      <c r="I36" s="45" t="n">
        <f aca="false">SUM(I32:I35)</f>
        <v>13.64</v>
      </c>
    </row>
    <row r="37" customFormat="false" ht="15" hidden="false" customHeight="true" outlineLevel="0" collapsed="false">
      <c r="A37" s="22" t="s">
        <v>213</v>
      </c>
      <c r="B37" s="23" t="s">
        <v>214</v>
      </c>
      <c r="C37" s="19" t="s">
        <v>233</v>
      </c>
      <c r="D37" s="18" t="n">
        <v>150</v>
      </c>
      <c r="E37" s="8" t="n">
        <f aca="false">IFERROR(INDEX(Продукты!$B$5:$B$60,MATCH($C37,Продукты!$A$5:$A$60,0))*$D37/100,0)</f>
        <v>204</v>
      </c>
      <c r="F37" s="9" t="n">
        <f aca="false">IFERROR(INDEX(Продукты!$C$5:$C$60,MATCH($C37,Продукты!$A$5:$A$60,0))*$D37/100,0)</f>
        <v>30.75</v>
      </c>
      <c r="G37" s="9" t="n">
        <f aca="false">IFERROR(INDEX(Продукты!$D$5:$D$60,MATCH($C37,Продукты!$A$5:$A$60,0))*$D37/100,0)</f>
        <v>9</v>
      </c>
      <c r="H37" s="9" t="n">
        <f aca="false">IFERROR(INDEX(Продукты!$E$5:$E$60,MATCH($C37,Продукты!$A$5:$A$60,0))*$D37/100,0)</f>
        <v>0</v>
      </c>
      <c r="I37" s="9" t="n">
        <f aca="false">IFERROR(INDEX(Продукты!$F$5:$F$60,MATCH($C37,Продукты!$A$5:$A$60,0))*$D37/100,0)</f>
        <v>0</v>
      </c>
    </row>
    <row r="38" customFormat="false" ht="15" hidden="false" customHeight="true" outlineLevel="0" collapsed="false">
      <c r="A38" s="22" t="s">
        <v>213</v>
      </c>
      <c r="B38" s="23" t="s">
        <v>214</v>
      </c>
      <c r="C38" s="19" t="s">
        <v>234</v>
      </c>
      <c r="D38" s="18" t="n">
        <v>75</v>
      </c>
      <c r="E38" s="8" t="n">
        <f aca="false">IFERROR(INDEX(Продукты!$B$5:$B$60,MATCH($C38,Продукты!$A$5:$A$60,0))*$D38/100,0)</f>
        <v>261.75</v>
      </c>
      <c r="F38" s="9" t="n">
        <f aca="false">IFERROR(INDEX(Продукты!$C$5:$C$60,MATCH($C38,Продукты!$A$5:$A$60,0))*$D38/100,0)</f>
        <v>5.025</v>
      </c>
      <c r="G38" s="9" t="n">
        <f aca="false">IFERROR(INDEX(Продукты!$D$5:$D$60,MATCH($C38,Продукты!$A$5:$A$60,0))*$D38/100,0)</f>
        <v>0.525</v>
      </c>
      <c r="H38" s="9" t="n">
        <f aca="false">IFERROR(INDEX(Продукты!$E$5:$E$60,MATCH($C38,Продукты!$A$5:$A$60,0))*$D38/100,0)</f>
        <v>59.175</v>
      </c>
      <c r="I38" s="9" t="n">
        <f aca="false">IFERROR(INDEX(Продукты!$F$5:$F$60,MATCH($C38,Продукты!$A$5:$A$60,0))*$D38/100,0)</f>
        <v>0.975</v>
      </c>
    </row>
    <row r="39" customFormat="false" ht="15" hidden="false" customHeight="true" outlineLevel="0" collapsed="false">
      <c r="A39" s="22" t="s">
        <v>213</v>
      </c>
      <c r="B39" s="23" t="s">
        <v>214</v>
      </c>
      <c r="C39" s="19" t="s">
        <v>235</v>
      </c>
      <c r="D39" s="18" t="n">
        <v>200</v>
      </c>
      <c r="E39" s="8" t="n">
        <f aca="false">IFERROR(INDEX(Продукты!$B$5:$B$60,MATCH($C39,Продукты!$A$5:$A$60,0))*$D39/100,0)</f>
        <v>86</v>
      </c>
      <c r="F39" s="9" t="n">
        <f aca="false">IFERROR(INDEX(Продукты!$C$5:$C$60,MATCH($C39,Продукты!$A$5:$A$60,0))*$D39/100,0)</f>
        <v>5.6</v>
      </c>
      <c r="G39" s="9" t="n">
        <f aca="false">IFERROR(INDEX(Продукты!$D$5:$D$60,MATCH($C39,Продукты!$A$5:$A$60,0))*$D39/100,0)</f>
        <v>0.8</v>
      </c>
      <c r="H39" s="9" t="n">
        <f aca="false">IFERROR(INDEX(Продукты!$E$5:$E$60,MATCH($C39,Продукты!$A$5:$A$60,0))*$D39/100,0)</f>
        <v>14</v>
      </c>
      <c r="I39" s="9" t="n">
        <f aca="false">IFERROR(INDEX(Продукты!$F$5:$F$60,MATCH($C39,Продукты!$A$5:$A$60,0))*$D39/100,0)</f>
        <v>5.2</v>
      </c>
    </row>
    <row r="40" customFormat="false" ht="15" hidden="false" customHeight="true" outlineLevel="0" collapsed="false">
      <c r="A40" s="22" t="s">
        <v>213</v>
      </c>
      <c r="B40" s="23" t="s">
        <v>214</v>
      </c>
      <c r="C40" s="19" t="s">
        <v>231</v>
      </c>
      <c r="D40" s="18" t="n">
        <v>8</v>
      </c>
      <c r="E40" s="8" t="n">
        <f aca="false">IFERROR(INDEX(Продукты!$B$5:$B$60,MATCH($C40,Продукты!$A$5:$A$60,0))*$D40/100,0)</f>
        <v>72</v>
      </c>
      <c r="F40" s="9" t="n">
        <f aca="false">IFERROR(INDEX(Продукты!$C$5:$C$60,MATCH($C40,Продукты!$A$5:$A$60,0))*$D40/100,0)</f>
        <v>0</v>
      </c>
      <c r="G40" s="9" t="n">
        <f aca="false">IFERROR(INDEX(Продукты!$D$5:$D$60,MATCH($C40,Продукты!$A$5:$A$60,0))*$D40/100,0)</f>
        <v>8</v>
      </c>
      <c r="H40" s="9" t="n">
        <f aca="false">IFERROR(INDEX(Продукты!$E$5:$E$60,MATCH($C40,Продукты!$A$5:$A$60,0))*$D40/100,0)</f>
        <v>0</v>
      </c>
      <c r="I40" s="9" t="n">
        <f aca="false">IFERROR(INDEX(Продукты!$F$5:$F$60,MATCH($C40,Продукты!$A$5:$A$60,0))*$D40/100,0)</f>
        <v>0</v>
      </c>
    </row>
    <row r="41" customFormat="false" ht="15" hidden="false" customHeight="true" outlineLevel="0" collapsed="false">
      <c r="A41" s="44"/>
      <c r="B41" s="7" t="s">
        <v>236</v>
      </c>
      <c r="C41" s="44"/>
      <c r="D41" s="44"/>
      <c r="E41" s="45" t="n">
        <f aca="false">SUM(E37:E40)</f>
        <v>623.75</v>
      </c>
      <c r="F41" s="45" t="n">
        <f aca="false">SUM(F37:F40)</f>
        <v>41.375</v>
      </c>
      <c r="G41" s="45" t="n">
        <f aca="false">SUM(G37:G40)</f>
        <v>18.325</v>
      </c>
      <c r="H41" s="45" t="n">
        <f aca="false">SUM(H37:H40)</f>
        <v>73.175</v>
      </c>
      <c r="I41" s="45" t="n">
        <f aca="false">SUM(I37:I40)</f>
        <v>6.175</v>
      </c>
    </row>
    <row r="42" customFormat="false" ht="15" hidden="false" customHeight="true" outlineLevel="0" collapsed="false">
      <c r="A42" s="22" t="s">
        <v>216</v>
      </c>
      <c r="B42" s="23" t="s">
        <v>217</v>
      </c>
      <c r="C42" s="19" t="s">
        <v>237</v>
      </c>
      <c r="D42" s="18" t="n">
        <v>30</v>
      </c>
      <c r="E42" s="8" t="n">
        <f aca="false">IFERROR(INDEX(Продукты!$B$5:$B$60,MATCH($C42,Продукты!$A$5:$A$60,0))*$D42/100,0)</f>
        <v>126</v>
      </c>
      <c r="F42" s="9" t="n">
        <f aca="false">IFERROR(INDEX(Продукты!$C$5:$C$60,MATCH($C42,Продукты!$A$5:$A$60,0))*$D42/100,0)</f>
        <v>24</v>
      </c>
      <c r="G42" s="9" t="n">
        <f aca="false">IFERROR(INDEX(Продукты!$D$5:$D$60,MATCH($C42,Продукты!$A$5:$A$60,0))*$D42/100,0)</f>
        <v>2.01</v>
      </c>
      <c r="H42" s="9" t="n">
        <f aca="false">IFERROR(INDEX(Продукты!$E$5:$E$60,MATCH($C42,Продукты!$A$5:$A$60,0))*$D42/100,0)</f>
        <v>3</v>
      </c>
      <c r="I42" s="9" t="n">
        <f aca="false">IFERROR(INDEX(Продукты!$F$5:$F$60,MATCH($C42,Продукты!$A$5:$A$60,0))*$D42/100,0)</f>
        <v>0</v>
      </c>
    </row>
    <row r="43" customFormat="false" ht="15" hidden="false" customHeight="true" outlineLevel="0" collapsed="false">
      <c r="A43" s="22" t="s">
        <v>216</v>
      </c>
      <c r="B43" s="23" t="s">
        <v>217</v>
      </c>
      <c r="C43" s="19" t="s">
        <v>238</v>
      </c>
      <c r="D43" s="18" t="n">
        <v>150</v>
      </c>
      <c r="E43" s="8" t="n">
        <f aca="false">IFERROR(INDEX(Продукты!$B$5:$B$60,MATCH($C43,Продукты!$A$5:$A$60,0))*$D43/100,0)</f>
        <v>111</v>
      </c>
      <c r="F43" s="9" t="n">
        <f aca="false">IFERROR(INDEX(Продукты!$C$5:$C$60,MATCH($C43,Продукты!$A$5:$A$60,0))*$D43/100,0)</f>
        <v>15</v>
      </c>
      <c r="G43" s="9" t="n">
        <f aca="false">IFERROR(INDEX(Продукты!$D$5:$D$60,MATCH($C43,Продукты!$A$5:$A$60,0))*$D43/100,0)</f>
        <v>3</v>
      </c>
      <c r="H43" s="9" t="n">
        <f aca="false">IFERROR(INDEX(Продукты!$E$5:$E$60,MATCH($C43,Продукты!$A$5:$A$60,0))*$D43/100,0)</f>
        <v>6</v>
      </c>
      <c r="I43" s="9" t="n">
        <f aca="false">IFERROR(INDEX(Продукты!$F$5:$F$60,MATCH($C43,Продукты!$A$5:$A$60,0))*$D43/100,0)</f>
        <v>0</v>
      </c>
    </row>
    <row r="44" customFormat="false" ht="15" hidden="false" customHeight="true" outlineLevel="0" collapsed="false">
      <c r="A44" s="22" t="s">
        <v>216</v>
      </c>
      <c r="B44" s="23" t="s">
        <v>217</v>
      </c>
      <c r="C44" s="19" t="s">
        <v>239</v>
      </c>
      <c r="D44" s="18" t="n">
        <v>100</v>
      </c>
      <c r="E44" s="8" t="n">
        <f aca="false">IFERROR(INDEX(Продукты!$B$5:$B$60,MATCH($C44,Продукты!$A$5:$A$60,0))*$D44/100,0)</f>
        <v>51</v>
      </c>
      <c r="F44" s="9" t="n">
        <f aca="false">IFERROR(INDEX(Продукты!$C$5:$C$60,MATCH($C44,Продукты!$A$5:$A$60,0))*$D44/100,0)</f>
        <v>1</v>
      </c>
      <c r="G44" s="9" t="n">
        <f aca="false">IFERROR(INDEX(Продукты!$D$5:$D$60,MATCH($C44,Продукты!$A$5:$A$60,0))*$D44/100,0)</f>
        <v>0.3</v>
      </c>
      <c r="H44" s="9" t="n">
        <f aca="false">IFERROR(INDEX(Продукты!$E$5:$E$60,MATCH($C44,Продукты!$A$5:$A$60,0))*$D44/100,0)</f>
        <v>11</v>
      </c>
      <c r="I44" s="9" t="n">
        <f aca="false">IFERROR(INDEX(Продукты!$F$5:$F$60,MATCH($C44,Продукты!$A$5:$A$60,0))*$D44/100,0)</f>
        <v>3</v>
      </c>
    </row>
    <row r="45" customFormat="false" ht="15" hidden="false" customHeight="true" outlineLevel="0" collapsed="false">
      <c r="A45" s="22" t="s">
        <v>216</v>
      </c>
      <c r="B45" s="23" t="s">
        <v>217</v>
      </c>
      <c r="C45" s="19" t="s">
        <v>240</v>
      </c>
      <c r="D45" s="18" t="n">
        <v>20</v>
      </c>
      <c r="E45" s="8" t="n">
        <f aca="false">IFERROR(INDEX(Продукты!$B$5:$B$60,MATCH($C45,Продукты!$A$5:$A$60,0))*$D45/100,0)</f>
        <v>124.4</v>
      </c>
      <c r="F45" s="9" t="n">
        <f aca="false">IFERROR(INDEX(Продукты!$C$5:$C$60,MATCH($C45,Продукты!$A$5:$A$60,0))*$D45/100,0)</f>
        <v>4.2</v>
      </c>
      <c r="G45" s="9" t="n">
        <f aca="false">IFERROR(INDEX(Продукты!$D$5:$D$60,MATCH($C45,Продукты!$A$5:$A$60,0))*$D45/100,0)</f>
        <v>10</v>
      </c>
      <c r="H45" s="9" t="n">
        <f aca="false">IFERROR(INDEX(Продукты!$E$5:$E$60,MATCH($C45,Продукты!$A$5:$A$60,0))*$D45/100,0)</f>
        <v>4.4</v>
      </c>
      <c r="I45" s="9" t="n">
        <f aca="false">IFERROR(INDEX(Продукты!$F$5:$F$60,MATCH($C45,Продукты!$A$5:$A$60,0))*$D45/100,0)</f>
        <v>2.5</v>
      </c>
    </row>
    <row r="46" customFormat="false" ht="15" hidden="false" customHeight="true" outlineLevel="0" collapsed="false">
      <c r="A46" s="44"/>
      <c r="B46" s="7" t="s">
        <v>241</v>
      </c>
      <c r="C46" s="44"/>
      <c r="D46" s="44"/>
      <c r="E46" s="45" t="n">
        <f aca="false">SUM(E42:E45)</f>
        <v>412.4</v>
      </c>
      <c r="F46" s="45" t="n">
        <f aca="false">SUM(F42:F45)</f>
        <v>44.2</v>
      </c>
      <c r="G46" s="45" t="n">
        <f aca="false">SUM(G42:G45)</f>
        <v>15.31</v>
      </c>
      <c r="H46" s="45" t="n">
        <f aca="false">SUM(H42:H45)</f>
        <v>24.4</v>
      </c>
      <c r="I46" s="45" t="n">
        <f aca="false">SUM(I42:I45)</f>
        <v>5.5</v>
      </c>
    </row>
    <row r="47" customFormat="false" ht="15" hidden="false" customHeight="true" outlineLevel="0" collapsed="false">
      <c r="B47" s="46" t="s">
        <v>242</v>
      </c>
      <c r="E47" s="47" t="n">
        <f aca="false">E31+E36+E41+E46</f>
        <v>2217.25</v>
      </c>
      <c r="F47" s="47" t="n">
        <f aca="false">F31+F36+F41+F46</f>
        <v>168.295</v>
      </c>
      <c r="G47" s="47" t="n">
        <f aca="false">G31+G36+G41+G46</f>
        <v>68.915</v>
      </c>
      <c r="H47" s="47" t="n">
        <f aca="false">H31+H36+H41+H46</f>
        <v>230.685</v>
      </c>
      <c r="I47" s="47" t="n">
        <f aca="false">I31+I36+I41+I46</f>
        <v>35.435</v>
      </c>
    </row>
    <row r="48" customFormat="false" ht="15" hidden="false" customHeight="true" outlineLevel="0" collapsed="false">
      <c r="B48" s="43" t="s">
        <v>243</v>
      </c>
      <c r="E48" s="8" t="n">
        <f aca="false">TargetKcal</f>
        <v>2200</v>
      </c>
      <c r="F48" s="8" t="n">
        <f aca="false">TargetProtein</f>
        <v>165</v>
      </c>
      <c r="G48" s="8" t="n">
        <f aca="false">TargetFat</f>
        <v>70</v>
      </c>
      <c r="H48" s="8" t="n">
        <f aca="false">TargetCarb</f>
        <v>228</v>
      </c>
      <c r="I48" s="8" t="n">
        <f aca="false">TargetFiber</f>
        <v>30</v>
      </c>
    </row>
    <row r="49" customFormat="false" ht="15" hidden="false" customHeight="true" outlineLevel="0" collapsed="false">
      <c r="B49" s="43" t="s">
        <v>244</v>
      </c>
      <c r="E49" s="10" t="n">
        <f aca="false">E47-E48</f>
        <v>17.25</v>
      </c>
      <c r="F49" s="10" t="n">
        <f aca="false">F47-F48</f>
        <v>3.29500000000002</v>
      </c>
      <c r="G49" s="10" t="n">
        <f aca="false">G47-G48</f>
        <v>-1.08499999999999</v>
      </c>
      <c r="H49" s="10" t="n">
        <f aca="false">H47-H48</f>
        <v>2.68500000000003</v>
      </c>
      <c r="I49" s="10" t="n">
        <f aca="false">I47-I48</f>
        <v>5.435</v>
      </c>
    </row>
    <row r="51" customFormat="false" ht="15" hidden="false" customHeight="true" outlineLevel="0" collapsed="false">
      <c r="A51" s="39" t="s">
        <v>245</v>
      </c>
      <c r="B51" s="39"/>
      <c r="C51" s="39"/>
      <c r="D51" s="39"/>
      <c r="E51" s="39"/>
      <c r="F51" s="39"/>
      <c r="G51" s="39"/>
      <c r="H51" s="39"/>
      <c r="I51" s="39"/>
    </row>
    <row r="52" customFormat="false" ht="30" hidden="false" customHeight="true" outlineLevel="0" collapsed="false">
      <c r="A52" s="48" t="s">
        <v>246</v>
      </c>
      <c r="B52" s="48"/>
      <c r="C52" s="8" t="n">
        <f aca="false">TargetProtein</f>
        <v>165</v>
      </c>
      <c r="D52" s="30" t="s">
        <v>247</v>
      </c>
      <c r="E52" s="30"/>
      <c r="F52" s="30"/>
      <c r="G52" s="30"/>
      <c r="H52" s="30"/>
      <c r="I52" s="30"/>
    </row>
    <row r="53" customFormat="false" ht="30" hidden="false" customHeight="true" outlineLevel="0" collapsed="false">
      <c r="A53" s="48" t="s">
        <v>248</v>
      </c>
      <c r="B53" s="48"/>
      <c r="C53" s="8" t="n">
        <f aca="false">TargetProtein-WheyServ*WheyProt</f>
        <v>141</v>
      </c>
      <c r="D53" s="30" t="s">
        <v>249</v>
      </c>
      <c r="E53" s="30"/>
      <c r="F53" s="30"/>
      <c r="G53" s="30"/>
      <c r="H53" s="30"/>
      <c r="I53" s="30"/>
    </row>
    <row r="54" customFormat="false" ht="30" hidden="false" customHeight="true" outlineLevel="0" collapsed="false">
      <c r="A54" s="48" t="s">
        <v>250</v>
      </c>
      <c r="B54" s="48"/>
      <c r="C54" s="8" t="n">
        <f aca="false">WheyServ*WheyProt</f>
        <v>24</v>
      </c>
      <c r="D54" s="30" t="s">
        <v>251</v>
      </c>
      <c r="E54" s="30"/>
      <c r="F54" s="30"/>
      <c r="G54" s="30"/>
      <c r="H54" s="30"/>
      <c r="I54" s="30"/>
    </row>
    <row r="55" customFormat="false" ht="30" hidden="false" customHeight="true" outlineLevel="0" collapsed="false">
      <c r="A55" s="48" t="s">
        <v>252</v>
      </c>
      <c r="B55" s="48"/>
      <c r="C55" s="8" t="n">
        <f aca="false">WheyServ</f>
        <v>1</v>
      </c>
      <c r="D55" s="30" t="s">
        <v>253</v>
      </c>
      <c r="E55" s="30"/>
      <c r="F55" s="30"/>
      <c r="G55" s="30"/>
      <c r="H55" s="30"/>
      <c r="I55" s="30"/>
    </row>
    <row r="56" customFormat="false" ht="31.5" hidden="false" customHeight="true" outlineLevel="0" collapsed="false">
      <c r="A56" s="40" t="s">
        <v>254</v>
      </c>
      <c r="B56" s="40"/>
      <c r="C56" s="40"/>
      <c r="D56" s="40"/>
      <c r="E56" s="40"/>
      <c r="F56" s="40"/>
      <c r="G56" s="40"/>
      <c r="H56" s="40"/>
      <c r="I56" s="40"/>
    </row>
    <row r="58" customFormat="false" ht="15" hidden="false" customHeight="true" outlineLevel="0" collapsed="false">
      <c r="A58" s="39" t="s">
        <v>255</v>
      </c>
      <c r="B58" s="39"/>
      <c r="C58" s="39"/>
      <c r="D58" s="39"/>
      <c r="E58" s="39"/>
      <c r="F58" s="39"/>
      <c r="G58" s="39"/>
      <c r="H58" s="39"/>
      <c r="I58" s="39"/>
    </row>
    <row r="59" customFormat="false" ht="31.5" hidden="false" customHeight="true" outlineLevel="0" collapsed="false">
      <c r="A59" s="48" t="s">
        <v>256</v>
      </c>
      <c r="B59" s="48"/>
      <c r="C59" s="30" t="s">
        <v>257</v>
      </c>
      <c r="D59" s="30"/>
      <c r="E59" s="30"/>
      <c r="F59" s="30"/>
      <c r="G59" s="30"/>
      <c r="H59" s="30"/>
      <c r="I59" s="30"/>
    </row>
    <row r="60" customFormat="false" ht="31.5" hidden="false" customHeight="true" outlineLevel="0" collapsed="false">
      <c r="A60" s="48" t="s">
        <v>258</v>
      </c>
      <c r="B60" s="48"/>
      <c r="C60" s="30" t="s">
        <v>259</v>
      </c>
      <c r="D60" s="30"/>
      <c r="E60" s="30"/>
      <c r="F60" s="30"/>
      <c r="G60" s="30"/>
      <c r="H60" s="30"/>
      <c r="I60" s="30"/>
    </row>
    <row r="61" customFormat="false" ht="31.5" hidden="false" customHeight="true" outlineLevel="0" collapsed="false">
      <c r="A61" s="48" t="s">
        <v>260</v>
      </c>
      <c r="B61" s="48"/>
      <c r="C61" s="30" t="s">
        <v>261</v>
      </c>
      <c r="D61" s="30"/>
      <c r="E61" s="30"/>
      <c r="F61" s="30"/>
      <c r="G61" s="30"/>
      <c r="H61" s="30"/>
      <c r="I61" s="30"/>
    </row>
    <row r="62" customFormat="false" ht="31.5" hidden="false" customHeight="true" outlineLevel="0" collapsed="false">
      <c r="A62" s="48" t="s">
        <v>262</v>
      </c>
      <c r="B62" s="48"/>
      <c r="C62" s="30" t="s">
        <v>263</v>
      </c>
      <c r="D62" s="30"/>
      <c r="E62" s="30"/>
      <c r="F62" s="30"/>
      <c r="G62" s="30"/>
      <c r="H62" s="30"/>
      <c r="I62" s="30"/>
    </row>
    <row r="63" customFormat="false" ht="31.5" hidden="false" customHeight="true" outlineLevel="0" collapsed="false">
      <c r="A63" s="48" t="s">
        <v>264</v>
      </c>
      <c r="B63" s="48"/>
      <c r="C63" s="30" t="s">
        <v>265</v>
      </c>
      <c r="D63" s="30"/>
      <c r="E63" s="30"/>
      <c r="F63" s="30"/>
      <c r="G63" s="30"/>
      <c r="H63" s="30"/>
      <c r="I63" s="30"/>
    </row>
    <row r="64" customFormat="false" ht="31.5" hidden="false" customHeight="true" outlineLevel="0" collapsed="false">
      <c r="A64" s="48" t="s">
        <v>266</v>
      </c>
      <c r="B64" s="48"/>
      <c r="C64" s="30" t="s">
        <v>267</v>
      </c>
      <c r="D64" s="30"/>
      <c r="E64" s="30"/>
      <c r="F64" s="30"/>
      <c r="G64" s="30"/>
      <c r="H64" s="30"/>
      <c r="I64" s="30"/>
    </row>
    <row r="65" customFormat="false" ht="31.5" hidden="false" customHeight="true" outlineLevel="0" collapsed="false">
      <c r="A65" s="48" t="s">
        <v>268</v>
      </c>
      <c r="B65" s="48"/>
      <c r="C65" s="30" t="s">
        <v>269</v>
      </c>
      <c r="D65" s="30"/>
      <c r="E65" s="30"/>
      <c r="F65" s="30"/>
      <c r="G65" s="30"/>
      <c r="H65" s="30"/>
      <c r="I65" s="30"/>
    </row>
    <row r="66" customFormat="false" ht="31.5" hidden="false" customHeight="true" outlineLevel="0" collapsed="false">
      <c r="A66" s="48" t="s">
        <v>270</v>
      </c>
      <c r="B66" s="48"/>
      <c r="C66" s="30" t="s">
        <v>271</v>
      </c>
      <c r="D66" s="30"/>
      <c r="E66" s="30"/>
      <c r="F66" s="30"/>
      <c r="G66" s="30"/>
      <c r="H66" s="30"/>
      <c r="I66" s="30"/>
    </row>
    <row r="67" customFormat="false" ht="30" hidden="false" customHeight="true" outlineLevel="0" collapsed="false">
      <c r="A67" s="40" t="s">
        <v>272</v>
      </c>
      <c r="B67" s="40"/>
      <c r="C67" s="40"/>
      <c r="D67" s="40"/>
      <c r="E67" s="40"/>
      <c r="F67" s="40"/>
      <c r="G67" s="40"/>
      <c r="H67" s="40"/>
      <c r="I67" s="40"/>
    </row>
  </sheetData>
  <sheetProtection sheet="true" formatCells="false" formatColumns="false" formatRows="false" sort="false" autoFilter="false"/>
  <mergeCells count="29">
    <mergeCell ref="A2:I2"/>
    <mergeCell ref="A5:I5"/>
    <mergeCell ref="A23:I23"/>
    <mergeCell ref="A52:B52"/>
    <mergeCell ref="D52:I52"/>
    <mergeCell ref="A53:B53"/>
    <mergeCell ref="D53:I53"/>
    <mergeCell ref="A54:B54"/>
    <mergeCell ref="D54:I54"/>
    <mergeCell ref="A55:B55"/>
    <mergeCell ref="D55:I55"/>
    <mergeCell ref="A56:I56"/>
    <mergeCell ref="A59:B59"/>
    <mergeCell ref="C59:I59"/>
    <mergeCell ref="A60:B60"/>
    <mergeCell ref="C60:I60"/>
    <mergeCell ref="A61:B61"/>
    <mergeCell ref="C61:I61"/>
    <mergeCell ref="A62:B62"/>
    <mergeCell ref="C62:I62"/>
    <mergeCell ref="A63:B63"/>
    <mergeCell ref="C63:I63"/>
    <mergeCell ref="A64:B64"/>
    <mergeCell ref="C64:I64"/>
    <mergeCell ref="A65:B65"/>
    <mergeCell ref="C65:I65"/>
    <mergeCell ref="A66:B66"/>
    <mergeCell ref="C66:I66"/>
    <mergeCell ref="A67:I67"/>
  </mergeCells>
  <dataValidations count="1">
    <dataValidation allowBlank="true" errorStyle="stop" operator="between" showDropDown="false" showErrorMessage="false" showInputMessage="false" sqref="C27:C30 C32:C35 C37:C40 C42:C45" type="list">
      <formula1>Продукты!$A$5:$A$60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4" min="3" style="1" width="17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46"/>
  </cols>
  <sheetData>
    <row r="1" customFormat="false" ht="17.25" hidden="false" customHeight="true" outlineLevel="0" collapsed="false">
      <c r="A1" s="2" t="s">
        <v>273</v>
      </c>
    </row>
    <row r="2" customFormat="false" ht="37.5" hidden="false" customHeight="true" outlineLevel="0" collapsed="false">
      <c r="A2" s="3" t="s">
        <v>274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39" t="s">
        <v>14</v>
      </c>
      <c r="B4" s="39"/>
      <c r="C4" s="39"/>
      <c r="D4" s="39"/>
      <c r="E4" s="39"/>
      <c r="F4" s="39"/>
      <c r="G4" s="39"/>
    </row>
    <row r="5" customFormat="false" ht="15" hidden="false" customHeight="true" outlineLevel="0" collapsed="false">
      <c r="A5" s="48" t="s">
        <v>275</v>
      </c>
      <c r="B5" s="9" t="n">
        <f aca="false">IF(LastWD=0,"",INDEX(Питание!$B$14:$B$378,MATCH(LastWD,Питание!$A$14:$A$378,0)))</f>
        <v>82.1</v>
      </c>
      <c r="C5" s="49" t="s">
        <v>276</v>
      </c>
      <c r="D5" s="49"/>
      <c r="E5" s="49"/>
      <c r="F5" s="49"/>
      <c r="G5" s="49"/>
    </row>
    <row r="6" customFormat="false" ht="15" hidden="false" customHeight="true" outlineLevel="0" collapsed="false">
      <c r="A6" s="48" t="s">
        <v>277</v>
      </c>
      <c r="B6" s="16" t="n">
        <f aca="false">IF(LastWD=0,"",LastWD)</f>
        <v>46298</v>
      </c>
    </row>
    <row r="7" customFormat="false" ht="15" hidden="false" customHeight="true" outlineLevel="0" collapsed="false">
      <c r="A7" s="48" t="s">
        <v>95</v>
      </c>
      <c r="B7" s="9" t="n">
        <f aca="false">StartWeight</f>
        <v>82.5</v>
      </c>
    </row>
    <row r="8" customFormat="false" ht="15" hidden="false" customHeight="true" outlineLevel="0" collapsed="false">
      <c r="A8" s="48" t="s">
        <v>278</v>
      </c>
      <c r="B8" s="11" t="n">
        <f aca="false">IF(B5="","",B5-StartWeight)</f>
        <v>-0.400000000000006</v>
      </c>
    </row>
    <row r="9" customFormat="false" ht="15" hidden="false" customHeight="true" outlineLevel="0" collapsed="false">
      <c r="A9" s="48" t="s">
        <v>279</v>
      </c>
      <c r="B9" s="13" t="n">
        <f aca="false">IF(LastWD=0,"",IFERROR(AVERAGEIFS(Питание!$B$14:$B$378,Питание!$A$14:$A$378,"&gt;"&amp;LastWD-7,Питание!$A$14:$A$378,"&lt;="&amp;LastWD-0,Питание!$B$14:$B$378,"&gt;0"),""))</f>
        <v>82.34</v>
      </c>
    </row>
    <row r="10" customFormat="false" ht="15" hidden="false" customHeight="true" outlineLevel="0" collapsed="false">
      <c r="A10" s="48" t="s">
        <v>280</v>
      </c>
      <c r="B10" s="13" t="n">
        <f aca="false">IF(LastWD=0,"",IFERROR(AVERAGEIFS(Питание!$B$14:$B$378,Питание!$A$14:$A$378,"&gt;"&amp;LastWD-30,Питание!$A$14:$A$378,"&lt;="&amp;LastWD-0,Питание!$B$14:$B$378,"&gt;0"),""))</f>
        <v>82.34</v>
      </c>
    </row>
    <row r="11" customFormat="false" ht="23.25" hidden="false" customHeight="true" outlineLevel="0" collapsed="false">
      <c r="A11" s="48" t="s">
        <v>281</v>
      </c>
      <c r="B11" s="14" t="str">
        <f aca="false">IF(B9="","",IFERROR(B9-AVERAGEIFS(Питание!$B$14:$B$378,Питание!$A$14:$A$378,"&gt;"&amp;LastWD-14,Питание!$A$14:$A$378,"&lt;="&amp;LastWD-7,Питание!$B$14:$B$378,"&gt;0"),""))</f>
        <v/>
      </c>
    </row>
    <row r="12" customFormat="false" ht="23.25" hidden="false" customHeight="true" outlineLevel="0" collapsed="false">
      <c r="A12" s="48" t="s">
        <v>282</v>
      </c>
      <c r="B12" s="14" t="str">
        <f aca="false">IF(B9="","",IFERROR(B9-AVERAGEIFS(Питание!$B$14:$B$378,Питание!$A$14:$A$378,"&gt;"&amp;LastWD-35,Питание!$A$14:$A$378,"&lt;="&amp;LastWD-28,Питание!$B$14:$B$378,"&gt;0"),""))</f>
        <v/>
      </c>
      <c r="C12" s="49" t="s">
        <v>283</v>
      </c>
      <c r="D12" s="49"/>
      <c r="E12" s="49"/>
      <c r="F12" s="49"/>
      <c r="G12" s="49"/>
    </row>
    <row r="14" customFormat="false" ht="15" hidden="false" customHeight="true" outlineLevel="0" collapsed="false">
      <c r="A14" s="39" t="s">
        <v>284</v>
      </c>
      <c r="B14" s="39"/>
      <c r="C14" s="39"/>
      <c r="D14" s="39"/>
      <c r="E14" s="39"/>
      <c r="F14" s="39"/>
      <c r="G14" s="39"/>
    </row>
    <row r="15" customFormat="false" ht="15" hidden="false" customHeight="true" outlineLevel="0" collapsed="false">
      <c r="A15" s="48" t="s">
        <v>285</v>
      </c>
      <c r="B15" s="8" t="n">
        <f aca="false">IF(LastFD=0,"",IFERROR(AVERAGEIFS(Питание!$C$14:$C$378,Питание!$A$14:$A$378,"&gt;"&amp;LastFD-7,Питание!$A$14:$A$378,"&lt;="&amp;LastFD,Питание!$C$14:$C$378,"&gt;0"),""))</f>
        <v>2140</v>
      </c>
    </row>
    <row r="16" customFormat="false" ht="15" hidden="false" customHeight="true" outlineLevel="0" collapsed="false">
      <c r="A16" s="48" t="s">
        <v>286</v>
      </c>
      <c r="B16" s="8" t="n">
        <f aca="false">IF(LastFD=0,"",IFERROR(AVERAGEIFS(Питание!$C$14:$C$378,Питание!$A$14:$A$378,"&gt;"&amp;LastFD-30,Питание!$A$14:$A$378,"&lt;="&amp;LastFD,Питание!$C$14:$C$378,"&gt;0"),""))</f>
        <v>2140</v>
      </c>
    </row>
    <row r="17" customFormat="false" ht="15" hidden="false" customHeight="true" outlineLevel="0" collapsed="false">
      <c r="A17" s="48" t="s">
        <v>287</v>
      </c>
      <c r="B17" s="8" t="n">
        <f aca="false">IF(LastFD=0,"",IFERROR(AVERAGEIFS(Питание!$D$14:$D$378,Питание!$A$14:$A$378,"&gt;"&amp;LastFD-7,Питание!$A$14:$A$378,"&lt;="&amp;LastFD,Питание!$D$14:$D$378,"&gt;0"),""))</f>
        <v>165</v>
      </c>
    </row>
    <row r="18" customFormat="false" ht="15" hidden="false" customHeight="true" outlineLevel="0" collapsed="false">
      <c r="A18" s="48" t="s">
        <v>288</v>
      </c>
      <c r="B18" s="8" t="n">
        <f aca="false">IF(LastFD=0,"",IFERROR(AVERAGEIFS(Питание!$D$14:$D$378,Питание!$A$14:$A$378,"&gt;"&amp;LastFD-30,Питание!$A$14:$A$378,"&lt;="&amp;LastFD,Питание!$D$14:$D$378,"&gt;0"),""))</f>
        <v>165</v>
      </c>
    </row>
    <row r="19" customFormat="false" ht="15" hidden="false" customHeight="true" outlineLevel="0" collapsed="false">
      <c r="A19" s="48" t="s">
        <v>289</v>
      </c>
      <c r="B19" s="50" t="n">
        <f aca="false">IF(LastFD=0,"",IFERROR(COUNTIFS(Питание!$A$14:$A$378,"&gt;"&amp;LastFD-14,Питание!$A$14:$A$378,"&lt;="&amp;LastFD,Питание!$C$14:$C$378,"&gt;="&amp;TargetKcal*(1-AdhTol),Питание!$C$14:$C$378,"&lt;="&amp;TargetKcal*(1+AdhTol))/COUNTIFS(Питание!$A$14:$A$378,"&gt;"&amp;LastFD-14,Питание!$A$14:$A$378,"&lt;="&amp;LastFD,Питание!$C$14:$C$378,"&gt;0"),""))</f>
        <v>1</v>
      </c>
      <c r="C19" s="49" t="s">
        <v>290</v>
      </c>
      <c r="D19" s="49"/>
      <c r="E19" s="49"/>
      <c r="F19" s="49"/>
      <c r="G19" s="49"/>
    </row>
    <row r="21" customFormat="false" ht="15" hidden="false" customHeight="true" outlineLevel="0" collapsed="false">
      <c r="A21" s="39" t="s">
        <v>291</v>
      </c>
      <c r="B21" s="39"/>
      <c r="C21" s="39"/>
      <c r="D21" s="39"/>
      <c r="E21" s="39"/>
      <c r="F21" s="39"/>
      <c r="G21" s="39"/>
    </row>
    <row r="22" customFormat="false" ht="15" hidden="false" customHeight="true" outlineLevel="0" collapsed="false">
      <c r="A22" s="48" t="s">
        <v>292</v>
      </c>
      <c r="B22" s="13" t="n">
        <f aca="false">B9</f>
        <v>82.34</v>
      </c>
    </row>
    <row r="23" customFormat="false" ht="15" hidden="false" customHeight="true" outlineLevel="0" collapsed="false">
      <c r="A23" s="48" t="s">
        <v>293</v>
      </c>
      <c r="B23" s="13" t="str">
        <f aca="false">IF(LastWD=0,"",IFERROR(AVERAGEIFS(Питание!$B$14:$B$378,Питание!$A$14:$A$378,"&gt;"&amp;LastWD-(TrendDays+7),Питание!$A$14:$A$378,"&lt;="&amp;LastWD-TrendDays,Питание!$B$14:$B$378,"&gt;0"),""))</f>
        <v/>
      </c>
      <c r="C23" s="49" t="s">
        <v>294</v>
      </c>
      <c r="D23" s="49"/>
      <c r="E23" s="49"/>
      <c r="F23" s="49"/>
      <c r="G23" s="49"/>
    </row>
    <row r="24" customFormat="false" ht="15" hidden="false" customHeight="true" outlineLevel="0" collapsed="false">
      <c r="A24" s="48" t="s">
        <v>295</v>
      </c>
      <c r="B24" s="8" t="n">
        <f aca="false">COUNTIFS(Питание!$A$14:$A$378,"&gt;"&amp;LastWD-7,Питание!$A$14:$A$378,"&lt;="&amp;LastWD,Питание!$B$14:$B$378,"&gt;0")</f>
        <v>5</v>
      </c>
    </row>
    <row r="25" customFormat="false" ht="15" hidden="false" customHeight="true" outlineLevel="0" collapsed="false">
      <c r="A25" s="48" t="s">
        <v>296</v>
      </c>
      <c r="B25" s="8" t="n">
        <f aca="false">COUNTIFS(Питание!$A$14:$A$378,"&gt;"&amp;LastWD-TrendDays-7,Питание!$A$14:$A$378,"&lt;="&amp;LastWD-TrendDays,Питание!$B$14:$B$378,"&gt;0")</f>
        <v>0</v>
      </c>
    </row>
    <row r="26" customFormat="false" ht="15" hidden="false" customHeight="true" outlineLevel="0" collapsed="false">
      <c r="A26" s="48" t="s">
        <v>297</v>
      </c>
      <c r="B26" s="14" t="str">
        <f aca="false">IF(OR(B22="",B23=""),"",(B22-B23)/(TrendDays/7))</f>
        <v/>
      </c>
    </row>
    <row r="27" customFormat="false" ht="15" hidden="false" customHeight="true" outlineLevel="0" collapsed="false">
      <c r="A27" s="48" t="s">
        <v>298</v>
      </c>
      <c r="B27" s="15" t="str">
        <f aca="false">IF(B26="","",B26/B22)</f>
        <v/>
      </c>
      <c r="C27" s="49" t="s">
        <v>299</v>
      </c>
      <c r="D27" s="49"/>
      <c r="E27" s="49"/>
      <c r="F27" s="49"/>
      <c r="G27" s="49"/>
    </row>
    <row r="28" customFormat="false" ht="15" hidden="false" customHeight="true" outlineLevel="0" collapsed="false">
      <c r="A28" s="48" t="s">
        <v>300</v>
      </c>
      <c r="B28" s="50" t="n">
        <f aca="false">B19</f>
        <v>1</v>
      </c>
    </row>
    <row r="29" customFormat="false" ht="48" hidden="false" customHeight="true" outlineLevel="0" collapsed="false">
      <c r="A29" s="6" t="s">
        <v>301</v>
      </c>
      <c r="B29" s="51" t="str">
        <f aca="false">IF(OR(B26="",B24&lt;MinWeighIns,B25&lt;MinWeighIns),"Недостаточно данных: нужно минимум "&amp;MinWeighIns&amp;" взвешиваний в каждом из двух 7-дневных окон (≈"&amp;TrendDays&amp;" дней наблюдений). Калории не менять.",IF(OR(B28="",B28&lt;AdhMin),"Сначала верни соблюдение плана: в допуске по ккал "&amp;IF(B28="","—",TEXT(B28,"0%"))&amp;" дней. Калории не менять.",IF(B27&gt;=SlowStop,"Вес стоит или растёт → уменьшить на "&amp;StepDown&amp;" ккал (до "&amp;(TargetKcal-StepDown)&amp;"), убирая углеводы. Перепроверить через 2 недели.",IF(B27&gt;=GoalLow,"Темп медленный, но вес идёт вниз → ничего не менять, перепроверить через 2 недели; если так же — уменьшить на 100 ккал.",IF(B27&gt;=FastRate,"Темп в целевом коридоре → ничего не менять.","Вес снижается слишком быстро → увеличить на "&amp;StepUp&amp;" ккал (до "&amp;(TargetKcal+StepUp)&amp;"), добавляя углеводы.")))))</f>
        <v>Недостаточно данных: нужно минимум 4 взвешиваний в каждом из двух 7-дневных окон (≈14 дней наблюдений). Калории не менять.</v>
      </c>
      <c r="C29" s="51"/>
      <c r="D29" s="51"/>
      <c r="E29" s="51"/>
      <c r="F29" s="51"/>
      <c r="G29" s="51"/>
    </row>
    <row r="31" customFormat="false" ht="15" hidden="false" customHeight="true" outlineLevel="0" collapsed="false">
      <c r="A31" s="39" t="s">
        <v>302</v>
      </c>
      <c r="B31" s="39"/>
      <c r="C31" s="39"/>
      <c r="D31" s="39"/>
      <c r="E31" s="39"/>
      <c r="F31" s="39"/>
      <c r="G31" s="39"/>
    </row>
    <row r="32" customFormat="false" ht="43.5" hidden="false" customHeight="true" outlineLevel="0" collapsed="false">
      <c r="A32" s="6" t="s">
        <v>303</v>
      </c>
      <c r="B32" s="6" t="s">
        <v>304</v>
      </c>
      <c r="C32" s="6" t="s">
        <v>22</v>
      </c>
      <c r="D32" s="6" t="s">
        <v>305</v>
      </c>
      <c r="E32" s="6" t="s">
        <v>306</v>
      </c>
    </row>
    <row r="33" customFormat="false" ht="23.25" hidden="false" customHeight="true" outlineLevel="0" collapsed="false">
      <c r="A33" s="7" t="s">
        <v>307</v>
      </c>
      <c r="B33" s="8" t="n">
        <v>4</v>
      </c>
      <c r="C33" s="16" t="n">
        <f aca="false">IF(LastWD=0,"",LastWD+7*B33)</f>
        <v>46326</v>
      </c>
      <c r="D33" s="9" t="str">
        <f aca="false">IF(OR($B$26="",$B$24&lt;MinWeighIns,$B$25&lt;MinWeighIns),"нужно больше данных",$B$22+$B$26*B33)</f>
        <v>нужно больше данных</v>
      </c>
      <c r="E33" s="9" t="n">
        <f aca="false">IF($B$22="","",$B$22-PlanDeficit*7*B33/7700)</f>
        <v>81.0672727272727</v>
      </c>
    </row>
    <row r="34" customFormat="false" ht="23.25" hidden="false" customHeight="true" outlineLevel="0" collapsed="false">
      <c r="A34" s="7" t="s">
        <v>308</v>
      </c>
      <c r="B34" s="8" t="n">
        <v>8</v>
      </c>
      <c r="C34" s="16" t="n">
        <f aca="false">IF(LastWD=0,"",LastWD+7*B34)</f>
        <v>46354</v>
      </c>
      <c r="D34" s="9" t="str">
        <f aca="false">IF(OR($B$26="",$B$24&lt;MinWeighIns,$B$25&lt;MinWeighIns),"нужно больше данных",$B$22+$B$26*B34)</f>
        <v>нужно больше данных</v>
      </c>
      <c r="E34" s="9" t="n">
        <f aca="false">IF($B$22="","",$B$22-PlanDeficit*7*B34/7700)</f>
        <v>79.7945454545455</v>
      </c>
    </row>
    <row r="35" customFormat="false" ht="23.25" hidden="false" customHeight="true" outlineLevel="0" collapsed="false">
      <c r="A35" s="7" t="s">
        <v>309</v>
      </c>
      <c r="B35" s="8" t="n">
        <v>12</v>
      </c>
      <c r="C35" s="16" t="n">
        <f aca="false">IF(LastWD=0,"",LastWD+7*B35)</f>
        <v>46382</v>
      </c>
      <c r="D35" s="9" t="str">
        <f aca="false">IF(OR($B$26="",$B$24&lt;MinWeighIns,$B$25&lt;MinWeighIns),"нужно больше данных",$B$22+$B$26*B35)</f>
        <v>нужно больше данных</v>
      </c>
      <c r="E35" s="9" t="n">
        <f aca="false">IF($B$22="","",$B$22-PlanDeficit*7*B35/7700)</f>
        <v>78.5218181818182</v>
      </c>
    </row>
    <row r="36" customFormat="false" ht="15" hidden="false" customHeight="true" outlineLevel="0" collapsed="false">
      <c r="A36" s="48" t="s">
        <v>310</v>
      </c>
      <c r="B36" s="8" t="str">
        <f aca="false">IF(OR(B26="",B24&lt;MinWeighIns,B25&lt;MinWeighIns),"—",IF(B22&lt;=GoalWeight,"достигнут",IF(B26&gt;=0,"—",(B22-GoalWeight)/-B26)))</f>
        <v>—</v>
      </c>
      <c r="C36" s="49" t="s">
        <v>311</v>
      </c>
      <c r="D36" s="49"/>
      <c r="E36" s="49"/>
      <c r="F36" s="49"/>
      <c r="G36" s="49"/>
    </row>
    <row r="37" customFormat="false" ht="57.75" hidden="false" customHeight="true" outlineLevel="0" collapsed="false">
      <c r="A37" s="40" t="s">
        <v>312</v>
      </c>
      <c r="B37" s="40"/>
      <c r="C37" s="40"/>
      <c r="D37" s="40"/>
      <c r="E37" s="40"/>
      <c r="F37" s="40"/>
      <c r="G37" s="40"/>
    </row>
    <row r="39" customFormat="false" ht="15" hidden="false" customHeight="true" outlineLevel="0" collapsed="false">
      <c r="A39" s="39" t="s">
        <v>313</v>
      </c>
      <c r="B39" s="39"/>
      <c r="C39" s="39"/>
      <c r="D39" s="39"/>
      <c r="E39" s="39"/>
      <c r="F39" s="39"/>
      <c r="G39" s="39"/>
    </row>
    <row r="40" customFormat="false" ht="15" hidden="false" customHeight="true" outlineLevel="0" collapsed="false">
      <c r="A40" s="6" t="s">
        <v>42</v>
      </c>
      <c r="B40" s="6" t="s">
        <v>314</v>
      </c>
      <c r="C40" s="6" t="s">
        <v>315</v>
      </c>
      <c r="D40" s="6" t="s">
        <v>316</v>
      </c>
      <c r="E40" s="6" t="s">
        <v>317</v>
      </c>
      <c r="F40" s="6" t="s">
        <v>22</v>
      </c>
      <c r="G40" s="6" t="s">
        <v>318</v>
      </c>
    </row>
    <row r="41" customFormat="false" ht="30" hidden="false" customHeight="true" outlineLevel="0" collapsed="false">
      <c r="A41" s="48" t="str">
        <f aca="false">Ex_1</f>
        <v>Жим платформы ногами</v>
      </c>
      <c r="B41" s="9" t="n">
        <f aca="false">IFERROR(INDEX('Программа тренировок'!$H$6:$H$25,MATCH($A41,'Программа тренировок'!$C$6:$C$25,0)),"")</f>
        <v>80</v>
      </c>
      <c r="C41" s="9" t="n">
        <f aca="false">IFERROR(INDEX('Программа тренировок'!$S$6:$S$25,MATCH($A41,'Программа тренировок'!$C$6:$C$25,0)),"")</f>
        <v>70</v>
      </c>
      <c r="D41" s="11" t="n">
        <f aca="false">IF(OR(C41="",B41=""),"",C41-B41)</f>
        <v>-10</v>
      </c>
      <c r="E41" s="12" t="n">
        <f aca="false">IF(OR(D41="",B41=0),"",D41/B41)</f>
        <v>-0.125</v>
      </c>
      <c r="F41" s="16" t="n">
        <f aca="false">IFERROR(INDEX('Программа тренировок'!$R$6:$R$25,MATCH($A41,'Программа тренировок'!$C$6:$C$25,0)),"")</f>
        <v>46193</v>
      </c>
      <c r="G41" s="30" t="str">
        <f aca="false">IFERROR(INDEX('Программа тренировок'!$V$6:$V$25,MATCH($A41,'Программа тренировок'!$C$6:$C$25,0)),"")</f>
        <v>Внеси RIR в журнал</v>
      </c>
    </row>
    <row r="42" customFormat="false" ht="30" hidden="false" customHeight="true" outlineLevel="0" collapsed="false">
      <c r="A42" s="48" t="str">
        <f aca="false">Ex_2</f>
        <v>Жим в тренажёре сидя (грудь)</v>
      </c>
      <c r="B42" s="9" t="n">
        <f aca="false">IFERROR(INDEX('Программа тренировок'!$H$6:$H$25,MATCH($A42,'Программа тренировок'!$C$6:$C$25,0)),"")</f>
        <v>30</v>
      </c>
      <c r="C42" s="9" t="str">
        <f aca="false">IFERROR(INDEX('Программа тренировок'!$S$6:$S$25,MATCH($A42,'Программа тренировок'!$C$6:$C$25,0)),"")</f>
        <v/>
      </c>
      <c r="D42" s="11" t="str">
        <f aca="false">IF(OR(C42="",B42=""),"",C42-B42)</f>
        <v/>
      </c>
      <c r="E42" s="12" t="str">
        <f aca="false">IF(OR(D42="",B42=0),"",D42/B42)</f>
        <v/>
      </c>
      <c r="F42" s="16" t="str">
        <f aca="false">IFERROR(INDEX('Программа тренировок'!$R$6:$R$25,MATCH($A42,'Программа тренировок'!$C$6:$C$25,0)),"")</f>
        <v/>
      </c>
      <c r="G42" s="30" t="str">
        <f aca="false">IFERROR(INDEX('Программа тренировок'!$V$6:$V$25,MATCH($A42,'Программа тренировок'!$C$6:$C$25,0)),"")</f>
        <v>Нет данных: начни со стартового веса</v>
      </c>
    </row>
    <row r="43" customFormat="false" ht="30" hidden="false" customHeight="true" outlineLevel="0" collapsed="false">
      <c r="A43" s="48" t="str">
        <f aca="false">Ex_3</f>
        <v>Тяга верхнего блока (узкий/нейтральный хват)</v>
      </c>
      <c r="B43" s="9" t="n">
        <f aca="false">IFERROR(INDEX('Программа тренировок'!$H$6:$H$25,MATCH($A43,'Программа тренировок'!$C$6:$C$25,0)),"")</f>
        <v>50</v>
      </c>
      <c r="C43" s="9" t="str">
        <f aca="false">IFERROR(INDEX('Программа тренировок'!$S$6:$S$25,MATCH($A43,'Программа тренировок'!$C$6:$C$25,0)),"")</f>
        <v/>
      </c>
      <c r="D43" s="11" t="str">
        <f aca="false">IF(OR(C43="",B43=""),"",C43-B43)</f>
        <v/>
      </c>
      <c r="E43" s="12" t="str">
        <f aca="false">IF(OR(D43="",B43=0),"",D43/B43)</f>
        <v/>
      </c>
      <c r="F43" s="16" t="str">
        <f aca="false">IFERROR(INDEX('Программа тренировок'!$R$6:$R$25,MATCH($A43,'Программа тренировок'!$C$6:$C$25,0)),"")</f>
        <v/>
      </c>
      <c r="G43" s="30" t="str">
        <f aca="false">IFERROR(INDEX('Программа тренировок'!$V$6:$V$25,MATCH($A43,'Программа тренировок'!$C$6:$C$25,0)),"")</f>
        <v>Нет данных: начни со стартового веса</v>
      </c>
    </row>
    <row r="44" customFormat="false" ht="30" hidden="false" customHeight="true" outlineLevel="0" collapsed="false">
      <c r="A44" s="48" t="str">
        <f aca="false">Ex_4</f>
        <v>Присед в Смите (ноги чуть вперёд)</v>
      </c>
      <c r="B44" s="9" t="n">
        <f aca="false">IFERROR(INDEX('Программа тренировок'!$H$6:$H$25,MATCH($A44,'Программа тренировок'!$C$6:$C$25,0)),"")</f>
        <v>30</v>
      </c>
      <c r="C44" s="9" t="str">
        <f aca="false">IFERROR(INDEX('Программа тренировок'!$S$6:$S$25,MATCH($A44,'Программа тренировок'!$C$6:$C$25,0)),"")</f>
        <v/>
      </c>
      <c r="D44" s="11" t="str">
        <f aca="false">IF(OR(C44="",B44=""),"",C44-B44)</f>
        <v/>
      </c>
      <c r="E44" s="12" t="str">
        <f aca="false">IF(OR(D44="",B44=0),"",D44/B44)</f>
        <v/>
      </c>
      <c r="F44" s="16" t="str">
        <f aca="false">IFERROR(INDEX('Программа тренировок'!$R$6:$R$25,MATCH($A44,'Программа тренировок'!$C$6:$C$25,0)),"")</f>
        <v/>
      </c>
      <c r="G44" s="30" t="str">
        <f aca="false">IFERROR(INDEX('Программа тренировок'!$V$6:$V$25,MATCH($A44,'Программа тренировок'!$C$6:$C$25,0)),"")</f>
        <v>Нет данных: начни со стартового веса</v>
      </c>
    </row>
    <row r="45" customFormat="false" ht="30" hidden="false" customHeight="true" outlineLevel="0" collapsed="false">
      <c r="A45" s="48" t="str">
        <f aca="false">Ex_5</f>
        <v>Разгибание ног сидя</v>
      </c>
      <c r="B45" s="9" t="n">
        <f aca="false">IFERROR(INDEX('Программа тренировок'!$H$6:$H$25,MATCH($A45,'Программа тренировок'!$C$6:$C$25,0)),"")</f>
        <v>50</v>
      </c>
      <c r="C45" s="9" t="str">
        <f aca="false">IFERROR(INDEX('Программа тренировок'!$S$6:$S$25,MATCH($A45,'Программа тренировок'!$C$6:$C$25,0)),"")</f>
        <v/>
      </c>
      <c r="D45" s="11" t="str">
        <f aca="false">IF(OR(C45="",B45=""),"",C45-B45)</f>
        <v/>
      </c>
      <c r="E45" s="12" t="str">
        <f aca="false">IF(OR(D45="",B45=0),"",D45/B45)</f>
        <v/>
      </c>
      <c r="F45" s="16" t="str">
        <f aca="false">IFERROR(INDEX('Программа тренировок'!$R$6:$R$25,MATCH($A45,'Программа тренировок'!$C$6:$C$25,0)),"")</f>
        <v/>
      </c>
      <c r="G45" s="30" t="str">
        <f aca="false">IFERROR(INDEX('Программа тренировок'!$V$6:$V$25,MATCH($A45,'Программа тренировок'!$C$6:$C$25,0)),"")</f>
        <v>Нет данных: начни со стартового веса</v>
      </c>
    </row>
    <row r="47" customFormat="false" ht="15" hidden="false" customHeight="true" outlineLevel="0" collapsed="false">
      <c r="A47" s="39" t="s">
        <v>319</v>
      </c>
      <c r="B47" s="39"/>
      <c r="C47" s="39"/>
      <c r="D47" s="39"/>
      <c r="E47" s="39"/>
      <c r="F47" s="39"/>
      <c r="G47" s="39"/>
    </row>
  </sheetData>
  <sheetProtection sheet="true" formatCells="false" formatColumns="false" formatRows="false" sort="false" autoFilter="false"/>
  <mergeCells count="9">
    <mergeCell ref="A2:G2"/>
    <mergeCell ref="C5:G5"/>
    <mergeCell ref="C12:G12"/>
    <mergeCell ref="C19:G19"/>
    <mergeCell ref="C23:G23"/>
    <mergeCell ref="C27:G27"/>
    <mergeCell ref="B29:G29"/>
    <mergeCell ref="C36:G36"/>
    <mergeCell ref="A37:G37"/>
  </mergeCells>
  <conditionalFormatting sqref="B29">
    <cfRule type="expression" priority="2" aboveAverage="0" equalAverage="0" bottom="0" percent="0" rank="0" text="" dxfId="7">
      <formula>LEFT($B$29,4)="Темп"</formula>
    </cfRule>
    <cfRule type="expression" priority="3" aboveAverage="0" equalAverage="0" bottom="0" percent="0" rank="0" text="" dxfId="8">
      <formula>OR(LEFT($B$29,3)="Вес",LEFT($B$29,3)="Сна")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95"/>
  </cols>
  <sheetData>
    <row r="1" customFormat="false" ht="17.25" hidden="false" customHeight="true" outlineLevel="0" collapsed="false">
      <c r="A1" s="2" t="s">
        <v>320</v>
      </c>
    </row>
    <row r="2" customFormat="false" ht="37.5" hidden="false" customHeight="true" outlineLevel="0" collapsed="false">
      <c r="A2" s="3" t="s">
        <v>321</v>
      </c>
      <c r="B2" s="3"/>
      <c r="C2" s="3"/>
      <c r="D2" s="3"/>
    </row>
    <row r="4" customFormat="false" ht="15" hidden="false" customHeight="true" outlineLevel="0" collapsed="false">
      <c r="A4" s="39" t="s">
        <v>322</v>
      </c>
      <c r="B4" s="39"/>
      <c r="C4" s="39"/>
      <c r="D4" s="39"/>
    </row>
    <row r="5" customFormat="false" ht="15" hidden="false" customHeight="true" outlineLevel="0" collapsed="false">
      <c r="A5" s="30" t="s">
        <v>323</v>
      </c>
      <c r="B5" s="19" t="n">
        <v>29</v>
      </c>
      <c r="C5" s="52" t="s">
        <v>324</v>
      </c>
      <c r="D5" s="49" t="s">
        <v>325</v>
      </c>
    </row>
    <row r="6" customFormat="false" ht="15" hidden="false" customHeight="true" outlineLevel="0" collapsed="false">
      <c r="A6" s="30" t="s">
        <v>326</v>
      </c>
      <c r="B6" s="19" t="n">
        <v>181</v>
      </c>
      <c r="C6" s="52" t="s">
        <v>324</v>
      </c>
      <c r="D6" s="49"/>
    </row>
    <row r="7" customFormat="false" ht="15" hidden="false" customHeight="true" outlineLevel="0" collapsed="false">
      <c r="A7" s="30" t="s">
        <v>95</v>
      </c>
      <c r="B7" s="53" t="n">
        <v>82.5</v>
      </c>
      <c r="C7" s="52" t="s">
        <v>324</v>
      </c>
      <c r="D7" s="49" t="s">
        <v>327</v>
      </c>
    </row>
    <row r="8" customFormat="false" ht="15" hidden="false" customHeight="true" outlineLevel="0" collapsed="false">
      <c r="A8" s="30" t="s">
        <v>328</v>
      </c>
      <c r="B8" s="20" t="n">
        <v>46294</v>
      </c>
      <c r="C8" s="52" t="s">
        <v>329</v>
      </c>
      <c r="D8" s="49" t="s">
        <v>330</v>
      </c>
    </row>
    <row r="9" customFormat="false" ht="21.75" hidden="false" customHeight="true" outlineLevel="0" collapsed="false">
      <c r="A9" s="30" t="s">
        <v>331</v>
      </c>
      <c r="B9" s="53" t="n">
        <v>77</v>
      </c>
      <c r="C9" s="52" t="s">
        <v>329</v>
      </c>
      <c r="D9" s="49" t="s">
        <v>332</v>
      </c>
    </row>
    <row r="11" customFormat="false" ht="15" hidden="false" customHeight="true" outlineLevel="0" collapsed="false">
      <c r="A11" s="39" t="s">
        <v>333</v>
      </c>
      <c r="B11" s="39"/>
      <c r="C11" s="39"/>
      <c r="D11" s="39"/>
    </row>
    <row r="12" customFormat="false" ht="15" hidden="false" customHeight="true" outlineLevel="0" collapsed="false">
      <c r="A12" s="30" t="s">
        <v>334</v>
      </c>
      <c r="B12" s="54" t="n">
        <v>1.4</v>
      </c>
      <c r="C12" s="52" t="s">
        <v>329</v>
      </c>
      <c r="D12" s="49" t="s">
        <v>335</v>
      </c>
    </row>
    <row r="13" customFormat="false" ht="15" hidden="false" customHeight="true" outlineLevel="0" collapsed="false">
      <c r="A13" s="30" t="s">
        <v>336</v>
      </c>
      <c r="B13" s="55" t="n">
        <f aca="false">ROUND(10*StartWeight+6.25*Height-5*Age+5,0)</f>
        <v>1816</v>
      </c>
      <c r="C13" s="52" t="s">
        <v>337</v>
      </c>
      <c r="D13" s="49" t="s">
        <v>338</v>
      </c>
    </row>
    <row r="14" customFormat="false" ht="15" hidden="false" customHeight="true" outlineLevel="0" collapsed="false">
      <c r="A14" s="30" t="s">
        <v>339</v>
      </c>
      <c r="B14" s="55" t="n">
        <f aca="false">ROUND(BMR*ActFactor,0)</f>
        <v>2542</v>
      </c>
      <c r="C14" s="52" t="s">
        <v>337</v>
      </c>
      <c r="D14" s="49" t="s">
        <v>340</v>
      </c>
    </row>
    <row r="15" customFormat="false" ht="15" hidden="false" customHeight="true" outlineLevel="0" collapsed="false">
      <c r="A15" s="30" t="s">
        <v>341</v>
      </c>
      <c r="B15" s="56" t="n">
        <v>350</v>
      </c>
      <c r="C15" s="52" t="s">
        <v>329</v>
      </c>
      <c r="D15" s="49" t="s">
        <v>342</v>
      </c>
    </row>
    <row r="16" customFormat="false" ht="15" hidden="false" customHeight="true" outlineLevel="0" collapsed="false">
      <c r="A16" s="30" t="s">
        <v>343</v>
      </c>
      <c r="B16" s="55" t="n">
        <f aca="false">ROUND((TDEE-PlanDeficit)/50,0)*50</f>
        <v>2200</v>
      </c>
      <c r="C16" s="52" t="s">
        <v>337</v>
      </c>
      <c r="D16" s="49" t="s">
        <v>344</v>
      </c>
    </row>
    <row r="18" customFormat="false" ht="15" hidden="false" customHeight="true" outlineLevel="0" collapsed="false">
      <c r="A18" s="39" t="s">
        <v>345</v>
      </c>
      <c r="B18" s="39"/>
      <c r="C18" s="39"/>
      <c r="D18" s="39"/>
    </row>
    <row r="19" customFormat="false" ht="21.75" hidden="false" customHeight="true" outlineLevel="0" collapsed="false">
      <c r="A19" s="30" t="s">
        <v>346</v>
      </c>
      <c r="B19" s="56" t="n">
        <v>2200</v>
      </c>
      <c r="C19" s="52" t="s">
        <v>329</v>
      </c>
      <c r="D19" s="49" t="s">
        <v>347</v>
      </c>
    </row>
    <row r="20" customFormat="false" ht="15" hidden="false" customHeight="true" outlineLevel="0" collapsed="false">
      <c r="A20" s="30" t="s">
        <v>5</v>
      </c>
      <c r="B20" s="56" t="n">
        <v>165</v>
      </c>
      <c r="C20" s="52" t="s">
        <v>329</v>
      </c>
      <c r="D20" s="49" t="s">
        <v>348</v>
      </c>
    </row>
    <row r="21" customFormat="false" ht="15" hidden="false" customHeight="true" outlineLevel="0" collapsed="false">
      <c r="A21" s="30" t="s">
        <v>6</v>
      </c>
      <c r="B21" s="56" t="n">
        <v>70</v>
      </c>
      <c r="C21" s="52" t="s">
        <v>329</v>
      </c>
      <c r="D21" s="49" t="s">
        <v>349</v>
      </c>
    </row>
    <row r="22" customFormat="false" ht="15" hidden="false" customHeight="true" outlineLevel="0" collapsed="false">
      <c r="A22" s="30" t="s">
        <v>7</v>
      </c>
      <c r="B22" s="55" t="n">
        <f aca="false">ROUND((TargetKcal-4*TargetProtein-9*TargetFat)/4,0)</f>
        <v>228</v>
      </c>
      <c r="C22" s="52" t="s">
        <v>337</v>
      </c>
      <c r="D22" s="49" t="s">
        <v>350</v>
      </c>
    </row>
    <row r="23" customFormat="false" ht="15" hidden="false" customHeight="true" outlineLevel="0" collapsed="false">
      <c r="A23" s="30" t="s">
        <v>8</v>
      </c>
      <c r="B23" s="56" t="n">
        <v>30</v>
      </c>
      <c r="C23" s="52" t="s">
        <v>329</v>
      </c>
      <c r="D23" s="49" t="s">
        <v>351</v>
      </c>
    </row>
    <row r="24" customFormat="false" ht="15" hidden="false" customHeight="true" outlineLevel="0" collapsed="false">
      <c r="A24" s="30" t="s">
        <v>9</v>
      </c>
      <c r="B24" s="53" t="n">
        <v>2.8</v>
      </c>
      <c r="C24" s="52" t="s">
        <v>329</v>
      </c>
      <c r="D24" s="49" t="s">
        <v>352</v>
      </c>
    </row>
    <row r="25" customFormat="false" ht="15" hidden="false" customHeight="true" outlineLevel="0" collapsed="false">
      <c r="A25" s="30" t="s">
        <v>353</v>
      </c>
      <c r="B25" s="56" t="n">
        <v>1</v>
      </c>
      <c r="C25" s="52" t="s">
        <v>329</v>
      </c>
      <c r="D25" s="49" t="s">
        <v>354</v>
      </c>
    </row>
    <row r="26" customFormat="false" ht="15" hidden="false" customHeight="true" outlineLevel="0" collapsed="false">
      <c r="A26" s="30" t="s">
        <v>355</v>
      </c>
      <c r="B26" s="56" t="n">
        <v>24</v>
      </c>
      <c r="C26" s="52" t="s">
        <v>329</v>
      </c>
      <c r="D26" s="49" t="s">
        <v>356</v>
      </c>
    </row>
    <row r="28" customFormat="false" ht="15" hidden="false" customHeight="true" outlineLevel="0" collapsed="false">
      <c r="A28" s="39" t="s">
        <v>357</v>
      </c>
      <c r="B28" s="39"/>
      <c r="C28" s="39"/>
      <c r="D28" s="39"/>
    </row>
    <row r="29" customFormat="false" ht="21.75" hidden="false" customHeight="true" outlineLevel="0" collapsed="false">
      <c r="A29" s="30" t="s">
        <v>358</v>
      </c>
      <c r="B29" s="56" t="n">
        <v>3</v>
      </c>
      <c r="C29" s="52" t="s">
        <v>329</v>
      </c>
      <c r="D29" s="49" t="s">
        <v>359</v>
      </c>
    </row>
    <row r="30" customFormat="false" ht="15" hidden="false" customHeight="true" outlineLevel="0" collapsed="false">
      <c r="A30" s="30" t="s">
        <v>360</v>
      </c>
      <c r="B30" s="55" t="n">
        <f aca="true">MAX(1,INT((TODAY()-StartDate)/7)+1)</f>
        <v>1</v>
      </c>
      <c r="C30" s="52" t="s">
        <v>337</v>
      </c>
      <c r="D30" s="49" t="s">
        <v>361</v>
      </c>
    </row>
    <row r="31" customFormat="false" ht="15" hidden="false" customHeight="true" outlineLevel="0" collapsed="false">
      <c r="A31" s="30" t="s">
        <v>362</v>
      </c>
      <c r="B31" s="23" t="str">
        <f aca="false">IF(WeekNo&lt;=AdaptWeeks,"Адаптация: RIR 2–3","Основная фаза: RIR по столбцу K")</f>
        <v>Адаптация: RIR 2–3</v>
      </c>
      <c r="C31" s="52" t="s">
        <v>337</v>
      </c>
      <c r="D31" s="49"/>
    </row>
    <row r="33" customFormat="false" ht="15" hidden="false" customHeight="true" outlineLevel="0" collapsed="false">
      <c r="A33" s="39" t="s">
        <v>363</v>
      </c>
      <c r="B33" s="39"/>
      <c r="C33" s="39"/>
      <c r="D33" s="39"/>
    </row>
    <row r="34" customFormat="false" ht="15" hidden="false" customHeight="true" outlineLevel="0" collapsed="false">
      <c r="A34" s="30" t="s">
        <v>364</v>
      </c>
      <c r="B34" s="56" t="n">
        <v>14</v>
      </c>
      <c r="C34" s="52" t="s">
        <v>329</v>
      </c>
      <c r="D34" s="49" t="s">
        <v>365</v>
      </c>
    </row>
    <row r="35" customFormat="false" ht="15" hidden="false" customHeight="true" outlineLevel="0" collapsed="false">
      <c r="A35" s="30" t="s">
        <v>366</v>
      </c>
      <c r="B35" s="56" t="n">
        <v>4</v>
      </c>
      <c r="C35" s="52" t="s">
        <v>329</v>
      </c>
      <c r="D35" s="49" t="s">
        <v>367</v>
      </c>
    </row>
    <row r="36" customFormat="false" ht="15" hidden="false" customHeight="true" outlineLevel="0" collapsed="false">
      <c r="A36" s="30" t="s">
        <v>368</v>
      </c>
      <c r="B36" s="57" t="n">
        <v>0.07</v>
      </c>
      <c r="C36" s="52" t="s">
        <v>329</v>
      </c>
      <c r="D36" s="49" t="s">
        <v>369</v>
      </c>
    </row>
    <row r="37" customFormat="false" ht="15" hidden="false" customHeight="true" outlineLevel="0" collapsed="false">
      <c r="A37" s="30" t="s">
        <v>370</v>
      </c>
      <c r="B37" s="57" t="n">
        <v>0.7</v>
      </c>
      <c r="C37" s="52" t="s">
        <v>329</v>
      </c>
      <c r="D37" s="49" t="s">
        <v>371</v>
      </c>
    </row>
    <row r="38" customFormat="false" ht="15" hidden="false" customHeight="true" outlineLevel="0" collapsed="false">
      <c r="A38" s="30" t="s">
        <v>372</v>
      </c>
      <c r="B38" s="58" t="n">
        <v>-0.001</v>
      </c>
      <c r="C38" s="52" t="s">
        <v>329</v>
      </c>
      <c r="D38" s="49" t="s">
        <v>373</v>
      </c>
    </row>
    <row r="39" customFormat="false" ht="15" hidden="false" customHeight="true" outlineLevel="0" collapsed="false">
      <c r="A39" s="30" t="s">
        <v>374</v>
      </c>
      <c r="B39" s="58" t="n">
        <v>-0.003</v>
      </c>
      <c r="C39" s="52" t="s">
        <v>329</v>
      </c>
      <c r="D39" s="49" t="s">
        <v>375</v>
      </c>
    </row>
    <row r="40" customFormat="false" ht="15" hidden="false" customHeight="true" outlineLevel="0" collapsed="false">
      <c r="A40" s="30" t="s">
        <v>376</v>
      </c>
      <c r="B40" s="58" t="n">
        <v>-0.008</v>
      </c>
      <c r="C40" s="52" t="s">
        <v>329</v>
      </c>
      <c r="D40" s="49" t="s">
        <v>377</v>
      </c>
    </row>
    <row r="41" customFormat="false" ht="15" hidden="false" customHeight="true" outlineLevel="0" collapsed="false">
      <c r="A41" s="30" t="s">
        <v>378</v>
      </c>
      <c r="B41" s="56" t="n">
        <v>150</v>
      </c>
      <c r="C41" s="52" t="s">
        <v>329</v>
      </c>
      <c r="D41" s="49" t="s">
        <v>379</v>
      </c>
    </row>
    <row r="42" customFormat="false" ht="15" hidden="false" customHeight="true" outlineLevel="0" collapsed="false">
      <c r="A42" s="30" t="s">
        <v>380</v>
      </c>
      <c r="B42" s="56" t="n">
        <v>200</v>
      </c>
      <c r="C42" s="52" t="s">
        <v>329</v>
      </c>
      <c r="D42" s="49" t="s">
        <v>379</v>
      </c>
    </row>
    <row r="44" customFormat="false" ht="15" hidden="false" customHeight="true" outlineLevel="0" collapsed="false">
      <c r="A44" s="39" t="s">
        <v>381</v>
      </c>
      <c r="B44" s="39"/>
      <c r="C44" s="39"/>
      <c r="D44" s="39"/>
    </row>
    <row r="45" customFormat="false" ht="23.25" hidden="false" customHeight="true" outlineLevel="0" collapsed="false">
      <c r="A45" s="30" t="s">
        <v>382</v>
      </c>
      <c r="B45" s="29" t="s">
        <v>38</v>
      </c>
      <c r="C45" s="52" t="s">
        <v>383</v>
      </c>
      <c r="D45" s="49" t="s">
        <v>384</v>
      </c>
    </row>
    <row r="46" customFormat="false" ht="23.25" hidden="false" customHeight="true" outlineLevel="0" collapsed="false">
      <c r="A46" s="30" t="s">
        <v>385</v>
      </c>
      <c r="B46" s="29" t="s">
        <v>115</v>
      </c>
      <c r="C46" s="52" t="s">
        <v>383</v>
      </c>
      <c r="D46" s="49" t="s">
        <v>384</v>
      </c>
    </row>
    <row r="47" customFormat="false" ht="45.75" hidden="false" customHeight="true" outlineLevel="0" collapsed="false">
      <c r="A47" s="30" t="s">
        <v>386</v>
      </c>
      <c r="B47" s="29" t="s">
        <v>165</v>
      </c>
      <c r="C47" s="52" t="s">
        <v>383</v>
      </c>
      <c r="D47" s="49" t="s">
        <v>384</v>
      </c>
    </row>
    <row r="48" customFormat="false" ht="23.25" hidden="false" customHeight="true" outlineLevel="0" collapsed="false">
      <c r="A48" s="30" t="s">
        <v>387</v>
      </c>
      <c r="B48" s="29" t="s">
        <v>136</v>
      </c>
      <c r="C48" s="52" t="s">
        <v>383</v>
      </c>
      <c r="D48" s="49" t="s">
        <v>384</v>
      </c>
    </row>
    <row r="49" customFormat="false" ht="23.25" hidden="false" customHeight="true" outlineLevel="0" collapsed="false">
      <c r="A49" s="30" t="s">
        <v>388</v>
      </c>
      <c r="B49" s="29" t="s">
        <v>159</v>
      </c>
      <c r="C49" s="52" t="s">
        <v>383</v>
      </c>
      <c r="D49" s="49" t="s">
        <v>384</v>
      </c>
    </row>
  </sheetData>
  <sheetProtection sheet="true" formatCells="false" formatColumns="false" formatRows="false" sort="false" autoFilter="false"/>
  <mergeCells count="1">
    <mergeCell ref="A2:D2"/>
  </mergeCells>
  <dataValidations count="1">
    <dataValidation allowBlank="false" errorStyle="stop" operator="between" showDropDown="false" showErrorMessage="false" showInputMessage="false" sqref="B45:B49" type="list">
      <formula1>'Программа тренировок'!$C$6:$C$25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7575"/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2"/>
    <col collapsed="false" customWidth="true" hidden="false" outlineLevel="0" max="4" min="3" style="1" width="10"/>
    <col collapsed="false" customWidth="true" hidden="false" outlineLevel="0" max="5" min="5" style="1" width="12"/>
    <col collapsed="false" customWidth="true" hidden="false" outlineLevel="0" max="6" min="6" style="1" width="14"/>
  </cols>
  <sheetData>
    <row r="1" customFormat="false" ht="17.25" hidden="false" customHeight="true" outlineLevel="0" collapsed="false">
      <c r="A1" s="2" t="s">
        <v>389</v>
      </c>
    </row>
    <row r="2" customFormat="false" ht="37.5" hidden="false" customHeight="true" outlineLevel="0" collapsed="false">
      <c r="A2" s="3" t="s">
        <v>390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6" t="s">
        <v>221</v>
      </c>
      <c r="B4" s="6" t="s">
        <v>391</v>
      </c>
      <c r="C4" s="6" t="s">
        <v>5</v>
      </c>
      <c r="D4" s="6" t="s">
        <v>6</v>
      </c>
      <c r="E4" s="6" t="s">
        <v>7</v>
      </c>
      <c r="F4" s="6" t="s">
        <v>8</v>
      </c>
    </row>
    <row r="5" customFormat="false" ht="15" hidden="false" customHeight="true" outlineLevel="0" collapsed="false">
      <c r="A5" s="19" t="s">
        <v>223</v>
      </c>
      <c r="B5" s="55" t="n">
        <f aca="false">ROUND(4*C5+9*D5+4*E5,0)</f>
        <v>342</v>
      </c>
      <c r="C5" s="53" t="n">
        <v>12.3</v>
      </c>
      <c r="D5" s="53" t="n">
        <v>6.1</v>
      </c>
      <c r="E5" s="53" t="n">
        <v>59.5</v>
      </c>
      <c r="F5" s="53" t="n">
        <v>10</v>
      </c>
    </row>
    <row r="6" customFormat="false" ht="15" hidden="false" customHeight="true" outlineLevel="0" collapsed="false">
      <c r="A6" s="19" t="s">
        <v>229</v>
      </c>
      <c r="B6" s="55" t="n">
        <f aca="false">ROUND(4*C6+9*D6+4*E6,0)</f>
        <v>329</v>
      </c>
      <c r="C6" s="53" t="n">
        <v>12.6</v>
      </c>
      <c r="D6" s="53" t="n">
        <v>3.3</v>
      </c>
      <c r="E6" s="53" t="n">
        <v>62.1</v>
      </c>
      <c r="F6" s="53" t="n">
        <v>10.8</v>
      </c>
    </row>
    <row r="7" customFormat="false" ht="15" hidden="false" customHeight="true" outlineLevel="0" collapsed="false">
      <c r="A7" s="19" t="s">
        <v>234</v>
      </c>
      <c r="B7" s="55" t="n">
        <f aca="false">ROUND(4*C7+9*D7+4*E7,0)</f>
        <v>349</v>
      </c>
      <c r="C7" s="53" t="n">
        <v>6.7</v>
      </c>
      <c r="D7" s="53" t="n">
        <v>0.7</v>
      </c>
      <c r="E7" s="53" t="n">
        <v>78.9</v>
      </c>
      <c r="F7" s="53" t="n">
        <v>1.3</v>
      </c>
    </row>
    <row r="8" customFormat="false" ht="15" hidden="false" customHeight="true" outlineLevel="0" collapsed="false">
      <c r="A8" s="19" t="s">
        <v>392</v>
      </c>
      <c r="B8" s="55" t="n">
        <f aca="false">ROUND(4*C8+9*D8+4*E8,0)</f>
        <v>347</v>
      </c>
      <c r="C8" s="53" t="n">
        <v>13</v>
      </c>
      <c r="D8" s="53" t="n">
        <v>2.5</v>
      </c>
      <c r="E8" s="53" t="n">
        <v>68</v>
      </c>
      <c r="F8" s="53" t="n">
        <v>8</v>
      </c>
    </row>
    <row r="9" customFormat="false" ht="15" hidden="false" customHeight="true" outlineLevel="0" collapsed="false">
      <c r="A9" s="19" t="s">
        <v>393</v>
      </c>
      <c r="B9" s="55" t="n">
        <f aca="false">ROUND(4*C9+9*D9+4*E9,0)</f>
        <v>77</v>
      </c>
      <c r="C9" s="53" t="n">
        <v>2</v>
      </c>
      <c r="D9" s="53" t="n">
        <v>0.4</v>
      </c>
      <c r="E9" s="53" t="n">
        <v>16.3</v>
      </c>
      <c r="F9" s="53" t="n">
        <v>2.2</v>
      </c>
    </row>
    <row r="10" customFormat="false" ht="15" hidden="false" customHeight="true" outlineLevel="0" collapsed="false">
      <c r="A10" s="19" t="s">
        <v>394</v>
      </c>
      <c r="B10" s="55" t="n">
        <f aca="false">ROUND(4*C10+9*D10+4*E10,0)</f>
        <v>240</v>
      </c>
      <c r="C10" s="53" t="n">
        <v>9</v>
      </c>
      <c r="D10" s="53" t="n">
        <v>3.5</v>
      </c>
      <c r="E10" s="53" t="n">
        <v>43</v>
      </c>
      <c r="F10" s="53" t="n">
        <v>7</v>
      </c>
    </row>
    <row r="11" customFormat="false" ht="15" hidden="false" customHeight="true" outlineLevel="0" collapsed="false">
      <c r="A11" s="19" t="s">
        <v>395</v>
      </c>
      <c r="B11" s="55" t="n">
        <f aca="false">ROUND(4*C11+9*D11+4*E11,0)</f>
        <v>350</v>
      </c>
      <c r="C11" s="53" t="n">
        <v>24</v>
      </c>
      <c r="D11" s="53" t="n">
        <v>1.5</v>
      </c>
      <c r="E11" s="53" t="n">
        <v>60</v>
      </c>
      <c r="F11" s="53" t="n">
        <v>11</v>
      </c>
    </row>
    <row r="12" customFormat="false" ht="15" hidden="false" customHeight="true" outlineLevel="0" collapsed="false">
      <c r="A12" s="19" t="s">
        <v>228</v>
      </c>
      <c r="B12" s="55" t="n">
        <f aca="false">ROUND(4*C12+9*D12+4*E12,0)</f>
        <v>113</v>
      </c>
      <c r="C12" s="53" t="n">
        <v>23.6</v>
      </c>
      <c r="D12" s="53" t="n">
        <v>1.9</v>
      </c>
      <c r="E12" s="53" t="n">
        <v>0.4</v>
      </c>
      <c r="F12" s="53" t="n">
        <v>0</v>
      </c>
    </row>
    <row r="13" customFormat="false" ht="15" hidden="false" customHeight="true" outlineLevel="0" collapsed="false">
      <c r="A13" s="19" t="s">
        <v>396</v>
      </c>
      <c r="B13" s="55" t="n">
        <f aca="false">ROUND(4*C13+9*D13+4*E13,0)</f>
        <v>108</v>
      </c>
      <c r="C13" s="53" t="n">
        <v>23.7</v>
      </c>
      <c r="D13" s="53" t="n">
        <v>1.5</v>
      </c>
      <c r="E13" s="53" t="n">
        <v>0</v>
      </c>
      <c r="F13" s="53" t="n">
        <v>0</v>
      </c>
    </row>
    <row r="14" customFormat="false" ht="15" hidden="false" customHeight="true" outlineLevel="0" collapsed="false">
      <c r="A14" s="19" t="s">
        <v>397</v>
      </c>
      <c r="B14" s="55" t="n">
        <f aca="false">ROUND(4*C14+9*D14+4*E14,0)</f>
        <v>134</v>
      </c>
      <c r="C14" s="53" t="n">
        <v>21</v>
      </c>
      <c r="D14" s="53" t="n">
        <v>5.5</v>
      </c>
      <c r="E14" s="53" t="n">
        <v>0</v>
      </c>
      <c r="F14" s="53" t="n">
        <v>0</v>
      </c>
    </row>
    <row r="15" customFormat="false" ht="15" hidden="false" customHeight="true" outlineLevel="0" collapsed="false">
      <c r="A15" s="19" t="s">
        <v>233</v>
      </c>
      <c r="B15" s="55" t="n">
        <f aca="false">ROUND(4*C15+9*D15+4*E15,0)</f>
        <v>136</v>
      </c>
      <c r="C15" s="53" t="n">
        <v>20.5</v>
      </c>
      <c r="D15" s="53" t="n">
        <v>6</v>
      </c>
      <c r="E15" s="53" t="n">
        <v>0</v>
      </c>
      <c r="F15" s="53" t="n">
        <v>0</v>
      </c>
    </row>
    <row r="16" customFormat="false" ht="15" hidden="false" customHeight="true" outlineLevel="0" collapsed="false">
      <c r="A16" s="19" t="s">
        <v>398</v>
      </c>
      <c r="B16" s="55" t="n">
        <f aca="false">ROUND(4*C16+9*D16+4*E16,0)</f>
        <v>77</v>
      </c>
      <c r="C16" s="53" t="n">
        <v>17.7</v>
      </c>
      <c r="D16" s="53" t="n">
        <v>0.7</v>
      </c>
      <c r="E16" s="53" t="n">
        <v>0</v>
      </c>
      <c r="F16" s="53" t="n">
        <v>0</v>
      </c>
    </row>
    <row r="17" customFormat="false" ht="15" hidden="false" customHeight="true" outlineLevel="0" collapsed="false">
      <c r="A17" s="19" t="s">
        <v>224</v>
      </c>
      <c r="B17" s="55" t="n">
        <f aca="false">ROUND(4*C17+9*D17+4*E17,0)</f>
        <v>149</v>
      </c>
      <c r="C17" s="53" t="n">
        <v>12.6</v>
      </c>
      <c r="D17" s="53" t="n">
        <v>10.6</v>
      </c>
      <c r="E17" s="53" t="n">
        <v>0.7</v>
      </c>
      <c r="F17" s="53" t="n">
        <v>0</v>
      </c>
    </row>
    <row r="18" customFormat="false" ht="15" hidden="false" customHeight="true" outlineLevel="0" collapsed="false">
      <c r="A18" s="19" t="s">
        <v>225</v>
      </c>
      <c r="B18" s="55" t="n">
        <f aca="false">ROUND(4*C18+9*D18+4*E18,0)</f>
        <v>125</v>
      </c>
      <c r="C18" s="53" t="n">
        <v>17</v>
      </c>
      <c r="D18" s="53" t="n">
        <v>5</v>
      </c>
      <c r="E18" s="53" t="n">
        <v>3</v>
      </c>
      <c r="F18" s="53" t="n">
        <v>0</v>
      </c>
    </row>
    <row r="19" customFormat="false" ht="15" hidden="false" customHeight="true" outlineLevel="0" collapsed="false">
      <c r="A19" s="19" t="s">
        <v>399</v>
      </c>
      <c r="B19" s="55" t="n">
        <f aca="false">ROUND(4*C19+9*D19+4*E19,0)</f>
        <v>85</v>
      </c>
      <c r="C19" s="53" t="n">
        <v>16</v>
      </c>
      <c r="D19" s="53" t="n">
        <v>1</v>
      </c>
      <c r="E19" s="53" t="n">
        <v>3</v>
      </c>
      <c r="F19" s="53" t="n">
        <v>0</v>
      </c>
    </row>
    <row r="20" customFormat="false" ht="15" hidden="false" customHeight="true" outlineLevel="0" collapsed="false">
      <c r="A20" s="19" t="s">
        <v>238</v>
      </c>
      <c r="B20" s="55" t="n">
        <f aca="false">ROUND(4*C20+9*D20+4*E20,0)</f>
        <v>74</v>
      </c>
      <c r="C20" s="53" t="n">
        <v>10</v>
      </c>
      <c r="D20" s="53" t="n">
        <v>2</v>
      </c>
      <c r="E20" s="53" t="n">
        <v>4</v>
      </c>
      <c r="F20" s="53" t="n">
        <v>0</v>
      </c>
    </row>
    <row r="21" customFormat="false" ht="15" hidden="false" customHeight="true" outlineLevel="0" collapsed="false">
      <c r="A21" s="19" t="s">
        <v>400</v>
      </c>
      <c r="B21" s="55" t="n">
        <f aca="false">ROUND(4*C21+9*D21+4*E21,0)</f>
        <v>37</v>
      </c>
      <c r="C21" s="53" t="n">
        <v>3</v>
      </c>
      <c r="D21" s="53" t="n">
        <v>1</v>
      </c>
      <c r="E21" s="53" t="n">
        <v>4</v>
      </c>
      <c r="F21" s="53" t="n">
        <v>0</v>
      </c>
    </row>
    <row r="22" customFormat="false" ht="15" hidden="false" customHeight="true" outlineLevel="0" collapsed="false">
      <c r="A22" s="19" t="s">
        <v>226</v>
      </c>
      <c r="B22" s="55" t="n">
        <f aca="false">ROUND(4*C22+9*D22+4*E22,0)</f>
        <v>98</v>
      </c>
      <c r="C22" s="53" t="n">
        <v>1.1</v>
      </c>
      <c r="D22" s="53" t="n">
        <v>0.3</v>
      </c>
      <c r="E22" s="53" t="n">
        <v>22.8</v>
      </c>
      <c r="F22" s="53" t="n">
        <v>2.6</v>
      </c>
    </row>
    <row r="23" customFormat="false" ht="15" hidden="false" customHeight="true" outlineLevel="0" collapsed="false">
      <c r="A23" s="19" t="s">
        <v>401</v>
      </c>
      <c r="B23" s="55" t="n">
        <f aca="false">ROUND(4*C23+9*D23+4*E23,0)</f>
        <v>58</v>
      </c>
      <c r="C23" s="53" t="n">
        <v>0.3</v>
      </c>
      <c r="D23" s="53" t="n">
        <v>0.2</v>
      </c>
      <c r="E23" s="53" t="n">
        <v>13.8</v>
      </c>
      <c r="F23" s="53" t="n">
        <v>2.4</v>
      </c>
    </row>
    <row r="24" customFormat="false" ht="15" hidden="false" customHeight="true" outlineLevel="0" collapsed="false">
      <c r="A24" s="19" t="s">
        <v>239</v>
      </c>
      <c r="B24" s="55" t="n">
        <f aca="false">ROUND(4*C24+9*D24+4*E24,0)</f>
        <v>51</v>
      </c>
      <c r="C24" s="53" t="n">
        <v>1</v>
      </c>
      <c r="D24" s="53" t="n">
        <v>0.3</v>
      </c>
      <c r="E24" s="53" t="n">
        <v>11</v>
      </c>
      <c r="F24" s="53" t="n">
        <v>3</v>
      </c>
    </row>
    <row r="25" customFormat="false" ht="15" hidden="false" customHeight="true" outlineLevel="0" collapsed="false">
      <c r="A25" s="19" t="s">
        <v>230</v>
      </c>
      <c r="B25" s="55" t="n">
        <f aca="false">ROUND(4*C25+9*D25+4*E25,0)</f>
        <v>25</v>
      </c>
      <c r="C25" s="53" t="n">
        <v>1.3</v>
      </c>
      <c r="D25" s="53" t="n">
        <v>0.2</v>
      </c>
      <c r="E25" s="53" t="n">
        <v>4.5</v>
      </c>
      <c r="F25" s="53" t="n">
        <v>2</v>
      </c>
    </row>
    <row r="26" customFormat="false" ht="15" hidden="false" customHeight="true" outlineLevel="0" collapsed="false">
      <c r="A26" s="19" t="s">
        <v>235</v>
      </c>
      <c r="B26" s="55" t="n">
        <f aca="false">ROUND(4*C26+9*D26+4*E26,0)</f>
        <v>43</v>
      </c>
      <c r="C26" s="53" t="n">
        <v>2.8</v>
      </c>
      <c r="D26" s="53" t="n">
        <v>0.4</v>
      </c>
      <c r="E26" s="53" t="n">
        <v>7</v>
      </c>
      <c r="F26" s="53" t="n">
        <v>2.6</v>
      </c>
    </row>
    <row r="27" customFormat="false" ht="15" hidden="false" customHeight="true" outlineLevel="0" collapsed="false">
      <c r="A27" s="19" t="s">
        <v>231</v>
      </c>
      <c r="B27" s="55" t="n">
        <f aca="false">ROUND(4*C27+9*D27+4*E27,0)</f>
        <v>900</v>
      </c>
      <c r="C27" s="53" t="n">
        <v>0</v>
      </c>
      <c r="D27" s="53" t="n">
        <v>100</v>
      </c>
      <c r="E27" s="53" t="n">
        <v>0</v>
      </c>
      <c r="F27" s="53" t="n">
        <v>0</v>
      </c>
    </row>
    <row r="28" customFormat="false" ht="15" hidden="false" customHeight="true" outlineLevel="0" collapsed="false">
      <c r="A28" s="19" t="s">
        <v>240</v>
      </c>
      <c r="B28" s="55" t="n">
        <f aca="false">ROUND(4*C28+9*D28+4*E28,0)</f>
        <v>622</v>
      </c>
      <c r="C28" s="53" t="n">
        <v>21</v>
      </c>
      <c r="D28" s="53" t="n">
        <v>50</v>
      </c>
      <c r="E28" s="53" t="n">
        <v>22</v>
      </c>
      <c r="F28" s="53" t="n">
        <v>12.5</v>
      </c>
    </row>
    <row r="29" customFormat="false" ht="15" hidden="false" customHeight="true" outlineLevel="0" collapsed="false">
      <c r="A29" s="19" t="s">
        <v>402</v>
      </c>
      <c r="B29" s="55" t="n">
        <f aca="false">ROUND(4*C29+9*D29+4*E29,0)</f>
        <v>630</v>
      </c>
      <c r="C29" s="53" t="n">
        <v>25</v>
      </c>
      <c r="D29" s="53" t="n">
        <v>50</v>
      </c>
      <c r="E29" s="53" t="n">
        <v>20</v>
      </c>
      <c r="F29" s="53" t="n">
        <v>6</v>
      </c>
    </row>
    <row r="30" customFormat="false" ht="15" hidden="false" customHeight="true" outlineLevel="0" collapsed="false">
      <c r="A30" s="19" t="s">
        <v>237</v>
      </c>
      <c r="B30" s="55" t="n">
        <f aca="false">ROUND(4*C30+9*D30+4*E30,0)</f>
        <v>420</v>
      </c>
      <c r="C30" s="53" t="n">
        <v>80</v>
      </c>
      <c r="D30" s="53" t="n">
        <v>6.7</v>
      </c>
      <c r="E30" s="53" t="n">
        <v>10</v>
      </c>
      <c r="F30" s="53" t="n">
        <v>0</v>
      </c>
    </row>
    <row r="31" customFormat="false" ht="15" hidden="false" customHeight="true" outlineLevel="0" collapsed="false">
      <c r="A31" s="19"/>
      <c r="B31" s="55" t="str">
        <f aca="false">IF(A31="","",ROUND(4*C31+9*D31+4*E31,0))</f>
        <v/>
      </c>
      <c r="C31" s="53"/>
      <c r="D31" s="53"/>
      <c r="E31" s="53"/>
      <c r="F31" s="53"/>
    </row>
    <row r="32" customFormat="false" ht="15" hidden="false" customHeight="true" outlineLevel="0" collapsed="false">
      <c r="A32" s="19"/>
      <c r="B32" s="55" t="str">
        <f aca="false">IF(A32="","",ROUND(4*C32+9*D32+4*E32,0))</f>
        <v/>
      </c>
      <c r="C32" s="53"/>
      <c r="D32" s="53"/>
      <c r="E32" s="53"/>
      <c r="F32" s="53"/>
    </row>
    <row r="33" customFormat="false" ht="15" hidden="false" customHeight="true" outlineLevel="0" collapsed="false">
      <c r="A33" s="19"/>
      <c r="B33" s="55" t="str">
        <f aca="false">IF(A33="","",ROUND(4*C33+9*D33+4*E33,0))</f>
        <v/>
      </c>
      <c r="C33" s="53"/>
      <c r="D33" s="53"/>
      <c r="E33" s="53"/>
      <c r="F33" s="53"/>
    </row>
    <row r="34" customFormat="false" ht="15" hidden="false" customHeight="true" outlineLevel="0" collapsed="false">
      <c r="A34" s="19"/>
      <c r="B34" s="55" t="str">
        <f aca="false">IF(A34="","",ROUND(4*C34+9*D34+4*E34,0))</f>
        <v/>
      </c>
      <c r="C34" s="53"/>
      <c r="D34" s="53"/>
      <c r="E34" s="53"/>
      <c r="F34" s="53"/>
    </row>
    <row r="35" customFormat="false" ht="15" hidden="false" customHeight="true" outlineLevel="0" collapsed="false">
      <c r="A35" s="19"/>
      <c r="B35" s="55" t="str">
        <f aca="false">IF(A35="","",ROUND(4*C35+9*D35+4*E35,0))</f>
        <v/>
      </c>
      <c r="C35" s="53"/>
      <c r="D35" s="53"/>
      <c r="E35" s="53"/>
      <c r="F35" s="53"/>
    </row>
    <row r="36" customFormat="false" ht="15" hidden="false" customHeight="true" outlineLevel="0" collapsed="false">
      <c r="A36" s="19"/>
      <c r="B36" s="55" t="str">
        <f aca="false">IF(A36="","",ROUND(4*C36+9*D36+4*E36,0))</f>
        <v/>
      </c>
      <c r="C36" s="53"/>
      <c r="D36" s="53"/>
      <c r="E36" s="53"/>
      <c r="F36" s="53"/>
    </row>
    <row r="37" customFormat="false" ht="15" hidden="false" customHeight="true" outlineLevel="0" collapsed="false">
      <c r="A37" s="19"/>
      <c r="B37" s="55" t="str">
        <f aca="false">IF(A37="","",ROUND(4*C37+9*D37+4*E37,0))</f>
        <v/>
      </c>
      <c r="C37" s="53"/>
      <c r="D37" s="53"/>
      <c r="E37" s="53"/>
      <c r="F37" s="53"/>
    </row>
    <row r="38" customFormat="false" ht="15" hidden="false" customHeight="true" outlineLevel="0" collapsed="false">
      <c r="A38" s="19"/>
      <c r="B38" s="55" t="str">
        <f aca="false">IF(A38="","",ROUND(4*C38+9*D38+4*E38,0))</f>
        <v/>
      </c>
      <c r="C38" s="53"/>
      <c r="D38" s="53"/>
      <c r="E38" s="53"/>
      <c r="F38" s="53"/>
    </row>
    <row r="39" customFormat="false" ht="15" hidden="false" customHeight="true" outlineLevel="0" collapsed="false">
      <c r="A39" s="19"/>
      <c r="B39" s="55" t="str">
        <f aca="false">IF(A39="","",ROUND(4*C39+9*D39+4*E39,0))</f>
        <v/>
      </c>
      <c r="C39" s="53"/>
      <c r="D39" s="53"/>
      <c r="E39" s="53"/>
      <c r="F39" s="53"/>
    </row>
    <row r="40" customFormat="false" ht="15" hidden="false" customHeight="true" outlineLevel="0" collapsed="false">
      <c r="A40" s="19"/>
      <c r="B40" s="55" t="str">
        <f aca="false">IF(A40="","",ROUND(4*C40+9*D40+4*E40,0))</f>
        <v/>
      </c>
      <c r="C40" s="53"/>
      <c r="D40" s="53"/>
      <c r="E40" s="53"/>
      <c r="F40" s="53"/>
    </row>
    <row r="41" customFormat="false" ht="15" hidden="false" customHeight="true" outlineLevel="0" collapsed="false">
      <c r="A41" s="19"/>
      <c r="B41" s="55" t="str">
        <f aca="false">IF(A41="","",ROUND(4*C41+9*D41+4*E41,0))</f>
        <v/>
      </c>
      <c r="C41" s="53"/>
      <c r="D41" s="53"/>
      <c r="E41" s="53"/>
      <c r="F41" s="53"/>
    </row>
    <row r="42" customFormat="false" ht="15" hidden="false" customHeight="true" outlineLevel="0" collapsed="false">
      <c r="A42" s="19"/>
      <c r="B42" s="55" t="str">
        <f aca="false">IF(A42="","",ROUND(4*C42+9*D42+4*E42,0))</f>
        <v/>
      </c>
      <c r="C42" s="53"/>
      <c r="D42" s="53"/>
      <c r="E42" s="53"/>
      <c r="F42" s="53"/>
    </row>
    <row r="43" customFormat="false" ht="15" hidden="false" customHeight="true" outlineLevel="0" collapsed="false">
      <c r="A43" s="19"/>
      <c r="B43" s="55" t="str">
        <f aca="false">IF(A43="","",ROUND(4*C43+9*D43+4*E43,0))</f>
        <v/>
      </c>
      <c r="C43" s="53"/>
      <c r="D43" s="53"/>
      <c r="E43" s="53"/>
      <c r="F43" s="53"/>
    </row>
    <row r="44" customFormat="false" ht="15" hidden="false" customHeight="true" outlineLevel="0" collapsed="false">
      <c r="A44" s="19"/>
      <c r="B44" s="55" t="str">
        <f aca="false">IF(A44="","",ROUND(4*C44+9*D44+4*E44,0))</f>
        <v/>
      </c>
      <c r="C44" s="53"/>
      <c r="D44" s="53"/>
      <c r="E44" s="53"/>
      <c r="F44" s="53"/>
    </row>
    <row r="45" customFormat="false" ht="15" hidden="false" customHeight="true" outlineLevel="0" collapsed="false">
      <c r="A45" s="19"/>
      <c r="B45" s="55" t="str">
        <f aca="false">IF(A45="","",ROUND(4*C45+9*D45+4*E45,0))</f>
        <v/>
      </c>
      <c r="C45" s="53"/>
      <c r="D45" s="53"/>
      <c r="E45" s="53"/>
      <c r="F45" s="53"/>
    </row>
    <row r="46" customFormat="false" ht="15" hidden="false" customHeight="true" outlineLevel="0" collapsed="false">
      <c r="A46" s="19"/>
      <c r="B46" s="55" t="str">
        <f aca="false">IF(A46="","",ROUND(4*C46+9*D46+4*E46,0))</f>
        <v/>
      </c>
      <c r="C46" s="53"/>
      <c r="D46" s="53"/>
      <c r="E46" s="53"/>
      <c r="F46" s="53"/>
    </row>
    <row r="47" customFormat="false" ht="15" hidden="false" customHeight="true" outlineLevel="0" collapsed="false">
      <c r="A47" s="19"/>
      <c r="B47" s="55" t="str">
        <f aca="false">IF(A47="","",ROUND(4*C47+9*D47+4*E47,0))</f>
        <v/>
      </c>
      <c r="C47" s="53"/>
      <c r="D47" s="53"/>
      <c r="E47" s="53"/>
      <c r="F47" s="53"/>
    </row>
    <row r="48" customFormat="false" ht="15" hidden="false" customHeight="true" outlineLevel="0" collapsed="false">
      <c r="A48" s="19"/>
      <c r="B48" s="55" t="str">
        <f aca="false">IF(A48="","",ROUND(4*C48+9*D48+4*E48,0))</f>
        <v/>
      </c>
      <c r="C48" s="53"/>
      <c r="D48" s="53"/>
      <c r="E48" s="53"/>
      <c r="F48" s="53"/>
    </row>
    <row r="49" customFormat="false" ht="15" hidden="false" customHeight="true" outlineLevel="0" collapsed="false">
      <c r="A49" s="19"/>
      <c r="B49" s="55" t="str">
        <f aca="false">IF(A49="","",ROUND(4*C49+9*D49+4*E49,0))</f>
        <v/>
      </c>
      <c r="C49" s="53"/>
      <c r="D49" s="53"/>
      <c r="E49" s="53"/>
      <c r="F49" s="53"/>
    </row>
    <row r="50" customFormat="false" ht="15" hidden="false" customHeight="true" outlineLevel="0" collapsed="false">
      <c r="A50" s="19"/>
      <c r="B50" s="55" t="str">
        <f aca="false">IF(A50="","",ROUND(4*C50+9*D50+4*E50,0))</f>
        <v/>
      </c>
      <c r="C50" s="53"/>
      <c r="D50" s="53"/>
      <c r="E50" s="53"/>
      <c r="F50" s="53"/>
    </row>
    <row r="51" customFormat="false" ht="15" hidden="false" customHeight="true" outlineLevel="0" collapsed="false">
      <c r="A51" s="19"/>
      <c r="B51" s="55" t="str">
        <f aca="false">IF(A51="","",ROUND(4*C51+9*D51+4*E51,0))</f>
        <v/>
      </c>
      <c r="C51" s="53"/>
      <c r="D51" s="53"/>
      <c r="E51" s="53"/>
      <c r="F51" s="53"/>
    </row>
    <row r="52" customFormat="false" ht="15" hidden="false" customHeight="true" outlineLevel="0" collapsed="false">
      <c r="A52" s="19"/>
      <c r="B52" s="55" t="str">
        <f aca="false">IF(A52="","",ROUND(4*C52+9*D52+4*E52,0))</f>
        <v/>
      </c>
      <c r="C52" s="53"/>
      <c r="D52" s="53"/>
      <c r="E52" s="53"/>
      <c r="F52" s="53"/>
    </row>
    <row r="53" customFormat="false" ht="15" hidden="false" customHeight="true" outlineLevel="0" collapsed="false">
      <c r="A53" s="19"/>
      <c r="B53" s="55" t="str">
        <f aca="false">IF(A53="","",ROUND(4*C53+9*D53+4*E53,0))</f>
        <v/>
      </c>
      <c r="C53" s="53"/>
      <c r="D53" s="53"/>
      <c r="E53" s="53"/>
      <c r="F53" s="53"/>
    </row>
    <row r="54" customFormat="false" ht="15" hidden="false" customHeight="true" outlineLevel="0" collapsed="false">
      <c r="A54" s="19"/>
      <c r="B54" s="55" t="str">
        <f aca="false">IF(A54="","",ROUND(4*C54+9*D54+4*E54,0))</f>
        <v/>
      </c>
      <c r="C54" s="53"/>
      <c r="D54" s="53"/>
      <c r="E54" s="53"/>
      <c r="F54" s="53"/>
    </row>
    <row r="55" customFormat="false" ht="15" hidden="false" customHeight="true" outlineLevel="0" collapsed="false">
      <c r="A55" s="19"/>
      <c r="B55" s="55" t="str">
        <f aca="false">IF(A55="","",ROUND(4*C55+9*D55+4*E55,0))</f>
        <v/>
      </c>
      <c r="C55" s="53"/>
      <c r="D55" s="53"/>
      <c r="E55" s="53"/>
      <c r="F55" s="53"/>
    </row>
    <row r="56" customFormat="false" ht="15" hidden="false" customHeight="true" outlineLevel="0" collapsed="false">
      <c r="A56" s="19"/>
      <c r="B56" s="55" t="str">
        <f aca="false">IF(A56="","",ROUND(4*C56+9*D56+4*E56,0))</f>
        <v/>
      </c>
      <c r="C56" s="53"/>
      <c r="D56" s="53"/>
      <c r="E56" s="53"/>
      <c r="F56" s="53"/>
    </row>
    <row r="57" customFormat="false" ht="15" hidden="false" customHeight="true" outlineLevel="0" collapsed="false">
      <c r="A57" s="19"/>
      <c r="B57" s="55" t="str">
        <f aca="false">IF(A57="","",ROUND(4*C57+9*D57+4*E57,0))</f>
        <v/>
      </c>
      <c r="C57" s="53"/>
      <c r="D57" s="53"/>
      <c r="E57" s="53"/>
      <c r="F57" s="53"/>
    </row>
    <row r="58" customFormat="false" ht="15" hidden="false" customHeight="true" outlineLevel="0" collapsed="false">
      <c r="A58" s="19"/>
      <c r="B58" s="55" t="str">
        <f aca="false">IF(A58="","",ROUND(4*C58+9*D58+4*E58,0))</f>
        <v/>
      </c>
      <c r="C58" s="53"/>
      <c r="D58" s="53"/>
      <c r="E58" s="53"/>
      <c r="F58" s="53"/>
    </row>
    <row r="59" customFormat="false" ht="15" hidden="false" customHeight="true" outlineLevel="0" collapsed="false">
      <c r="A59" s="19"/>
      <c r="B59" s="55" t="str">
        <f aca="false">IF(A59="","",ROUND(4*C59+9*D59+4*E59,0))</f>
        <v/>
      </c>
      <c r="C59" s="53"/>
      <c r="D59" s="53"/>
      <c r="E59" s="53"/>
      <c r="F59" s="53"/>
    </row>
    <row r="60" customFormat="false" ht="15" hidden="false" customHeight="true" outlineLevel="0" collapsed="false">
      <c r="A60" s="19"/>
      <c r="B60" s="55" t="str">
        <f aca="false">IF(A60="","",ROUND(4*C60+9*D60+4*E60,0))</f>
        <v/>
      </c>
      <c r="C60" s="53"/>
      <c r="D60" s="53"/>
      <c r="E60" s="53"/>
      <c r="F60" s="53"/>
    </row>
    <row r="62" customFormat="false" ht="15" hidden="false" customHeight="true" outlineLevel="0" collapsed="false">
      <c r="A62" s="59" t="s">
        <v>403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14"/>
    <col collapsed="false" customWidth="true" hidden="false" outlineLevel="0" max="4" min="4" style="1" width="10"/>
    <col collapsed="false" customWidth="true" hidden="false" outlineLevel="0" max="5" min="5" style="1" width="13"/>
    <col collapsed="false" customWidth="true" hidden="false" outlineLevel="0" max="7" min="6" style="1" width="10"/>
    <col collapsed="false" customWidth="true" hidden="false" outlineLevel="0" max="8" min="8" style="1" width="14"/>
    <col collapsed="false" customWidth="true" hidden="false" outlineLevel="0" max="9" min="9" style="1" width="11"/>
    <col collapsed="false" customWidth="true" hidden="false" outlineLevel="0" max="10" min="10" style="1" width="10"/>
  </cols>
  <sheetData>
    <row r="1" customFormat="false" ht="17.25" hidden="false" customHeight="true" outlineLevel="0" collapsed="false">
      <c r="A1" s="2" t="s">
        <v>404</v>
      </c>
    </row>
    <row r="2" customFormat="false" ht="37.5" hidden="false" customHeight="true" outlineLevel="0" collapsed="false">
      <c r="A2" s="3" t="s">
        <v>405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23" t="s">
        <v>406</v>
      </c>
      <c r="B3" s="60" t="n">
        <f aca="false">_xlfn.MAXIFS(Питание!$A$14:$A$378,Питание!$B$14:$B$378,"&gt;0")</f>
        <v>46298</v>
      </c>
    </row>
    <row r="4" customFormat="false" ht="15" hidden="false" customHeight="true" outlineLevel="0" collapsed="false">
      <c r="A4" s="23" t="s">
        <v>407</v>
      </c>
      <c r="B4" s="60" t="n">
        <f aca="false">_xlfn.MAXIFS(Питание!$A$14:$A$378,Питание!$C$14:$C$378,"&gt;0")</f>
        <v>46298</v>
      </c>
    </row>
    <row r="5" customFormat="false" ht="15" hidden="false" customHeight="true" outlineLevel="0" collapsed="false">
      <c r="A5" s="23" t="s">
        <v>408</v>
      </c>
      <c r="B5" s="60" t="n">
        <f aca="false">_xlfn.MAXIFS(Тренировки!$A$6:$A$2005,Тренировки!$F$6:$F$2005,"&gt;0")</f>
        <v>46226</v>
      </c>
    </row>
    <row r="6" customFormat="false" ht="15" hidden="false" customHeight="true" outlineLevel="0" collapsed="false">
      <c r="A6" s="23" t="s">
        <v>409</v>
      </c>
      <c r="B6" s="60" t="n">
        <f aca="false">MAX(StartDate,MAX(LastWD,LastFD)-89)</f>
        <v>46294</v>
      </c>
    </row>
    <row r="7" customFormat="false" ht="15" hidden="false" customHeight="true" outlineLevel="0" collapsed="false">
      <c r="A7" s="23" t="s">
        <v>410</v>
      </c>
      <c r="B7" s="60" t="n">
        <f aca="false">MAX(StartDate,LastTD-7*19)</f>
        <v>46294</v>
      </c>
    </row>
    <row r="10" customFormat="false" ht="15" hidden="false" customHeight="true" outlineLevel="0" collapsed="false">
      <c r="A10" s="6" t="s">
        <v>22</v>
      </c>
      <c r="B10" s="6" t="s">
        <v>14</v>
      </c>
      <c r="C10" s="6" t="s">
        <v>411</v>
      </c>
      <c r="D10" s="6" t="s">
        <v>4</v>
      </c>
      <c r="E10" s="6" t="s">
        <v>30</v>
      </c>
      <c r="F10" s="6" t="s">
        <v>412</v>
      </c>
      <c r="G10" s="6" t="s">
        <v>413</v>
      </c>
      <c r="H10" s="6" t="s">
        <v>414</v>
      </c>
      <c r="I10" s="6" t="s">
        <v>415</v>
      </c>
      <c r="J10" s="6" t="s">
        <v>416</v>
      </c>
    </row>
    <row r="11" customFormat="false" ht="15" hidden="false" customHeight="true" outlineLevel="0" collapsed="false">
      <c r="A11" s="61" t="n">
        <f aca="false">ChartStart</f>
        <v>46294</v>
      </c>
      <c r="B11" s="62" t="n">
        <f aca="false">IF($J11="",NA(),IF(INDEX(Питание!$B$14:$B$378,$J11)="",NA(),INDEX(Питание!$B$14:$B$378,$J11)))</f>
        <v>82.5</v>
      </c>
      <c r="C11" s="62" t="n">
        <f aca="false">IF($J11="",NA(),IF(INDEX(Питание!$O$14:$O$378,$J11)="",NA(),INDEX(Питание!$O$14:$O$378,$J11)))</f>
        <v>82.5</v>
      </c>
      <c r="D11" s="62" t="n">
        <f aca="false">IF($J11="",NA(),IF(INDEX(Питание!$C$14:$C$378,$J11)="",NA(),INDEX(Питание!$C$14:$C$378,$J11)))</f>
        <v>2180</v>
      </c>
      <c r="E11" s="62" t="n">
        <f aca="false">IF($J11="",NA(),IF(INDEX(Питание!$P$14:$P$378,$J11)="",NA(),INDEX(Питание!$P$14:$P$378,$J11)))</f>
        <v>2180</v>
      </c>
      <c r="F11" s="55" t="n">
        <f aca="false">TargetKcal</f>
        <v>2200</v>
      </c>
      <c r="G11" s="62" t="n">
        <f aca="false">IF($J11="",NA(),IF(INDEX(Питание!$D$14:$D$378,$J11)="",NA(),INDEX(Питание!$D$14:$D$378,$J11)))</f>
        <v>165</v>
      </c>
      <c r="H11" s="62" t="n">
        <f aca="false">IF($J11="",NA(),IF(INDEX(Питание!$Q$14:$Q$378,$J11)="",NA(),INDEX(Питание!$Q$14:$Q$378,$J11)))</f>
        <v>165</v>
      </c>
      <c r="I11" s="55" t="n">
        <f aca="false">TargetProtein</f>
        <v>165</v>
      </c>
      <c r="J11" s="23" t="n">
        <f aca="false">IFERROR(MATCH($A11,Питание!$A$14:$A$378,0),"")</f>
        <v>1</v>
      </c>
    </row>
    <row r="12" customFormat="false" ht="15" hidden="false" customHeight="true" outlineLevel="0" collapsed="false">
      <c r="A12" s="61" t="n">
        <f aca="false">A11+1</f>
        <v>46295</v>
      </c>
      <c r="B12" s="62" t="n">
        <f aca="false">IF($J12="",NA(),IF(INDEX(Питание!$B$14:$B$378,$J12)="",NA(),INDEX(Питание!$B$14:$B$378,$J12)))</f>
        <v>82.3</v>
      </c>
      <c r="C12" s="62" t="n">
        <f aca="false">IF($J12="",NA(),IF(INDEX(Питание!$O$14:$O$378,$J12)="",NA(),INDEX(Питание!$O$14:$O$378,$J12)))</f>
        <v>82.4</v>
      </c>
      <c r="D12" s="62" t="n">
        <f aca="false">IF($J12="",NA(),IF(INDEX(Питание!$C$14:$C$378,$J12)="",NA(),INDEX(Питание!$C$14:$C$378,$J12)))</f>
        <v>2160</v>
      </c>
      <c r="E12" s="62" t="n">
        <f aca="false">IF($J12="",NA(),IF(INDEX(Питание!$P$14:$P$378,$J12)="",NA(),INDEX(Питание!$P$14:$P$378,$J12)))</f>
        <v>2170</v>
      </c>
      <c r="F12" s="55" t="n">
        <f aca="false">TargetKcal</f>
        <v>2200</v>
      </c>
      <c r="G12" s="62" t="n">
        <f aca="false">IF($J12="",NA(),IF(INDEX(Питание!$D$14:$D$378,$J12)="",NA(),INDEX(Питание!$D$14:$D$378,$J12)))</f>
        <v>165</v>
      </c>
      <c r="H12" s="62" t="n">
        <f aca="false">IF($J12="",NA(),IF(INDEX(Питание!$Q$14:$Q$378,$J12)="",NA(),INDEX(Питание!$Q$14:$Q$378,$J12)))</f>
        <v>165</v>
      </c>
      <c r="I12" s="55" t="n">
        <f aca="false">TargetProtein</f>
        <v>165</v>
      </c>
      <c r="J12" s="23" t="n">
        <f aca="false">IFERROR(MATCH($A12,Питание!$A$14:$A$378,0),"")</f>
        <v>2</v>
      </c>
    </row>
    <row r="13" customFormat="false" ht="15" hidden="false" customHeight="true" outlineLevel="0" collapsed="false">
      <c r="A13" s="61" t="n">
        <f aca="false">A12+1</f>
        <v>46296</v>
      </c>
      <c r="B13" s="62" t="n">
        <f aca="false">IF($J13="",NA(),IF(INDEX(Питание!$B$14:$B$378,$J13)="",NA(),INDEX(Питание!$B$14:$B$378,$J13)))</f>
        <v>82.6</v>
      </c>
      <c r="C13" s="62" t="n">
        <f aca="false">IF($J13="",NA(),IF(INDEX(Питание!$O$14:$O$378,$J13)="",NA(),INDEX(Питание!$O$14:$O$378,$J13)))</f>
        <v>82.4666666666667</v>
      </c>
      <c r="D13" s="62" t="n">
        <f aca="false">IF($J13="",NA(),IF(INDEX(Питание!$C$14:$C$378,$J13)="",NA(),INDEX(Питание!$C$14:$C$378,$J13)))</f>
        <v>2140</v>
      </c>
      <c r="E13" s="62" t="n">
        <f aca="false">IF($J13="",NA(),IF(INDEX(Питание!$P$14:$P$378,$J13)="",NA(),INDEX(Питание!$P$14:$P$378,$J13)))</f>
        <v>2160</v>
      </c>
      <c r="F13" s="55" t="n">
        <f aca="false">TargetKcal</f>
        <v>2200</v>
      </c>
      <c r="G13" s="62" t="n">
        <f aca="false">IF($J13="",NA(),IF(INDEX(Питание!$D$14:$D$378,$J13)="",NA(),INDEX(Питание!$D$14:$D$378,$J13)))</f>
        <v>165</v>
      </c>
      <c r="H13" s="62" t="n">
        <f aca="false">IF($J13="",NA(),IF(INDEX(Питание!$Q$14:$Q$378,$J13)="",NA(),INDEX(Питание!$Q$14:$Q$378,$J13)))</f>
        <v>165</v>
      </c>
      <c r="I13" s="55" t="n">
        <f aca="false">TargetProtein</f>
        <v>165</v>
      </c>
      <c r="J13" s="23" t="n">
        <f aca="false">IFERROR(MATCH($A13,Питание!$A$14:$A$378,0),"")</f>
        <v>3</v>
      </c>
    </row>
    <row r="14" customFormat="false" ht="15" hidden="false" customHeight="true" outlineLevel="0" collapsed="false">
      <c r="A14" s="61" t="n">
        <f aca="false">A13+1</f>
        <v>46297</v>
      </c>
      <c r="B14" s="62" t="n">
        <f aca="false">IF($J14="",NA(),IF(INDEX(Питание!$B$14:$B$378,$J14)="",NA(),INDEX(Питание!$B$14:$B$378,$J14)))</f>
        <v>82.2</v>
      </c>
      <c r="C14" s="62" t="n">
        <f aca="false">IF($J14="",NA(),IF(INDEX(Питание!$O$14:$O$378,$J14)="",NA(),INDEX(Питание!$O$14:$O$378,$J14)))</f>
        <v>82.4</v>
      </c>
      <c r="D14" s="62" t="n">
        <f aca="false">IF($J14="",NA(),IF(INDEX(Питание!$C$14:$C$378,$J14)="",NA(),INDEX(Питание!$C$14:$C$378,$J14)))</f>
        <v>2120</v>
      </c>
      <c r="E14" s="62" t="n">
        <f aca="false">IF($J14="",NA(),IF(INDEX(Питание!$P$14:$P$378,$J14)="",NA(),INDEX(Питание!$P$14:$P$378,$J14)))</f>
        <v>2150</v>
      </c>
      <c r="F14" s="55" t="n">
        <f aca="false">TargetKcal</f>
        <v>2200</v>
      </c>
      <c r="G14" s="62" t="n">
        <f aca="false">IF($J14="",NA(),IF(INDEX(Питание!$D$14:$D$378,$J14)="",NA(),INDEX(Питание!$D$14:$D$378,$J14)))</f>
        <v>165</v>
      </c>
      <c r="H14" s="62" t="n">
        <f aca="false">IF($J14="",NA(),IF(INDEX(Питание!$Q$14:$Q$378,$J14)="",NA(),INDEX(Питание!$Q$14:$Q$378,$J14)))</f>
        <v>165</v>
      </c>
      <c r="I14" s="55" t="n">
        <f aca="false">TargetProtein</f>
        <v>165</v>
      </c>
      <c r="J14" s="23" t="n">
        <f aca="false">IFERROR(MATCH($A14,Питание!$A$14:$A$378,0),"")</f>
        <v>4</v>
      </c>
    </row>
    <row r="15" customFormat="false" ht="15" hidden="false" customHeight="true" outlineLevel="0" collapsed="false">
      <c r="A15" s="61" t="n">
        <f aca="false">A14+1</f>
        <v>46298</v>
      </c>
      <c r="B15" s="62" t="n">
        <f aca="false">IF($J15="",NA(),IF(INDEX(Питание!$B$14:$B$378,$J15)="",NA(),INDEX(Питание!$B$14:$B$378,$J15)))</f>
        <v>82.1</v>
      </c>
      <c r="C15" s="62" t="n">
        <f aca="false">IF($J15="",NA(),IF(INDEX(Питание!$O$14:$O$378,$J15)="",NA(),INDEX(Питание!$O$14:$O$378,$J15)))</f>
        <v>82.34</v>
      </c>
      <c r="D15" s="62" t="n">
        <f aca="false">IF($J15="",NA(),IF(INDEX(Питание!$C$14:$C$378,$J15)="",NA(),INDEX(Питание!$C$14:$C$378,$J15)))</f>
        <v>2100</v>
      </c>
      <c r="E15" s="62" t="n">
        <f aca="false">IF($J15="",NA(),IF(INDEX(Питание!$P$14:$P$378,$J15)="",NA(),INDEX(Питание!$P$14:$P$378,$J15)))</f>
        <v>2140</v>
      </c>
      <c r="F15" s="55" t="n">
        <f aca="false">TargetKcal</f>
        <v>2200</v>
      </c>
      <c r="G15" s="62" t="n">
        <f aca="false">IF($J15="",NA(),IF(INDEX(Питание!$D$14:$D$378,$J15)="",NA(),INDEX(Питание!$D$14:$D$378,$J15)))</f>
        <v>165</v>
      </c>
      <c r="H15" s="62" t="n">
        <f aca="false">IF($J15="",NA(),IF(INDEX(Питание!$Q$14:$Q$378,$J15)="",NA(),INDEX(Питание!$Q$14:$Q$378,$J15)))</f>
        <v>165</v>
      </c>
      <c r="I15" s="55" t="n">
        <f aca="false">TargetProtein</f>
        <v>165</v>
      </c>
      <c r="J15" s="23" t="n">
        <f aca="false">IFERROR(MATCH($A15,Питание!$A$14:$A$378,0),"")</f>
        <v>5</v>
      </c>
    </row>
    <row r="16" customFormat="false" ht="15" hidden="false" customHeight="true" outlineLevel="0" collapsed="false">
      <c r="A16" s="61" t="n">
        <f aca="false">A15+1</f>
        <v>46299</v>
      </c>
      <c r="B16" s="62" t="str">
        <f aca="false">IF($J16="",NA(),IF(INDEX(Питание!$B$14:$B$378,$J16)="",NA(),INDEX(Питание!$B$14:$B$378,$J16)))</f>
        <v>abc</v>
      </c>
      <c r="C16" s="62" t="n">
        <f aca="false">IF($J16="",NA(),IF(INDEX(Питание!$O$14:$O$378,$J16)="",NA(),INDEX(Питание!$O$14:$O$378,$J16)))</f>
        <v>82.34</v>
      </c>
      <c r="D16" s="62" t="e">
        <f aca="false">IF($J16="",NA(),IF(INDEX(Питание!$C$14:$C$378,$J16)="",NA(),INDEX(Питание!$C$14:$C$378,$J16)))</f>
        <v>#N/A</v>
      </c>
      <c r="E16" s="62" t="e">
        <f aca="false">IF($J16="",NA(),IF(INDEX(Питание!$P$14:$P$378,$J16)="",NA(),INDEX(Питание!$P$14:$P$378,$J16)))</f>
        <v>#N/A</v>
      </c>
      <c r="F16" s="55" t="n">
        <f aca="false">TargetKcal</f>
        <v>2200</v>
      </c>
      <c r="G16" s="62" t="e">
        <f aca="false">IF($J16="",NA(),IF(INDEX(Питание!$D$14:$D$378,$J16)="",NA(),INDEX(Питание!$D$14:$D$378,$J16)))</f>
        <v>#N/A</v>
      </c>
      <c r="H16" s="62" t="e">
        <f aca="false">IF($J16="",NA(),IF(INDEX(Питание!$Q$14:$Q$378,$J16)="",NA(),INDEX(Питание!$Q$14:$Q$378,$J16)))</f>
        <v>#N/A</v>
      </c>
      <c r="I16" s="55" t="n">
        <f aca="false">TargetProtein</f>
        <v>165</v>
      </c>
      <c r="J16" s="23" t="n">
        <f aca="false">IFERROR(MATCH($A16,Питание!$A$14:$A$378,0),"")</f>
        <v>6</v>
      </c>
    </row>
    <row r="17" customFormat="false" ht="15" hidden="false" customHeight="true" outlineLevel="0" collapsed="false">
      <c r="A17" s="61" t="n">
        <f aca="false">A16+1</f>
        <v>46300</v>
      </c>
      <c r="B17" s="62" t="e">
        <f aca="false">IF($J17="",NA(),IF(INDEX(Питание!$B$14:$B$378,$J17)="",NA(),INDEX(Питание!$B$14:$B$378,$J17)))</f>
        <v>#N/A</v>
      </c>
      <c r="C17" s="62" t="e">
        <f aca="false">IF($J17="",NA(),IF(INDEX(Питание!$O$14:$O$378,$J17)="",NA(),INDEX(Питание!$O$14:$O$378,$J17)))</f>
        <v>#N/A</v>
      </c>
      <c r="D17" s="62" t="e">
        <f aca="false">IF($J17="",NA(),IF(INDEX(Питание!$C$14:$C$378,$J17)="",NA(),INDEX(Питание!$C$14:$C$378,$J17)))</f>
        <v>#N/A</v>
      </c>
      <c r="E17" s="62" t="e">
        <f aca="false">IF($J17="",NA(),IF(INDEX(Питание!$P$14:$P$378,$J17)="",NA(),INDEX(Питание!$P$14:$P$378,$J17)))</f>
        <v>#N/A</v>
      </c>
      <c r="F17" s="55" t="n">
        <f aca="false">TargetKcal</f>
        <v>2200</v>
      </c>
      <c r="G17" s="62" t="e">
        <f aca="false">IF($J17="",NA(),IF(INDEX(Питание!$D$14:$D$378,$J17)="",NA(),INDEX(Питание!$D$14:$D$378,$J17)))</f>
        <v>#N/A</v>
      </c>
      <c r="H17" s="62" t="e">
        <f aca="false">IF($J17="",NA(),IF(INDEX(Питание!$Q$14:$Q$378,$J17)="",NA(),INDEX(Питание!$Q$14:$Q$378,$J17)))</f>
        <v>#N/A</v>
      </c>
      <c r="I17" s="55" t="n">
        <f aca="false">TargetProtein</f>
        <v>165</v>
      </c>
      <c r="J17" s="23" t="n">
        <f aca="false">IFERROR(MATCH($A17,Питание!$A$14:$A$378,0),"")</f>
        <v>7</v>
      </c>
    </row>
    <row r="18" customFormat="false" ht="15" hidden="false" customHeight="true" outlineLevel="0" collapsed="false">
      <c r="A18" s="61" t="n">
        <f aca="false">A17+1</f>
        <v>46301</v>
      </c>
      <c r="B18" s="62" t="e">
        <f aca="false">IF($J18="",NA(),IF(INDEX(Питание!$B$14:$B$378,$J18)="",NA(),INDEX(Питание!$B$14:$B$378,$J18)))</f>
        <v>#N/A</v>
      </c>
      <c r="C18" s="62" t="e">
        <f aca="false">IF($J18="",NA(),IF(INDEX(Питание!$O$14:$O$378,$J18)="",NA(),INDEX(Питание!$O$14:$O$378,$J18)))</f>
        <v>#N/A</v>
      </c>
      <c r="D18" s="62" t="e">
        <f aca="false">IF($J18="",NA(),IF(INDEX(Питание!$C$14:$C$378,$J18)="",NA(),INDEX(Питание!$C$14:$C$378,$J18)))</f>
        <v>#N/A</v>
      </c>
      <c r="E18" s="62" t="e">
        <f aca="false">IF($J18="",NA(),IF(INDEX(Питание!$P$14:$P$378,$J18)="",NA(),INDEX(Питание!$P$14:$P$378,$J18)))</f>
        <v>#N/A</v>
      </c>
      <c r="F18" s="55" t="n">
        <f aca="false">TargetKcal</f>
        <v>2200</v>
      </c>
      <c r="G18" s="62" t="e">
        <f aca="false">IF($J18="",NA(),IF(INDEX(Питание!$D$14:$D$378,$J18)="",NA(),INDEX(Питание!$D$14:$D$378,$J18)))</f>
        <v>#N/A</v>
      </c>
      <c r="H18" s="62" t="e">
        <f aca="false">IF($J18="",NA(),IF(INDEX(Питание!$Q$14:$Q$378,$J18)="",NA(),INDEX(Питание!$Q$14:$Q$378,$J18)))</f>
        <v>#N/A</v>
      </c>
      <c r="I18" s="55" t="n">
        <f aca="false">TargetProtein</f>
        <v>165</v>
      </c>
      <c r="J18" s="23" t="n">
        <f aca="false">IFERROR(MATCH($A18,Питание!$A$14:$A$378,0),"")</f>
        <v>8</v>
      </c>
    </row>
    <row r="19" customFormat="false" ht="15" hidden="false" customHeight="true" outlineLevel="0" collapsed="false">
      <c r="A19" s="61" t="n">
        <f aca="false">A18+1</f>
        <v>46302</v>
      </c>
      <c r="B19" s="62" t="e">
        <f aca="false">IF($J19="",NA(),IF(INDEX(Питание!$B$14:$B$378,$J19)="",NA(),INDEX(Питание!$B$14:$B$378,$J19)))</f>
        <v>#N/A</v>
      </c>
      <c r="C19" s="62" t="e">
        <f aca="false">IF($J19="",NA(),IF(INDEX(Питание!$O$14:$O$378,$J19)="",NA(),INDEX(Питание!$O$14:$O$378,$J19)))</f>
        <v>#N/A</v>
      </c>
      <c r="D19" s="62" t="e">
        <f aca="false">IF($J19="",NA(),IF(INDEX(Питание!$C$14:$C$378,$J19)="",NA(),INDEX(Питание!$C$14:$C$378,$J19)))</f>
        <v>#N/A</v>
      </c>
      <c r="E19" s="62" t="e">
        <f aca="false">IF($J19="",NA(),IF(INDEX(Питание!$P$14:$P$378,$J19)="",NA(),INDEX(Питание!$P$14:$P$378,$J19)))</f>
        <v>#N/A</v>
      </c>
      <c r="F19" s="55" t="n">
        <f aca="false">TargetKcal</f>
        <v>2200</v>
      </c>
      <c r="G19" s="62" t="e">
        <f aca="false">IF($J19="",NA(),IF(INDEX(Питание!$D$14:$D$378,$J19)="",NA(),INDEX(Питание!$D$14:$D$378,$J19)))</f>
        <v>#N/A</v>
      </c>
      <c r="H19" s="62" t="e">
        <f aca="false">IF($J19="",NA(),IF(INDEX(Питание!$Q$14:$Q$378,$J19)="",NA(),INDEX(Питание!$Q$14:$Q$378,$J19)))</f>
        <v>#N/A</v>
      </c>
      <c r="I19" s="55" t="n">
        <f aca="false">TargetProtein</f>
        <v>165</v>
      </c>
      <c r="J19" s="23" t="n">
        <f aca="false">IFERROR(MATCH($A19,Питание!$A$14:$A$378,0),"")</f>
        <v>9</v>
      </c>
    </row>
    <row r="20" customFormat="false" ht="15" hidden="false" customHeight="true" outlineLevel="0" collapsed="false">
      <c r="A20" s="61" t="n">
        <f aca="false">A19+1</f>
        <v>46303</v>
      </c>
      <c r="B20" s="62" t="e">
        <f aca="false">IF($J20="",NA(),IF(INDEX(Питание!$B$14:$B$378,$J20)="",NA(),INDEX(Питание!$B$14:$B$378,$J20)))</f>
        <v>#N/A</v>
      </c>
      <c r="C20" s="62" t="e">
        <f aca="false">IF($J20="",NA(),IF(INDEX(Питание!$O$14:$O$378,$J20)="",NA(),INDEX(Питание!$O$14:$O$378,$J20)))</f>
        <v>#N/A</v>
      </c>
      <c r="D20" s="62" t="e">
        <f aca="false">IF($J20="",NA(),IF(INDEX(Питание!$C$14:$C$378,$J20)="",NA(),INDEX(Питание!$C$14:$C$378,$J20)))</f>
        <v>#N/A</v>
      </c>
      <c r="E20" s="62" t="e">
        <f aca="false">IF($J20="",NA(),IF(INDEX(Питание!$P$14:$P$378,$J20)="",NA(),INDEX(Питание!$P$14:$P$378,$J20)))</f>
        <v>#N/A</v>
      </c>
      <c r="F20" s="55" t="n">
        <f aca="false">TargetKcal</f>
        <v>2200</v>
      </c>
      <c r="G20" s="62" t="e">
        <f aca="false">IF($J20="",NA(),IF(INDEX(Питание!$D$14:$D$378,$J20)="",NA(),INDEX(Питание!$D$14:$D$378,$J20)))</f>
        <v>#N/A</v>
      </c>
      <c r="H20" s="62" t="e">
        <f aca="false">IF($J20="",NA(),IF(INDEX(Питание!$Q$14:$Q$378,$J20)="",NA(),INDEX(Питание!$Q$14:$Q$378,$J20)))</f>
        <v>#N/A</v>
      </c>
      <c r="I20" s="55" t="n">
        <f aca="false">TargetProtein</f>
        <v>165</v>
      </c>
      <c r="J20" s="23" t="n">
        <f aca="false">IFERROR(MATCH($A20,Питание!$A$14:$A$378,0),"")</f>
        <v>10</v>
      </c>
    </row>
    <row r="21" customFormat="false" ht="15" hidden="false" customHeight="true" outlineLevel="0" collapsed="false">
      <c r="A21" s="61" t="n">
        <f aca="false">A20+1</f>
        <v>46304</v>
      </c>
      <c r="B21" s="62" t="e">
        <f aca="false">IF($J21="",NA(),IF(INDEX(Питание!$B$14:$B$378,$J21)="",NA(),INDEX(Питание!$B$14:$B$378,$J21)))</f>
        <v>#N/A</v>
      </c>
      <c r="C21" s="62" t="e">
        <f aca="false">IF($J21="",NA(),IF(INDEX(Питание!$O$14:$O$378,$J21)="",NA(),INDEX(Питание!$O$14:$O$378,$J21)))</f>
        <v>#N/A</v>
      </c>
      <c r="D21" s="62" t="e">
        <f aca="false">IF($J21="",NA(),IF(INDEX(Питание!$C$14:$C$378,$J21)="",NA(),INDEX(Питание!$C$14:$C$378,$J21)))</f>
        <v>#N/A</v>
      </c>
      <c r="E21" s="62" t="e">
        <f aca="false">IF($J21="",NA(),IF(INDEX(Питание!$P$14:$P$378,$J21)="",NA(),INDEX(Питание!$P$14:$P$378,$J21)))</f>
        <v>#N/A</v>
      </c>
      <c r="F21" s="55" t="n">
        <f aca="false">TargetKcal</f>
        <v>2200</v>
      </c>
      <c r="G21" s="62" t="e">
        <f aca="false">IF($J21="",NA(),IF(INDEX(Питание!$D$14:$D$378,$J21)="",NA(),INDEX(Питание!$D$14:$D$378,$J21)))</f>
        <v>#N/A</v>
      </c>
      <c r="H21" s="62" t="e">
        <f aca="false">IF($J21="",NA(),IF(INDEX(Питание!$Q$14:$Q$378,$J21)="",NA(),INDEX(Питание!$Q$14:$Q$378,$J21)))</f>
        <v>#N/A</v>
      </c>
      <c r="I21" s="55" t="n">
        <f aca="false">TargetProtein</f>
        <v>165</v>
      </c>
      <c r="J21" s="23" t="n">
        <f aca="false">IFERROR(MATCH($A21,Питание!$A$14:$A$378,0),"")</f>
        <v>11</v>
      </c>
    </row>
    <row r="22" customFormat="false" ht="15" hidden="false" customHeight="true" outlineLevel="0" collapsed="false">
      <c r="A22" s="61" t="n">
        <f aca="false">A21+1</f>
        <v>46305</v>
      </c>
      <c r="B22" s="62" t="e">
        <f aca="false">IF($J22="",NA(),IF(INDEX(Питание!$B$14:$B$378,$J22)="",NA(),INDEX(Питание!$B$14:$B$378,$J22)))</f>
        <v>#N/A</v>
      </c>
      <c r="C22" s="62" t="e">
        <f aca="false">IF($J22="",NA(),IF(INDEX(Питание!$O$14:$O$378,$J22)="",NA(),INDEX(Питание!$O$14:$O$378,$J22)))</f>
        <v>#N/A</v>
      </c>
      <c r="D22" s="62" t="e">
        <f aca="false">IF($J22="",NA(),IF(INDEX(Питание!$C$14:$C$378,$J22)="",NA(),INDEX(Питание!$C$14:$C$378,$J22)))</f>
        <v>#N/A</v>
      </c>
      <c r="E22" s="62" t="e">
        <f aca="false">IF($J22="",NA(),IF(INDEX(Питание!$P$14:$P$378,$J22)="",NA(),INDEX(Питание!$P$14:$P$378,$J22)))</f>
        <v>#N/A</v>
      </c>
      <c r="F22" s="55" t="n">
        <f aca="false">TargetKcal</f>
        <v>2200</v>
      </c>
      <c r="G22" s="62" t="e">
        <f aca="false">IF($J22="",NA(),IF(INDEX(Питание!$D$14:$D$378,$J22)="",NA(),INDEX(Питание!$D$14:$D$378,$J22)))</f>
        <v>#N/A</v>
      </c>
      <c r="H22" s="62" t="e">
        <f aca="false">IF($J22="",NA(),IF(INDEX(Питание!$Q$14:$Q$378,$J22)="",NA(),INDEX(Питание!$Q$14:$Q$378,$J22)))</f>
        <v>#N/A</v>
      </c>
      <c r="I22" s="55" t="n">
        <f aca="false">TargetProtein</f>
        <v>165</v>
      </c>
      <c r="J22" s="23" t="n">
        <f aca="false">IFERROR(MATCH($A22,Питание!$A$14:$A$378,0),"")</f>
        <v>12</v>
      </c>
    </row>
    <row r="23" customFormat="false" ht="15" hidden="false" customHeight="true" outlineLevel="0" collapsed="false">
      <c r="A23" s="61" t="n">
        <f aca="false">A22+1</f>
        <v>46306</v>
      </c>
      <c r="B23" s="62" t="e">
        <f aca="false">IF($J23="",NA(),IF(INDEX(Питание!$B$14:$B$378,$J23)="",NA(),INDEX(Питание!$B$14:$B$378,$J23)))</f>
        <v>#N/A</v>
      </c>
      <c r="C23" s="62" t="e">
        <f aca="false">IF($J23="",NA(),IF(INDEX(Питание!$O$14:$O$378,$J23)="",NA(),INDEX(Питание!$O$14:$O$378,$J23)))</f>
        <v>#N/A</v>
      </c>
      <c r="D23" s="62" t="e">
        <f aca="false">IF($J23="",NA(),IF(INDEX(Питание!$C$14:$C$378,$J23)="",NA(),INDEX(Питание!$C$14:$C$378,$J23)))</f>
        <v>#N/A</v>
      </c>
      <c r="E23" s="62" t="e">
        <f aca="false">IF($J23="",NA(),IF(INDEX(Питание!$P$14:$P$378,$J23)="",NA(),INDEX(Питание!$P$14:$P$378,$J23)))</f>
        <v>#N/A</v>
      </c>
      <c r="F23" s="55" t="n">
        <f aca="false">TargetKcal</f>
        <v>2200</v>
      </c>
      <c r="G23" s="62" t="e">
        <f aca="false">IF($J23="",NA(),IF(INDEX(Питание!$D$14:$D$378,$J23)="",NA(),INDEX(Питание!$D$14:$D$378,$J23)))</f>
        <v>#N/A</v>
      </c>
      <c r="H23" s="62" t="e">
        <f aca="false">IF($J23="",NA(),IF(INDEX(Питание!$Q$14:$Q$378,$J23)="",NA(),INDEX(Питание!$Q$14:$Q$378,$J23)))</f>
        <v>#N/A</v>
      </c>
      <c r="I23" s="55" t="n">
        <f aca="false">TargetProtein</f>
        <v>165</v>
      </c>
      <c r="J23" s="23" t="n">
        <f aca="false">IFERROR(MATCH($A23,Питание!$A$14:$A$378,0),"")</f>
        <v>13</v>
      </c>
    </row>
    <row r="24" customFormat="false" ht="15" hidden="false" customHeight="true" outlineLevel="0" collapsed="false">
      <c r="A24" s="61" t="n">
        <f aca="false">A23+1</f>
        <v>46307</v>
      </c>
      <c r="B24" s="62" t="e">
        <f aca="false">IF($J24="",NA(),IF(INDEX(Питание!$B$14:$B$378,$J24)="",NA(),INDEX(Питание!$B$14:$B$378,$J24)))</f>
        <v>#N/A</v>
      </c>
      <c r="C24" s="62" t="e">
        <f aca="false">IF($J24="",NA(),IF(INDEX(Питание!$O$14:$O$378,$J24)="",NA(),INDEX(Питание!$O$14:$O$378,$J24)))</f>
        <v>#N/A</v>
      </c>
      <c r="D24" s="62" t="e">
        <f aca="false">IF($J24="",NA(),IF(INDEX(Питание!$C$14:$C$378,$J24)="",NA(),INDEX(Питание!$C$14:$C$378,$J24)))</f>
        <v>#N/A</v>
      </c>
      <c r="E24" s="62" t="e">
        <f aca="false">IF($J24="",NA(),IF(INDEX(Питание!$P$14:$P$378,$J24)="",NA(),INDEX(Питание!$P$14:$P$378,$J24)))</f>
        <v>#N/A</v>
      </c>
      <c r="F24" s="55" t="n">
        <f aca="false">TargetKcal</f>
        <v>2200</v>
      </c>
      <c r="G24" s="62" t="e">
        <f aca="false">IF($J24="",NA(),IF(INDEX(Питание!$D$14:$D$378,$J24)="",NA(),INDEX(Питание!$D$14:$D$378,$J24)))</f>
        <v>#N/A</v>
      </c>
      <c r="H24" s="62" t="e">
        <f aca="false">IF($J24="",NA(),IF(INDEX(Питание!$Q$14:$Q$378,$J24)="",NA(),INDEX(Питание!$Q$14:$Q$378,$J24)))</f>
        <v>#N/A</v>
      </c>
      <c r="I24" s="55" t="n">
        <f aca="false">TargetProtein</f>
        <v>165</v>
      </c>
      <c r="J24" s="23" t="n">
        <f aca="false">IFERROR(MATCH($A24,Питание!$A$14:$A$378,0),"")</f>
        <v>14</v>
      </c>
    </row>
    <row r="25" customFormat="false" ht="15" hidden="false" customHeight="true" outlineLevel="0" collapsed="false">
      <c r="A25" s="61" t="n">
        <f aca="false">A24+1</f>
        <v>46308</v>
      </c>
      <c r="B25" s="62" t="e">
        <f aca="false">IF($J25="",NA(),IF(INDEX(Питание!$B$14:$B$378,$J25)="",NA(),INDEX(Питание!$B$14:$B$378,$J25)))</f>
        <v>#N/A</v>
      </c>
      <c r="C25" s="62" t="e">
        <f aca="false">IF($J25="",NA(),IF(INDEX(Питание!$O$14:$O$378,$J25)="",NA(),INDEX(Питание!$O$14:$O$378,$J25)))</f>
        <v>#N/A</v>
      </c>
      <c r="D25" s="62" t="e">
        <f aca="false">IF($J25="",NA(),IF(INDEX(Питание!$C$14:$C$378,$J25)="",NA(),INDEX(Питание!$C$14:$C$378,$J25)))</f>
        <v>#N/A</v>
      </c>
      <c r="E25" s="62" t="e">
        <f aca="false">IF($J25="",NA(),IF(INDEX(Питание!$P$14:$P$378,$J25)="",NA(),INDEX(Питание!$P$14:$P$378,$J25)))</f>
        <v>#N/A</v>
      </c>
      <c r="F25" s="55" t="n">
        <f aca="false">TargetKcal</f>
        <v>2200</v>
      </c>
      <c r="G25" s="62" t="e">
        <f aca="false">IF($J25="",NA(),IF(INDEX(Питание!$D$14:$D$378,$J25)="",NA(),INDEX(Питание!$D$14:$D$378,$J25)))</f>
        <v>#N/A</v>
      </c>
      <c r="H25" s="62" t="e">
        <f aca="false">IF($J25="",NA(),IF(INDEX(Питание!$Q$14:$Q$378,$J25)="",NA(),INDEX(Питание!$Q$14:$Q$378,$J25)))</f>
        <v>#N/A</v>
      </c>
      <c r="I25" s="55" t="n">
        <f aca="false">TargetProtein</f>
        <v>165</v>
      </c>
      <c r="J25" s="23" t="n">
        <f aca="false">IFERROR(MATCH($A25,Питание!$A$14:$A$378,0),"")</f>
        <v>15</v>
      </c>
    </row>
    <row r="26" customFormat="false" ht="15" hidden="false" customHeight="true" outlineLevel="0" collapsed="false">
      <c r="A26" s="61" t="n">
        <f aca="false">A25+1</f>
        <v>46309</v>
      </c>
      <c r="B26" s="62" t="e">
        <f aca="false">IF($J26="",NA(),IF(INDEX(Питание!$B$14:$B$378,$J26)="",NA(),INDEX(Питание!$B$14:$B$378,$J26)))</f>
        <v>#N/A</v>
      </c>
      <c r="C26" s="62" t="e">
        <f aca="false">IF($J26="",NA(),IF(INDEX(Питание!$O$14:$O$378,$J26)="",NA(),INDEX(Питание!$O$14:$O$378,$J26)))</f>
        <v>#N/A</v>
      </c>
      <c r="D26" s="62" t="e">
        <f aca="false">IF($J26="",NA(),IF(INDEX(Питание!$C$14:$C$378,$J26)="",NA(),INDEX(Питание!$C$14:$C$378,$J26)))</f>
        <v>#N/A</v>
      </c>
      <c r="E26" s="62" t="e">
        <f aca="false">IF($J26="",NA(),IF(INDEX(Питание!$P$14:$P$378,$J26)="",NA(),INDEX(Питание!$P$14:$P$378,$J26)))</f>
        <v>#N/A</v>
      </c>
      <c r="F26" s="55" t="n">
        <f aca="false">TargetKcal</f>
        <v>2200</v>
      </c>
      <c r="G26" s="62" t="e">
        <f aca="false">IF($J26="",NA(),IF(INDEX(Питание!$D$14:$D$378,$J26)="",NA(),INDEX(Питание!$D$14:$D$378,$J26)))</f>
        <v>#N/A</v>
      </c>
      <c r="H26" s="62" t="e">
        <f aca="false">IF($J26="",NA(),IF(INDEX(Питание!$Q$14:$Q$378,$J26)="",NA(),INDEX(Питание!$Q$14:$Q$378,$J26)))</f>
        <v>#N/A</v>
      </c>
      <c r="I26" s="55" t="n">
        <f aca="false">TargetProtein</f>
        <v>165</v>
      </c>
      <c r="J26" s="23" t="n">
        <f aca="false">IFERROR(MATCH($A26,Питание!$A$14:$A$378,0),"")</f>
        <v>16</v>
      </c>
    </row>
    <row r="27" customFormat="false" ht="15" hidden="false" customHeight="true" outlineLevel="0" collapsed="false">
      <c r="A27" s="61" t="n">
        <f aca="false">A26+1</f>
        <v>46310</v>
      </c>
      <c r="B27" s="62" t="e">
        <f aca="false">IF($J27="",NA(),IF(INDEX(Питание!$B$14:$B$378,$J27)="",NA(),INDEX(Питание!$B$14:$B$378,$J27)))</f>
        <v>#N/A</v>
      </c>
      <c r="C27" s="62" t="e">
        <f aca="false">IF($J27="",NA(),IF(INDEX(Питание!$O$14:$O$378,$J27)="",NA(),INDEX(Питание!$O$14:$O$378,$J27)))</f>
        <v>#N/A</v>
      </c>
      <c r="D27" s="62" t="e">
        <f aca="false">IF($J27="",NA(),IF(INDEX(Питание!$C$14:$C$378,$J27)="",NA(),INDEX(Питание!$C$14:$C$378,$J27)))</f>
        <v>#N/A</v>
      </c>
      <c r="E27" s="62" t="e">
        <f aca="false">IF($J27="",NA(),IF(INDEX(Питание!$P$14:$P$378,$J27)="",NA(),INDEX(Питание!$P$14:$P$378,$J27)))</f>
        <v>#N/A</v>
      </c>
      <c r="F27" s="55" t="n">
        <f aca="false">TargetKcal</f>
        <v>2200</v>
      </c>
      <c r="G27" s="62" t="e">
        <f aca="false">IF($J27="",NA(),IF(INDEX(Питание!$D$14:$D$378,$J27)="",NA(),INDEX(Питание!$D$14:$D$378,$J27)))</f>
        <v>#N/A</v>
      </c>
      <c r="H27" s="62" t="e">
        <f aca="false">IF($J27="",NA(),IF(INDEX(Питание!$Q$14:$Q$378,$J27)="",NA(),INDEX(Питание!$Q$14:$Q$378,$J27)))</f>
        <v>#N/A</v>
      </c>
      <c r="I27" s="55" t="n">
        <f aca="false">TargetProtein</f>
        <v>165</v>
      </c>
      <c r="J27" s="23" t="n">
        <f aca="false">IFERROR(MATCH($A27,Питание!$A$14:$A$378,0),"")</f>
        <v>17</v>
      </c>
    </row>
    <row r="28" customFormat="false" ht="15" hidden="false" customHeight="true" outlineLevel="0" collapsed="false">
      <c r="A28" s="61" t="n">
        <f aca="false">A27+1</f>
        <v>46311</v>
      </c>
      <c r="B28" s="62" t="e">
        <f aca="false">IF($J28="",NA(),IF(INDEX(Питание!$B$14:$B$378,$J28)="",NA(),INDEX(Питание!$B$14:$B$378,$J28)))</f>
        <v>#N/A</v>
      </c>
      <c r="C28" s="62" t="e">
        <f aca="false">IF($J28="",NA(),IF(INDEX(Питание!$O$14:$O$378,$J28)="",NA(),INDEX(Питание!$O$14:$O$378,$J28)))</f>
        <v>#N/A</v>
      </c>
      <c r="D28" s="62" t="e">
        <f aca="false">IF($J28="",NA(),IF(INDEX(Питание!$C$14:$C$378,$J28)="",NA(),INDEX(Питание!$C$14:$C$378,$J28)))</f>
        <v>#N/A</v>
      </c>
      <c r="E28" s="62" t="e">
        <f aca="false">IF($J28="",NA(),IF(INDEX(Питание!$P$14:$P$378,$J28)="",NA(),INDEX(Питание!$P$14:$P$378,$J28)))</f>
        <v>#N/A</v>
      </c>
      <c r="F28" s="55" t="n">
        <f aca="false">TargetKcal</f>
        <v>2200</v>
      </c>
      <c r="G28" s="62" t="e">
        <f aca="false">IF($J28="",NA(),IF(INDEX(Питание!$D$14:$D$378,$J28)="",NA(),INDEX(Питание!$D$14:$D$378,$J28)))</f>
        <v>#N/A</v>
      </c>
      <c r="H28" s="62" t="e">
        <f aca="false">IF($J28="",NA(),IF(INDEX(Питание!$Q$14:$Q$378,$J28)="",NA(),INDEX(Питание!$Q$14:$Q$378,$J28)))</f>
        <v>#N/A</v>
      </c>
      <c r="I28" s="55" t="n">
        <f aca="false">TargetProtein</f>
        <v>165</v>
      </c>
      <c r="J28" s="23" t="n">
        <f aca="false">IFERROR(MATCH($A28,Питание!$A$14:$A$378,0),"")</f>
        <v>18</v>
      </c>
    </row>
    <row r="29" customFormat="false" ht="15" hidden="false" customHeight="true" outlineLevel="0" collapsed="false">
      <c r="A29" s="61" t="n">
        <f aca="false">A28+1</f>
        <v>46312</v>
      </c>
      <c r="B29" s="62" t="e">
        <f aca="false">IF($J29="",NA(),IF(INDEX(Питание!$B$14:$B$378,$J29)="",NA(),INDEX(Питание!$B$14:$B$378,$J29)))</f>
        <v>#N/A</v>
      </c>
      <c r="C29" s="62" t="e">
        <f aca="false">IF($J29="",NA(),IF(INDEX(Питание!$O$14:$O$378,$J29)="",NA(),INDEX(Питание!$O$14:$O$378,$J29)))</f>
        <v>#N/A</v>
      </c>
      <c r="D29" s="62" t="e">
        <f aca="false">IF($J29="",NA(),IF(INDEX(Питание!$C$14:$C$378,$J29)="",NA(),INDEX(Питание!$C$14:$C$378,$J29)))</f>
        <v>#N/A</v>
      </c>
      <c r="E29" s="62" t="e">
        <f aca="false">IF($J29="",NA(),IF(INDEX(Питание!$P$14:$P$378,$J29)="",NA(),INDEX(Питание!$P$14:$P$378,$J29)))</f>
        <v>#N/A</v>
      </c>
      <c r="F29" s="55" t="n">
        <f aca="false">TargetKcal</f>
        <v>2200</v>
      </c>
      <c r="G29" s="62" t="e">
        <f aca="false">IF($J29="",NA(),IF(INDEX(Питание!$D$14:$D$378,$J29)="",NA(),INDEX(Питание!$D$14:$D$378,$J29)))</f>
        <v>#N/A</v>
      </c>
      <c r="H29" s="62" t="e">
        <f aca="false">IF($J29="",NA(),IF(INDEX(Питание!$Q$14:$Q$378,$J29)="",NA(),INDEX(Питание!$Q$14:$Q$378,$J29)))</f>
        <v>#N/A</v>
      </c>
      <c r="I29" s="55" t="n">
        <f aca="false">TargetProtein</f>
        <v>165</v>
      </c>
      <c r="J29" s="23" t="n">
        <f aca="false">IFERROR(MATCH($A29,Питание!$A$14:$A$378,0),"")</f>
        <v>19</v>
      </c>
    </row>
    <row r="30" customFormat="false" ht="15" hidden="false" customHeight="true" outlineLevel="0" collapsed="false">
      <c r="A30" s="61" t="n">
        <f aca="false">A29+1</f>
        <v>46313</v>
      </c>
      <c r="B30" s="62" t="e">
        <f aca="false">IF($J30="",NA(),IF(INDEX(Питание!$B$14:$B$378,$J30)="",NA(),INDEX(Питание!$B$14:$B$378,$J30)))</f>
        <v>#N/A</v>
      </c>
      <c r="C30" s="62" t="e">
        <f aca="false">IF($J30="",NA(),IF(INDEX(Питание!$O$14:$O$378,$J30)="",NA(),INDEX(Питание!$O$14:$O$378,$J30)))</f>
        <v>#N/A</v>
      </c>
      <c r="D30" s="62" t="e">
        <f aca="false">IF($J30="",NA(),IF(INDEX(Питание!$C$14:$C$378,$J30)="",NA(),INDEX(Питание!$C$14:$C$378,$J30)))</f>
        <v>#N/A</v>
      </c>
      <c r="E30" s="62" t="e">
        <f aca="false">IF($J30="",NA(),IF(INDEX(Питание!$P$14:$P$378,$J30)="",NA(),INDEX(Питание!$P$14:$P$378,$J30)))</f>
        <v>#N/A</v>
      </c>
      <c r="F30" s="55" t="n">
        <f aca="false">TargetKcal</f>
        <v>2200</v>
      </c>
      <c r="G30" s="62" t="e">
        <f aca="false">IF($J30="",NA(),IF(INDEX(Питание!$D$14:$D$378,$J30)="",NA(),INDEX(Питание!$D$14:$D$378,$J30)))</f>
        <v>#N/A</v>
      </c>
      <c r="H30" s="62" t="e">
        <f aca="false">IF($J30="",NA(),IF(INDEX(Питание!$Q$14:$Q$378,$J30)="",NA(),INDEX(Питание!$Q$14:$Q$378,$J30)))</f>
        <v>#N/A</v>
      </c>
      <c r="I30" s="55" t="n">
        <f aca="false">TargetProtein</f>
        <v>165</v>
      </c>
      <c r="J30" s="23" t="n">
        <f aca="false">IFERROR(MATCH($A30,Питание!$A$14:$A$378,0),"")</f>
        <v>20</v>
      </c>
    </row>
    <row r="31" customFormat="false" ht="15" hidden="false" customHeight="true" outlineLevel="0" collapsed="false">
      <c r="A31" s="61" t="n">
        <f aca="false">A30+1</f>
        <v>46314</v>
      </c>
      <c r="B31" s="62" t="e">
        <f aca="false">IF($J31="",NA(),IF(INDEX(Питание!$B$14:$B$378,$J31)="",NA(),INDEX(Питание!$B$14:$B$378,$J31)))</f>
        <v>#N/A</v>
      </c>
      <c r="C31" s="62" t="e">
        <f aca="false">IF($J31="",NA(),IF(INDEX(Питание!$O$14:$O$378,$J31)="",NA(),INDEX(Питание!$O$14:$O$378,$J31)))</f>
        <v>#N/A</v>
      </c>
      <c r="D31" s="62" t="e">
        <f aca="false">IF($J31="",NA(),IF(INDEX(Питание!$C$14:$C$378,$J31)="",NA(),INDEX(Питание!$C$14:$C$378,$J31)))</f>
        <v>#N/A</v>
      </c>
      <c r="E31" s="62" t="e">
        <f aca="false">IF($J31="",NA(),IF(INDEX(Питание!$P$14:$P$378,$J31)="",NA(),INDEX(Питание!$P$14:$P$378,$J31)))</f>
        <v>#N/A</v>
      </c>
      <c r="F31" s="55" t="n">
        <f aca="false">TargetKcal</f>
        <v>2200</v>
      </c>
      <c r="G31" s="62" t="e">
        <f aca="false">IF($J31="",NA(),IF(INDEX(Питание!$D$14:$D$378,$J31)="",NA(),INDEX(Питание!$D$14:$D$378,$J31)))</f>
        <v>#N/A</v>
      </c>
      <c r="H31" s="62" t="e">
        <f aca="false">IF($J31="",NA(),IF(INDEX(Питание!$Q$14:$Q$378,$J31)="",NA(),INDEX(Питание!$Q$14:$Q$378,$J31)))</f>
        <v>#N/A</v>
      </c>
      <c r="I31" s="55" t="n">
        <f aca="false">TargetProtein</f>
        <v>165</v>
      </c>
      <c r="J31" s="23" t="n">
        <f aca="false">IFERROR(MATCH($A31,Питание!$A$14:$A$378,0),"")</f>
        <v>21</v>
      </c>
    </row>
    <row r="32" customFormat="false" ht="15" hidden="false" customHeight="true" outlineLevel="0" collapsed="false">
      <c r="A32" s="61" t="n">
        <f aca="false">A31+1</f>
        <v>46315</v>
      </c>
      <c r="B32" s="62" t="e">
        <f aca="false">IF($J32="",NA(),IF(INDEX(Питание!$B$14:$B$378,$J32)="",NA(),INDEX(Питание!$B$14:$B$378,$J32)))</f>
        <v>#N/A</v>
      </c>
      <c r="C32" s="62" t="e">
        <f aca="false">IF($J32="",NA(),IF(INDEX(Питание!$O$14:$O$378,$J32)="",NA(),INDEX(Питание!$O$14:$O$378,$J32)))</f>
        <v>#N/A</v>
      </c>
      <c r="D32" s="62" t="e">
        <f aca="false">IF($J32="",NA(),IF(INDEX(Питание!$C$14:$C$378,$J32)="",NA(),INDEX(Питание!$C$14:$C$378,$J32)))</f>
        <v>#N/A</v>
      </c>
      <c r="E32" s="62" t="e">
        <f aca="false">IF($J32="",NA(),IF(INDEX(Питание!$P$14:$P$378,$J32)="",NA(),INDEX(Питание!$P$14:$P$378,$J32)))</f>
        <v>#N/A</v>
      </c>
      <c r="F32" s="55" t="n">
        <f aca="false">TargetKcal</f>
        <v>2200</v>
      </c>
      <c r="G32" s="62" t="e">
        <f aca="false">IF($J32="",NA(),IF(INDEX(Питание!$D$14:$D$378,$J32)="",NA(),INDEX(Питание!$D$14:$D$378,$J32)))</f>
        <v>#N/A</v>
      </c>
      <c r="H32" s="62" t="e">
        <f aca="false">IF($J32="",NA(),IF(INDEX(Питание!$Q$14:$Q$378,$J32)="",NA(),INDEX(Питание!$Q$14:$Q$378,$J32)))</f>
        <v>#N/A</v>
      </c>
      <c r="I32" s="55" t="n">
        <f aca="false">TargetProtein</f>
        <v>165</v>
      </c>
      <c r="J32" s="23" t="n">
        <f aca="false">IFERROR(MATCH($A32,Питание!$A$14:$A$378,0),"")</f>
        <v>22</v>
      </c>
    </row>
    <row r="33" customFormat="false" ht="15" hidden="false" customHeight="true" outlineLevel="0" collapsed="false">
      <c r="A33" s="61" t="n">
        <f aca="false">A32+1</f>
        <v>46316</v>
      </c>
      <c r="B33" s="62" t="e">
        <f aca="false">IF($J33="",NA(),IF(INDEX(Питание!$B$14:$B$378,$J33)="",NA(),INDEX(Питание!$B$14:$B$378,$J33)))</f>
        <v>#N/A</v>
      </c>
      <c r="C33" s="62" t="e">
        <f aca="false">IF($J33="",NA(),IF(INDEX(Питание!$O$14:$O$378,$J33)="",NA(),INDEX(Питание!$O$14:$O$378,$J33)))</f>
        <v>#N/A</v>
      </c>
      <c r="D33" s="62" t="e">
        <f aca="false">IF($J33="",NA(),IF(INDEX(Питание!$C$14:$C$378,$J33)="",NA(),INDEX(Питание!$C$14:$C$378,$J33)))</f>
        <v>#N/A</v>
      </c>
      <c r="E33" s="62" t="e">
        <f aca="false">IF($J33="",NA(),IF(INDEX(Питание!$P$14:$P$378,$J33)="",NA(),INDEX(Питание!$P$14:$P$378,$J33)))</f>
        <v>#N/A</v>
      </c>
      <c r="F33" s="55" t="n">
        <f aca="false">TargetKcal</f>
        <v>2200</v>
      </c>
      <c r="G33" s="62" t="e">
        <f aca="false">IF($J33="",NA(),IF(INDEX(Питание!$D$14:$D$378,$J33)="",NA(),INDEX(Питание!$D$14:$D$378,$J33)))</f>
        <v>#N/A</v>
      </c>
      <c r="H33" s="62" t="e">
        <f aca="false">IF($J33="",NA(),IF(INDEX(Питание!$Q$14:$Q$378,$J33)="",NA(),INDEX(Питание!$Q$14:$Q$378,$J33)))</f>
        <v>#N/A</v>
      </c>
      <c r="I33" s="55" t="n">
        <f aca="false">TargetProtein</f>
        <v>165</v>
      </c>
      <c r="J33" s="23" t="n">
        <f aca="false">IFERROR(MATCH($A33,Питание!$A$14:$A$378,0),"")</f>
        <v>23</v>
      </c>
    </row>
    <row r="34" customFormat="false" ht="15" hidden="false" customHeight="true" outlineLevel="0" collapsed="false">
      <c r="A34" s="61" t="n">
        <f aca="false">A33+1</f>
        <v>46317</v>
      </c>
      <c r="B34" s="62" t="e">
        <f aca="false">IF($J34="",NA(),IF(INDEX(Питание!$B$14:$B$378,$J34)="",NA(),INDEX(Питание!$B$14:$B$378,$J34)))</f>
        <v>#N/A</v>
      </c>
      <c r="C34" s="62" t="e">
        <f aca="false">IF($J34="",NA(),IF(INDEX(Питание!$O$14:$O$378,$J34)="",NA(),INDEX(Питание!$O$14:$O$378,$J34)))</f>
        <v>#N/A</v>
      </c>
      <c r="D34" s="62" t="e">
        <f aca="false">IF($J34="",NA(),IF(INDEX(Питание!$C$14:$C$378,$J34)="",NA(),INDEX(Питание!$C$14:$C$378,$J34)))</f>
        <v>#N/A</v>
      </c>
      <c r="E34" s="62" t="e">
        <f aca="false">IF($J34="",NA(),IF(INDEX(Питание!$P$14:$P$378,$J34)="",NA(),INDEX(Питание!$P$14:$P$378,$J34)))</f>
        <v>#N/A</v>
      </c>
      <c r="F34" s="55" t="n">
        <f aca="false">TargetKcal</f>
        <v>2200</v>
      </c>
      <c r="G34" s="62" t="e">
        <f aca="false">IF($J34="",NA(),IF(INDEX(Питание!$D$14:$D$378,$J34)="",NA(),INDEX(Питание!$D$14:$D$378,$J34)))</f>
        <v>#N/A</v>
      </c>
      <c r="H34" s="62" t="e">
        <f aca="false">IF($J34="",NA(),IF(INDEX(Питание!$Q$14:$Q$378,$J34)="",NA(),INDEX(Питание!$Q$14:$Q$378,$J34)))</f>
        <v>#N/A</v>
      </c>
      <c r="I34" s="55" t="n">
        <f aca="false">TargetProtein</f>
        <v>165</v>
      </c>
      <c r="J34" s="23" t="n">
        <f aca="false">IFERROR(MATCH($A34,Питание!$A$14:$A$378,0),"")</f>
        <v>24</v>
      </c>
    </row>
    <row r="35" customFormat="false" ht="15" hidden="false" customHeight="true" outlineLevel="0" collapsed="false">
      <c r="A35" s="61" t="n">
        <f aca="false">A34+1</f>
        <v>46318</v>
      </c>
      <c r="B35" s="62" t="e">
        <f aca="false">IF($J35="",NA(),IF(INDEX(Питание!$B$14:$B$378,$J35)="",NA(),INDEX(Питание!$B$14:$B$378,$J35)))</f>
        <v>#N/A</v>
      </c>
      <c r="C35" s="62" t="e">
        <f aca="false">IF($J35="",NA(),IF(INDEX(Питание!$O$14:$O$378,$J35)="",NA(),INDEX(Питание!$O$14:$O$378,$J35)))</f>
        <v>#N/A</v>
      </c>
      <c r="D35" s="62" t="e">
        <f aca="false">IF($J35="",NA(),IF(INDEX(Питание!$C$14:$C$378,$J35)="",NA(),INDEX(Питание!$C$14:$C$378,$J35)))</f>
        <v>#N/A</v>
      </c>
      <c r="E35" s="62" t="e">
        <f aca="false">IF($J35="",NA(),IF(INDEX(Питание!$P$14:$P$378,$J35)="",NA(),INDEX(Питание!$P$14:$P$378,$J35)))</f>
        <v>#N/A</v>
      </c>
      <c r="F35" s="55" t="n">
        <f aca="false">TargetKcal</f>
        <v>2200</v>
      </c>
      <c r="G35" s="62" t="e">
        <f aca="false">IF($J35="",NA(),IF(INDEX(Питание!$D$14:$D$378,$J35)="",NA(),INDEX(Питание!$D$14:$D$378,$J35)))</f>
        <v>#N/A</v>
      </c>
      <c r="H35" s="62" t="e">
        <f aca="false">IF($J35="",NA(),IF(INDEX(Питание!$Q$14:$Q$378,$J35)="",NA(),INDEX(Питание!$Q$14:$Q$378,$J35)))</f>
        <v>#N/A</v>
      </c>
      <c r="I35" s="55" t="n">
        <f aca="false">TargetProtein</f>
        <v>165</v>
      </c>
      <c r="J35" s="23" t="n">
        <f aca="false">IFERROR(MATCH($A35,Питание!$A$14:$A$378,0),"")</f>
        <v>25</v>
      </c>
    </row>
    <row r="36" customFormat="false" ht="15" hidden="false" customHeight="true" outlineLevel="0" collapsed="false">
      <c r="A36" s="61" t="n">
        <f aca="false">A35+1</f>
        <v>46319</v>
      </c>
      <c r="B36" s="62" t="e">
        <f aca="false">IF($J36="",NA(),IF(INDEX(Питание!$B$14:$B$378,$J36)="",NA(),INDEX(Питание!$B$14:$B$378,$J36)))</f>
        <v>#N/A</v>
      </c>
      <c r="C36" s="62" t="e">
        <f aca="false">IF($J36="",NA(),IF(INDEX(Питание!$O$14:$O$378,$J36)="",NA(),INDEX(Питание!$O$14:$O$378,$J36)))</f>
        <v>#N/A</v>
      </c>
      <c r="D36" s="62" t="e">
        <f aca="false">IF($J36="",NA(),IF(INDEX(Питание!$C$14:$C$378,$J36)="",NA(),INDEX(Питание!$C$14:$C$378,$J36)))</f>
        <v>#N/A</v>
      </c>
      <c r="E36" s="62" t="e">
        <f aca="false">IF($J36="",NA(),IF(INDEX(Питание!$P$14:$P$378,$J36)="",NA(),INDEX(Питание!$P$14:$P$378,$J36)))</f>
        <v>#N/A</v>
      </c>
      <c r="F36" s="55" t="n">
        <f aca="false">TargetKcal</f>
        <v>2200</v>
      </c>
      <c r="G36" s="62" t="e">
        <f aca="false">IF($J36="",NA(),IF(INDEX(Питание!$D$14:$D$378,$J36)="",NA(),INDEX(Питание!$D$14:$D$378,$J36)))</f>
        <v>#N/A</v>
      </c>
      <c r="H36" s="62" t="e">
        <f aca="false">IF($J36="",NA(),IF(INDEX(Питание!$Q$14:$Q$378,$J36)="",NA(),INDEX(Питание!$Q$14:$Q$378,$J36)))</f>
        <v>#N/A</v>
      </c>
      <c r="I36" s="55" t="n">
        <f aca="false">TargetProtein</f>
        <v>165</v>
      </c>
      <c r="J36" s="23" t="n">
        <f aca="false">IFERROR(MATCH($A36,Питание!$A$14:$A$378,0),"")</f>
        <v>26</v>
      </c>
    </row>
    <row r="37" customFormat="false" ht="15" hidden="false" customHeight="true" outlineLevel="0" collapsed="false">
      <c r="A37" s="61" t="n">
        <f aca="false">A36+1</f>
        <v>46320</v>
      </c>
      <c r="B37" s="62" t="e">
        <f aca="false">IF($J37="",NA(),IF(INDEX(Питание!$B$14:$B$378,$J37)="",NA(),INDEX(Питание!$B$14:$B$378,$J37)))</f>
        <v>#N/A</v>
      </c>
      <c r="C37" s="62" t="e">
        <f aca="false">IF($J37="",NA(),IF(INDEX(Питание!$O$14:$O$378,$J37)="",NA(),INDEX(Питание!$O$14:$O$378,$J37)))</f>
        <v>#N/A</v>
      </c>
      <c r="D37" s="62" t="e">
        <f aca="false">IF($J37="",NA(),IF(INDEX(Питание!$C$14:$C$378,$J37)="",NA(),INDEX(Питание!$C$14:$C$378,$J37)))</f>
        <v>#N/A</v>
      </c>
      <c r="E37" s="62" t="e">
        <f aca="false">IF($J37="",NA(),IF(INDEX(Питание!$P$14:$P$378,$J37)="",NA(),INDEX(Питание!$P$14:$P$378,$J37)))</f>
        <v>#N/A</v>
      </c>
      <c r="F37" s="55" t="n">
        <f aca="false">TargetKcal</f>
        <v>2200</v>
      </c>
      <c r="G37" s="62" t="e">
        <f aca="false">IF($J37="",NA(),IF(INDEX(Питание!$D$14:$D$378,$J37)="",NA(),INDEX(Питание!$D$14:$D$378,$J37)))</f>
        <v>#N/A</v>
      </c>
      <c r="H37" s="62" t="e">
        <f aca="false">IF($J37="",NA(),IF(INDEX(Питание!$Q$14:$Q$378,$J37)="",NA(),INDEX(Питание!$Q$14:$Q$378,$J37)))</f>
        <v>#N/A</v>
      </c>
      <c r="I37" s="55" t="n">
        <f aca="false">TargetProtein</f>
        <v>165</v>
      </c>
      <c r="J37" s="23" t="n">
        <f aca="false">IFERROR(MATCH($A37,Питание!$A$14:$A$378,0),"")</f>
        <v>27</v>
      </c>
    </row>
    <row r="38" customFormat="false" ht="15" hidden="false" customHeight="true" outlineLevel="0" collapsed="false">
      <c r="A38" s="61" t="n">
        <f aca="false">A37+1</f>
        <v>46321</v>
      </c>
      <c r="B38" s="62" t="e">
        <f aca="false">IF($J38="",NA(),IF(INDEX(Питание!$B$14:$B$378,$J38)="",NA(),INDEX(Питание!$B$14:$B$378,$J38)))</f>
        <v>#N/A</v>
      </c>
      <c r="C38" s="62" t="e">
        <f aca="false">IF($J38="",NA(),IF(INDEX(Питание!$O$14:$O$378,$J38)="",NA(),INDEX(Питание!$O$14:$O$378,$J38)))</f>
        <v>#N/A</v>
      </c>
      <c r="D38" s="62" t="e">
        <f aca="false">IF($J38="",NA(),IF(INDEX(Питание!$C$14:$C$378,$J38)="",NA(),INDEX(Питание!$C$14:$C$378,$J38)))</f>
        <v>#N/A</v>
      </c>
      <c r="E38" s="62" t="e">
        <f aca="false">IF($J38="",NA(),IF(INDEX(Питание!$P$14:$P$378,$J38)="",NA(),INDEX(Питание!$P$14:$P$378,$J38)))</f>
        <v>#N/A</v>
      </c>
      <c r="F38" s="55" t="n">
        <f aca="false">TargetKcal</f>
        <v>2200</v>
      </c>
      <c r="G38" s="62" t="e">
        <f aca="false">IF($J38="",NA(),IF(INDEX(Питание!$D$14:$D$378,$J38)="",NA(),INDEX(Питание!$D$14:$D$378,$J38)))</f>
        <v>#N/A</v>
      </c>
      <c r="H38" s="62" t="e">
        <f aca="false">IF($J38="",NA(),IF(INDEX(Питание!$Q$14:$Q$378,$J38)="",NA(),INDEX(Питание!$Q$14:$Q$378,$J38)))</f>
        <v>#N/A</v>
      </c>
      <c r="I38" s="55" t="n">
        <f aca="false">TargetProtein</f>
        <v>165</v>
      </c>
      <c r="J38" s="23" t="n">
        <f aca="false">IFERROR(MATCH($A38,Питание!$A$14:$A$378,0),"")</f>
        <v>28</v>
      </c>
    </row>
    <row r="39" customFormat="false" ht="15" hidden="false" customHeight="true" outlineLevel="0" collapsed="false">
      <c r="A39" s="61" t="n">
        <f aca="false">A38+1</f>
        <v>46322</v>
      </c>
      <c r="B39" s="62" t="e">
        <f aca="false">IF($J39="",NA(),IF(INDEX(Питание!$B$14:$B$378,$J39)="",NA(),INDEX(Питание!$B$14:$B$378,$J39)))</f>
        <v>#N/A</v>
      </c>
      <c r="C39" s="62" t="e">
        <f aca="false">IF($J39="",NA(),IF(INDEX(Питание!$O$14:$O$378,$J39)="",NA(),INDEX(Питание!$O$14:$O$378,$J39)))</f>
        <v>#N/A</v>
      </c>
      <c r="D39" s="62" t="e">
        <f aca="false">IF($J39="",NA(),IF(INDEX(Питание!$C$14:$C$378,$J39)="",NA(),INDEX(Питание!$C$14:$C$378,$J39)))</f>
        <v>#N/A</v>
      </c>
      <c r="E39" s="62" t="e">
        <f aca="false">IF($J39="",NA(),IF(INDEX(Питание!$P$14:$P$378,$J39)="",NA(),INDEX(Питание!$P$14:$P$378,$J39)))</f>
        <v>#N/A</v>
      </c>
      <c r="F39" s="55" t="n">
        <f aca="false">TargetKcal</f>
        <v>2200</v>
      </c>
      <c r="G39" s="62" t="e">
        <f aca="false">IF($J39="",NA(),IF(INDEX(Питание!$D$14:$D$378,$J39)="",NA(),INDEX(Питание!$D$14:$D$378,$J39)))</f>
        <v>#N/A</v>
      </c>
      <c r="H39" s="62" t="e">
        <f aca="false">IF($J39="",NA(),IF(INDEX(Питание!$Q$14:$Q$378,$J39)="",NA(),INDEX(Питание!$Q$14:$Q$378,$J39)))</f>
        <v>#N/A</v>
      </c>
      <c r="I39" s="55" t="n">
        <f aca="false">TargetProtein</f>
        <v>165</v>
      </c>
      <c r="J39" s="23" t="n">
        <f aca="false">IFERROR(MATCH($A39,Питание!$A$14:$A$378,0),"")</f>
        <v>29</v>
      </c>
    </row>
    <row r="40" customFormat="false" ht="15" hidden="false" customHeight="true" outlineLevel="0" collapsed="false">
      <c r="A40" s="61" t="n">
        <f aca="false">A39+1</f>
        <v>46323</v>
      </c>
      <c r="B40" s="62" t="e">
        <f aca="false">IF($J40="",NA(),IF(INDEX(Питание!$B$14:$B$378,$J40)="",NA(),INDEX(Питание!$B$14:$B$378,$J40)))</f>
        <v>#N/A</v>
      </c>
      <c r="C40" s="62" t="e">
        <f aca="false">IF($J40="",NA(),IF(INDEX(Питание!$O$14:$O$378,$J40)="",NA(),INDEX(Питание!$O$14:$O$378,$J40)))</f>
        <v>#N/A</v>
      </c>
      <c r="D40" s="62" t="e">
        <f aca="false">IF($J40="",NA(),IF(INDEX(Питание!$C$14:$C$378,$J40)="",NA(),INDEX(Питание!$C$14:$C$378,$J40)))</f>
        <v>#N/A</v>
      </c>
      <c r="E40" s="62" t="e">
        <f aca="false">IF($J40="",NA(),IF(INDEX(Питание!$P$14:$P$378,$J40)="",NA(),INDEX(Питание!$P$14:$P$378,$J40)))</f>
        <v>#N/A</v>
      </c>
      <c r="F40" s="55" t="n">
        <f aca="false">TargetKcal</f>
        <v>2200</v>
      </c>
      <c r="G40" s="62" t="e">
        <f aca="false">IF($J40="",NA(),IF(INDEX(Питание!$D$14:$D$378,$J40)="",NA(),INDEX(Питание!$D$14:$D$378,$J40)))</f>
        <v>#N/A</v>
      </c>
      <c r="H40" s="62" t="e">
        <f aca="false">IF($J40="",NA(),IF(INDEX(Питание!$Q$14:$Q$378,$J40)="",NA(),INDEX(Питание!$Q$14:$Q$378,$J40)))</f>
        <v>#N/A</v>
      </c>
      <c r="I40" s="55" t="n">
        <f aca="false">TargetProtein</f>
        <v>165</v>
      </c>
      <c r="J40" s="23" t="n">
        <f aca="false">IFERROR(MATCH($A40,Питание!$A$14:$A$378,0),"")</f>
        <v>30</v>
      </c>
    </row>
    <row r="41" customFormat="false" ht="15" hidden="false" customHeight="true" outlineLevel="0" collapsed="false">
      <c r="A41" s="61" t="n">
        <f aca="false">A40+1</f>
        <v>46324</v>
      </c>
      <c r="B41" s="62" t="e">
        <f aca="false">IF($J41="",NA(),IF(INDEX(Питание!$B$14:$B$378,$J41)="",NA(),INDEX(Питание!$B$14:$B$378,$J41)))</f>
        <v>#N/A</v>
      </c>
      <c r="C41" s="62" t="e">
        <f aca="false">IF($J41="",NA(),IF(INDEX(Питание!$O$14:$O$378,$J41)="",NA(),INDEX(Питание!$O$14:$O$378,$J41)))</f>
        <v>#N/A</v>
      </c>
      <c r="D41" s="62" t="e">
        <f aca="false">IF($J41="",NA(),IF(INDEX(Питание!$C$14:$C$378,$J41)="",NA(),INDEX(Питание!$C$14:$C$378,$J41)))</f>
        <v>#N/A</v>
      </c>
      <c r="E41" s="62" t="e">
        <f aca="false">IF($J41="",NA(),IF(INDEX(Питание!$P$14:$P$378,$J41)="",NA(),INDEX(Питание!$P$14:$P$378,$J41)))</f>
        <v>#N/A</v>
      </c>
      <c r="F41" s="55" t="n">
        <f aca="false">TargetKcal</f>
        <v>2200</v>
      </c>
      <c r="G41" s="62" t="e">
        <f aca="false">IF($J41="",NA(),IF(INDEX(Питание!$D$14:$D$378,$J41)="",NA(),INDEX(Питание!$D$14:$D$378,$J41)))</f>
        <v>#N/A</v>
      </c>
      <c r="H41" s="62" t="e">
        <f aca="false">IF($J41="",NA(),IF(INDEX(Питание!$Q$14:$Q$378,$J41)="",NA(),INDEX(Питание!$Q$14:$Q$378,$J41)))</f>
        <v>#N/A</v>
      </c>
      <c r="I41" s="55" t="n">
        <f aca="false">TargetProtein</f>
        <v>165</v>
      </c>
      <c r="J41" s="23" t="n">
        <f aca="false">IFERROR(MATCH($A41,Питание!$A$14:$A$378,0),"")</f>
        <v>31</v>
      </c>
    </row>
    <row r="42" customFormat="false" ht="15" hidden="false" customHeight="true" outlineLevel="0" collapsed="false">
      <c r="A42" s="61" t="n">
        <f aca="false">A41+1</f>
        <v>46325</v>
      </c>
      <c r="B42" s="62" t="e">
        <f aca="false">IF($J42="",NA(),IF(INDEX(Питание!$B$14:$B$378,$J42)="",NA(),INDEX(Питание!$B$14:$B$378,$J42)))</f>
        <v>#N/A</v>
      </c>
      <c r="C42" s="62" t="e">
        <f aca="false">IF($J42="",NA(),IF(INDEX(Питание!$O$14:$O$378,$J42)="",NA(),INDEX(Питание!$O$14:$O$378,$J42)))</f>
        <v>#N/A</v>
      </c>
      <c r="D42" s="62" t="e">
        <f aca="false">IF($J42="",NA(),IF(INDEX(Питание!$C$14:$C$378,$J42)="",NA(),INDEX(Питание!$C$14:$C$378,$J42)))</f>
        <v>#N/A</v>
      </c>
      <c r="E42" s="62" t="e">
        <f aca="false">IF($J42="",NA(),IF(INDEX(Питание!$P$14:$P$378,$J42)="",NA(),INDEX(Питание!$P$14:$P$378,$J42)))</f>
        <v>#N/A</v>
      </c>
      <c r="F42" s="55" t="n">
        <f aca="false">TargetKcal</f>
        <v>2200</v>
      </c>
      <c r="G42" s="62" t="e">
        <f aca="false">IF($J42="",NA(),IF(INDEX(Питание!$D$14:$D$378,$J42)="",NA(),INDEX(Питание!$D$14:$D$378,$J42)))</f>
        <v>#N/A</v>
      </c>
      <c r="H42" s="62" t="e">
        <f aca="false">IF($J42="",NA(),IF(INDEX(Питание!$Q$14:$Q$378,$J42)="",NA(),INDEX(Питание!$Q$14:$Q$378,$J42)))</f>
        <v>#N/A</v>
      </c>
      <c r="I42" s="55" t="n">
        <f aca="false">TargetProtein</f>
        <v>165</v>
      </c>
      <c r="J42" s="23" t="n">
        <f aca="false">IFERROR(MATCH($A42,Питание!$A$14:$A$378,0),"")</f>
        <v>32</v>
      </c>
    </row>
    <row r="43" customFormat="false" ht="15" hidden="false" customHeight="true" outlineLevel="0" collapsed="false">
      <c r="A43" s="61" t="n">
        <f aca="false">A42+1</f>
        <v>46326</v>
      </c>
      <c r="B43" s="62" t="e">
        <f aca="false">IF($J43="",NA(),IF(INDEX(Питание!$B$14:$B$378,$J43)="",NA(),INDEX(Питание!$B$14:$B$378,$J43)))</f>
        <v>#N/A</v>
      </c>
      <c r="C43" s="62" t="e">
        <f aca="false">IF($J43="",NA(),IF(INDEX(Питание!$O$14:$O$378,$J43)="",NA(),INDEX(Питание!$O$14:$O$378,$J43)))</f>
        <v>#N/A</v>
      </c>
      <c r="D43" s="62" t="e">
        <f aca="false">IF($J43="",NA(),IF(INDEX(Питание!$C$14:$C$378,$J43)="",NA(),INDEX(Питание!$C$14:$C$378,$J43)))</f>
        <v>#N/A</v>
      </c>
      <c r="E43" s="62" t="e">
        <f aca="false">IF($J43="",NA(),IF(INDEX(Питание!$P$14:$P$378,$J43)="",NA(),INDEX(Питание!$P$14:$P$378,$J43)))</f>
        <v>#N/A</v>
      </c>
      <c r="F43" s="55" t="n">
        <f aca="false">TargetKcal</f>
        <v>2200</v>
      </c>
      <c r="G43" s="62" t="e">
        <f aca="false">IF($J43="",NA(),IF(INDEX(Питание!$D$14:$D$378,$J43)="",NA(),INDEX(Питание!$D$14:$D$378,$J43)))</f>
        <v>#N/A</v>
      </c>
      <c r="H43" s="62" t="e">
        <f aca="false">IF($J43="",NA(),IF(INDEX(Питание!$Q$14:$Q$378,$J43)="",NA(),INDEX(Питание!$Q$14:$Q$378,$J43)))</f>
        <v>#N/A</v>
      </c>
      <c r="I43" s="55" t="n">
        <f aca="false">TargetProtein</f>
        <v>165</v>
      </c>
      <c r="J43" s="23" t="n">
        <f aca="false">IFERROR(MATCH($A43,Питание!$A$14:$A$378,0),"")</f>
        <v>33</v>
      </c>
    </row>
    <row r="44" customFormat="false" ht="15" hidden="false" customHeight="true" outlineLevel="0" collapsed="false">
      <c r="A44" s="61" t="n">
        <f aca="false">A43+1</f>
        <v>46327</v>
      </c>
      <c r="B44" s="62" t="e">
        <f aca="false">IF($J44="",NA(),IF(INDEX(Питание!$B$14:$B$378,$J44)="",NA(),INDEX(Питание!$B$14:$B$378,$J44)))</f>
        <v>#N/A</v>
      </c>
      <c r="C44" s="62" t="e">
        <f aca="false">IF($J44="",NA(),IF(INDEX(Питание!$O$14:$O$378,$J44)="",NA(),INDEX(Питание!$O$14:$O$378,$J44)))</f>
        <v>#N/A</v>
      </c>
      <c r="D44" s="62" t="e">
        <f aca="false">IF($J44="",NA(),IF(INDEX(Питание!$C$14:$C$378,$J44)="",NA(),INDEX(Питание!$C$14:$C$378,$J44)))</f>
        <v>#N/A</v>
      </c>
      <c r="E44" s="62" t="e">
        <f aca="false">IF($J44="",NA(),IF(INDEX(Питание!$P$14:$P$378,$J44)="",NA(),INDEX(Питание!$P$14:$P$378,$J44)))</f>
        <v>#N/A</v>
      </c>
      <c r="F44" s="55" t="n">
        <f aca="false">TargetKcal</f>
        <v>2200</v>
      </c>
      <c r="G44" s="62" t="e">
        <f aca="false">IF($J44="",NA(),IF(INDEX(Питание!$D$14:$D$378,$J44)="",NA(),INDEX(Питание!$D$14:$D$378,$J44)))</f>
        <v>#N/A</v>
      </c>
      <c r="H44" s="62" t="e">
        <f aca="false">IF($J44="",NA(),IF(INDEX(Питание!$Q$14:$Q$378,$J44)="",NA(),INDEX(Питание!$Q$14:$Q$378,$J44)))</f>
        <v>#N/A</v>
      </c>
      <c r="I44" s="55" t="n">
        <f aca="false">TargetProtein</f>
        <v>165</v>
      </c>
      <c r="J44" s="23" t="n">
        <f aca="false">IFERROR(MATCH($A44,Питание!$A$14:$A$378,0),"")</f>
        <v>34</v>
      </c>
    </row>
    <row r="45" customFormat="false" ht="15" hidden="false" customHeight="true" outlineLevel="0" collapsed="false">
      <c r="A45" s="61" t="n">
        <f aca="false">A44+1</f>
        <v>46328</v>
      </c>
      <c r="B45" s="62" t="e">
        <f aca="false">IF($J45="",NA(),IF(INDEX(Питание!$B$14:$B$378,$J45)="",NA(),INDEX(Питание!$B$14:$B$378,$J45)))</f>
        <v>#N/A</v>
      </c>
      <c r="C45" s="62" t="e">
        <f aca="false">IF($J45="",NA(),IF(INDEX(Питание!$O$14:$O$378,$J45)="",NA(),INDEX(Питание!$O$14:$O$378,$J45)))</f>
        <v>#N/A</v>
      </c>
      <c r="D45" s="62" t="e">
        <f aca="false">IF($J45="",NA(),IF(INDEX(Питание!$C$14:$C$378,$J45)="",NA(),INDEX(Питание!$C$14:$C$378,$J45)))</f>
        <v>#N/A</v>
      </c>
      <c r="E45" s="62" t="e">
        <f aca="false">IF($J45="",NA(),IF(INDEX(Питание!$P$14:$P$378,$J45)="",NA(),INDEX(Питание!$P$14:$P$378,$J45)))</f>
        <v>#N/A</v>
      </c>
      <c r="F45" s="55" t="n">
        <f aca="false">TargetKcal</f>
        <v>2200</v>
      </c>
      <c r="G45" s="62" t="e">
        <f aca="false">IF($J45="",NA(),IF(INDEX(Питание!$D$14:$D$378,$J45)="",NA(),INDEX(Питание!$D$14:$D$378,$J45)))</f>
        <v>#N/A</v>
      </c>
      <c r="H45" s="62" t="e">
        <f aca="false">IF($J45="",NA(),IF(INDEX(Питание!$Q$14:$Q$378,$J45)="",NA(),INDEX(Питание!$Q$14:$Q$378,$J45)))</f>
        <v>#N/A</v>
      </c>
      <c r="I45" s="55" t="n">
        <f aca="false">TargetProtein</f>
        <v>165</v>
      </c>
      <c r="J45" s="23" t="n">
        <f aca="false">IFERROR(MATCH($A45,Питание!$A$14:$A$378,0),"")</f>
        <v>35</v>
      </c>
    </row>
    <row r="46" customFormat="false" ht="15" hidden="false" customHeight="true" outlineLevel="0" collapsed="false">
      <c r="A46" s="61" t="n">
        <f aca="false">A45+1</f>
        <v>46329</v>
      </c>
      <c r="B46" s="62" t="e">
        <f aca="false">IF($J46="",NA(),IF(INDEX(Питание!$B$14:$B$378,$J46)="",NA(),INDEX(Питание!$B$14:$B$378,$J46)))</f>
        <v>#N/A</v>
      </c>
      <c r="C46" s="62" t="e">
        <f aca="false">IF($J46="",NA(),IF(INDEX(Питание!$O$14:$O$378,$J46)="",NA(),INDEX(Питание!$O$14:$O$378,$J46)))</f>
        <v>#N/A</v>
      </c>
      <c r="D46" s="62" t="e">
        <f aca="false">IF($J46="",NA(),IF(INDEX(Питание!$C$14:$C$378,$J46)="",NA(),INDEX(Питание!$C$14:$C$378,$J46)))</f>
        <v>#N/A</v>
      </c>
      <c r="E46" s="62" t="e">
        <f aca="false">IF($J46="",NA(),IF(INDEX(Питание!$P$14:$P$378,$J46)="",NA(),INDEX(Питание!$P$14:$P$378,$J46)))</f>
        <v>#N/A</v>
      </c>
      <c r="F46" s="55" t="n">
        <f aca="false">TargetKcal</f>
        <v>2200</v>
      </c>
      <c r="G46" s="62" t="e">
        <f aca="false">IF($J46="",NA(),IF(INDEX(Питание!$D$14:$D$378,$J46)="",NA(),INDEX(Питание!$D$14:$D$378,$J46)))</f>
        <v>#N/A</v>
      </c>
      <c r="H46" s="62" t="e">
        <f aca="false">IF($J46="",NA(),IF(INDEX(Питание!$Q$14:$Q$378,$J46)="",NA(),INDEX(Питание!$Q$14:$Q$378,$J46)))</f>
        <v>#N/A</v>
      </c>
      <c r="I46" s="55" t="n">
        <f aca="false">TargetProtein</f>
        <v>165</v>
      </c>
      <c r="J46" s="23" t="n">
        <f aca="false">IFERROR(MATCH($A46,Питание!$A$14:$A$378,0),"")</f>
        <v>36</v>
      </c>
    </row>
    <row r="47" customFormat="false" ht="15" hidden="false" customHeight="true" outlineLevel="0" collapsed="false">
      <c r="A47" s="61" t="n">
        <f aca="false">A46+1</f>
        <v>46330</v>
      </c>
      <c r="B47" s="62" t="e">
        <f aca="false">IF($J47="",NA(),IF(INDEX(Питание!$B$14:$B$378,$J47)="",NA(),INDEX(Питание!$B$14:$B$378,$J47)))</f>
        <v>#N/A</v>
      </c>
      <c r="C47" s="62" t="e">
        <f aca="false">IF($J47="",NA(),IF(INDEX(Питание!$O$14:$O$378,$J47)="",NA(),INDEX(Питание!$O$14:$O$378,$J47)))</f>
        <v>#N/A</v>
      </c>
      <c r="D47" s="62" t="e">
        <f aca="false">IF($J47="",NA(),IF(INDEX(Питание!$C$14:$C$378,$J47)="",NA(),INDEX(Питание!$C$14:$C$378,$J47)))</f>
        <v>#N/A</v>
      </c>
      <c r="E47" s="62" t="e">
        <f aca="false">IF($J47="",NA(),IF(INDEX(Питание!$P$14:$P$378,$J47)="",NA(),INDEX(Питание!$P$14:$P$378,$J47)))</f>
        <v>#N/A</v>
      </c>
      <c r="F47" s="55" t="n">
        <f aca="false">TargetKcal</f>
        <v>2200</v>
      </c>
      <c r="G47" s="62" t="e">
        <f aca="false">IF($J47="",NA(),IF(INDEX(Питание!$D$14:$D$378,$J47)="",NA(),INDEX(Питание!$D$14:$D$378,$J47)))</f>
        <v>#N/A</v>
      </c>
      <c r="H47" s="62" t="e">
        <f aca="false">IF($J47="",NA(),IF(INDEX(Питание!$Q$14:$Q$378,$J47)="",NA(),INDEX(Питание!$Q$14:$Q$378,$J47)))</f>
        <v>#N/A</v>
      </c>
      <c r="I47" s="55" t="n">
        <f aca="false">TargetProtein</f>
        <v>165</v>
      </c>
      <c r="J47" s="23" t="n">
        <f aca="false">IFERROR(MATCH($A47,Питание!$A$14:$A$378,0),"")</f>
        <v>37</v>
      </c>
    </row>
    <row r="48" customFormat="false" ht="15" hidden="false" customHeight="true" outlineLevel="0" collapsed="false">
      <c r="A48" s="61" t="n">
        <f aca="false">A47+1</f>
        <v>46331</v>
      </c>
      <c r="B48" s="62" t="e">
        <f aca="false">IF($J48="",NA(),IF(INDEX(Питание!$B$14:$B$378,$J48)="",NA(),INDEX(Питание!$B$14:$B$378,$J48)))</f>
        <v>#N/A</v>
      </c>
      <c r="C48" s="62" t="e">
        <f aca="false">IF($J48="",NA(),IF(INDEX(Питание!$O$14:$O$378,$J48)="",NA(),INDEX(Питание!$O$14:$O$378,$J48)))</f>
        <v>#N/A</v>
      </c>
      <c r="D48" s="62" t="e">
        <f aca="false">IF($J48="",NA(),IF(INDEX(Питание!$C$14:$C$378,$J48)="",NA(),INDEX(Питание!$C$14:$C$378,$J48)))</f>
        <v>#N/A</v>
      </c>
      <c r="E48" s="62" t="e">
        <f aca="false">IF($J48="",NA(),IF(INDEX(Питание!$P$14:$P$378,$J48)="",NA(),INDEX(Питание!$P$14:$P$378,$J48)))</f>
        <v>#N/A</v>
      </c>
      <c r="F48" s="55" t="n">
        <f aca="false">TargetKcal</f>
        <v>2200</v>
      </c>
      <c r="G48" s="62" t="e">
        <f aca="false">IF($J48="",NA(),IF(INDEX(Питание!$D$14:$D$378,$J48)="",NA(),INDEX(Питание!$D$14:$D$378,$J48)))</f>
        <v>#N/A</v>
      </c>
      <c r="H48" s="62" t="e">
        <f aca="false">IF($J48="",NA(),IF(INDEX(Питание!$Q$14:$Q$378,$J48)="",NA(),INDEX(Питание!$Q$14:$Q$378,$J48)))</f>
        <v>#N/A</v>
      </c>
      <c r="I48" s="55" t="n">
        <f aca="false">TargetProtein</f>
        <v>165</v>
      </c>
      <c r="J48" s="23" t="n">
        <f aca="false">IFERROR(MATCH($A48,Питание!$A$14:$A$378,0),"")</f>
        <v>38</v>
      </c>
    </row>
    <row r="49" customFormat="false" ht="15" hidden="false" customHeight="true" outlineLevel="0" collapsed="false">
      <c r="A49" s="61" t="n">
        <f aca="false">A48+1</f>
        <v>46332</v>
      </c>
      <c r="B49" s="62" t="e">
        <f aca="false">IF($J49="",NA(),IF(INDEX(Питание!$B$14:$B$378,$J49)="",NA(),INDEX(Питание!$B$14:$B$378,$J49)))</f>
        <v>#N/A</v>
      </c>
      <c r="C49" s="62" t="e">
        <f aca="false">IF($J49="",NA(),IF(INDEX(Питание!$O$14:$O$378,$J49)="",NA(),INDEX(Питание!$O$14:$O$378,$J49)))</f>
        <v>#N/A</v>
      </c>
      <c r="D49" s="62" t="e">
        <f aca="false">IF($J49="",NA(),IF(INDEX(Питание!$C$14:$C$378,$J49)="",NA(),INDEX(Питание!$C$14:$C$378,$J49)))</f>
        <v>#N/A</v>
      </c>
      <c r="E49" s="62" t="e">
        <f aca="false">IF($J49="",NA(),IF(INDEX(Питание!$P$14:$P$378,$J49)="",NA(),INDEX(Питание!$P$14:$P$378,$J49)))</f>
        <v>#N/A</v>
      </c>
      <c r="F49" s="55" t="n">
        <f aca="false">TargetKcal</f>
        <v>2200</v>
      </c>
      <c r="G49" s="62" t="e">
        <f aca="false">IF($J49="",NA(),IF(INDEX(Питание!$D$14:$D$378,$J49)="",NA(),INDEX(Питание!$D$14:$D$378,$J49)))</f>
        <v>#N/A</v>
      </c>
      <c r="H49" s="62" t="e">
        <f aca="false">IF($J49="",NA(),IF(INDEX(Питание!$Q$14:$Q$378,$J49)="",NA(),INDEX(Питание!$Q$14:$Q$378,$J49)))</f>
        <v>#N/A</v>
      </c>
      <c r="I49" s="55" t="n">
        <f aca="false">TargetProtein</f>
        <v>165</v>
      </c>
      <c r="J49" s="23" t="n">
        <f aca="false">IFERROR(MATCH($A49,Питание!$A$14:$A$378,0),"")</f>
        <v>39</v>
      </c>
    </row>
    <row r="50" customFormat="false" ht="15" hidden="false" customHeight="true" outlineLevel="0" collapsed="false">
      <c r="A50" s="61" t="n">
        <f aca="false">A49+1</f>
        <v>46333</v>
      </c>
      <c r="B50" s="62" t="e">
        <f aca="false">IF($J50="",NA(),IF(INDEX(Питание!$B$14:$B$378,$J50)="",NA(),INDEX(Питание!$B$14:$B$378,$J50)))</f>
        <v>#N/A</v>
      </c>
      <c r="C50" s="62" t="e">
        <f aca="false">IF($J50="",NA(),IF(INDEX(Питание!$O$14:$O$378,$J50)="",NA(),INDEX(Питание!$O$14:$O$378,$J50)))</f>
        <v>#N/A</v>
      </c>
      <c r="D50" s="62" t="e">
        <f aca="false">IF($J50="",NA(),IF(INDEX(Питание!$C$14:$C$378,$J50)="",NA(),INDEX(Питание!$C$14:$C$378,$J50)))</f>
        <v>#N/A</v>
      </c>
      <c r="E50" s="62" t="e">
        <f aca="false">IF($J50="",NA(),IF(INDEX(Питание!$P$14:$P$378,$J50)="",NA(),INDEX(Питание!$P$14:$P$378,$J50)))</f>
        <v>#N/A</v>
      </c>
      <c r="F50" s="55" t="n">
        <f aca="false">TargetKcal</f>
        <v>2200</v>
      </c>
      <c r="G50" s="62" t="e">
        <f aca="false">IF($J50="",NA(),IF(INDEX(Питание!$D$14:$D$378,$J50)="",NA(),INDEX(Питание!$D$14:$D$378,$J50)))</f>
        <v>#N/A</v>
      </c>
      <c r="H50" s="62" t="e">
        <f aca="false">IF($J50="",NA(),IF(INDEX(Питание!$Q$14:$Q$378,$J50)="",NA(),INDEX(Питание!$Q$14:$Q$378,$J50)))</f>
        <v>#N/A</v>
      </c>
      <c r="I50" s="55" t="n">
        <f aca="false">TargetProtein</f>
        <v>165</v>
      </c>
      <c r="J50" s="23" t="n">
        <f aca="false">IFERROR(MATCH($A50,Питание!$A$14:$A$378,0),"")</f>
        <v>40</v>
      </c>
    </row>
    <row r="51" customFormat="false" ht="15" hidden="false" customHeight="true" outlineLevel="0" collapsed="false">
      <c r="A51" s="61" t="n">
        <f aca="false">A50+1</f>
        <v>46334</v>
      </c>
      <c r="B51" s="62" t="e">
        <f aca="false">IF($J51="",NA(),IF(INDEX(Питание!$B$14:$B$378,$J51)="",NA(),INDEX(Питание!$B$14:$B$378,$J51)))</f>
        <v>#N/A</v>
      </c>
      <c r="C51" s="62" t="e">
        <f aca="false">IF($J51="",NA(),IF(INDEX(Питание!$O$14:$O$378,$J51)="",NA(),INDEX(Питание!$O$14:$O$378,$J51)))</f>
        <v>#N/A</v>
      </c>
      <c r="D51" s="62" t="e">
        <f aca="false">IF($J51="",NA(),IF(INDEX(Питание!$C$14:$C$378,$J51)="",NA(),INDEX(Питание!$C$14:$C$378,$J51)))</f>
        <v>#N/A</v>
      </c>
      <c r="E51" s="62" t="e">
        <f aca="false">IF($J51="",NA(),IF(INDEX(Питание!$P$14:$P$378,$J51)="",NA(),INDEX(Питание!$P$14:$P$378,$J51)))</f>
        <v>#N/A</v>
      </c>
      <c r="F51" s="55" t="n">
        <f aca="false">TargetKcal</f>
        <v>2200</v>
      </c>
      <c r="G51" s="62" t="e">
        <f aca="false">IF($J51="",NA(),IF(INDEX(Питание!$D$14:$D$378,$J51)="",NA(),INDEX(Питание!$D$14:$D$378,$J51)))</f>
        <v>#N/A</v>
      </c>
      <c r="H51" s="62" t="e">
        <f aca="false">IF($J51="",NA(),IF(INDEX(Питание!$Q$14:$Q$378,$J51)="",NA(),INDEX(Питание!$Q$14:$Q$378,$J51)))</f>
        <v>#N/A</v>
      </c>
      <c r="I51" s="55" t="n">
        <f aca="false">TargetProtein</f>
        <v>165</v>
      </c>
      <c r="J51" s="23" t="n">
        <f aca="false">IFERROR(MATCH($A51,Питание!$A$14:$A$378,0),"")</f>
        <v>41</v>
      </c>
    </row>
    <row r="52" customFormat="false" ht="15" hidden="false" customHeight="true" outlineLevel="0" collapsed="false">
      <c r="A52" s="61" t="n">
        <f aca="false">A51+1</f>
        <v>46335</v>
      </c>
      <c r="B52" s="62" t="e">
        <f aca="false">IF($J52="",NA(),IF(INDEX(Питание!$B$14:$B$378,$J52)="",NA(),INDEX(Питание!$B$14:$B$378,$J52)))</f>
        <v>#N/A</v>
      </c>
      <c r="C52" s="62" t="e">
        <f aca="false">IF($J52="",NA(),IF(INDEX(Питание!$O$14:$O$378,$J52)="",NA(),INDEX(Питание!$O$14:$O$378,$J52)))</f>
        <v>#N/A</v>
      </c>
      <c r="D52" s="62" t="e">
        <f aca="false">IF($J52="",NA(),IF(INDEX(Питание!$C$14:$C$378,$J52)="",NA(),INDEX(Питание!$C$14:$C$378,$J52)))</f>
        <v>#N/A</v>
      </c>
      <c r="E52" s="62" t="e">
        <f aca="false">IF($J52="",NA(),IF(INDEX(Питание!$P$14:$P$378,$J52)="",NA(),INDEX(Питание!$P$14:$P$378,$J52)))</f>
        <v>#N/A</v>
      </c>
      <c r="F52" s="55" t="n">
        <f aca="false">TargetKcal</f>
        <v>2200</v>
      </c>
      <c r="G52" s="62" t="e">
        <f aca="false">IF($J52="",NA(),IF(INDEX(Питание!$D$14:$D$378,$J52)="",NA(),INDEX(Питание!$D$14:$D$378,$J52)))</f>
        <v>#N/A</v>
      </c>
      <c r="H52" s="62" t="e">
        <f aca="false">IF($J52="",NA(),IF(INDEX(Питание!$Q$14:$Q$378,$J52)="",NA(),INDEX(Питание!$Q$14:$Q$378,$J52)))</f>
        <v>#N/A</v>
      </c>
      <c r="I52" s="55" t="n">
        <f aca="false">TargetProtein</f>
        <v>165</v>
      </c>
      <c r="J52" s="23" t="n">
        <f aca="false">IFERROR(MATCH($A52,Питание!$A$14:$A$378,0),"")</f>
        <v>42</v>
      </c>
    </row>
    <row r="53" customFormat="false" ht="15" hidden="false" customHeight="true" outlineLevel="0" collapsed="false">
      <c r="A53" s="61" t="n">
        <f aca="false">A52+1</f>
        <v>46336</v>
      </c>
      <c r="B53" s="62" t="e">
        <f aca="false">IF($J53="",NA(),IF(INDEX(Питание!$B$14:$B$378,$J53)="",NA(),INDEX(Питание!$B$14:$B$378,$J53)))</f>
        <v>#N/A</v>
      </c>
      <c r="C53" s="62" t="e">
        <f aca="false">IF($J53="",NA(),IF(INDEX(Питание!$O$14:$O$378,$J53)="",NA(),INDEX(Питание!$O$14:$O$378,$J53)))</f>
        <v>#N/A</v>
      </c>
      <c r="D53" s="62" t="e">
        <f aca="false">IF($J53="",NA(),IF(INDEX(Питание!$C$14:$C$378,$J53)="",NA(),INDEX(Питание!$C$14:$C$378,$J53)))</f>
        <v>#N/A</v>
      </c>
      <c r="E53" s="62" t="e">
        <f aca="false">IF($J53="",NA(),IF(INDEX(Питание!$P$14:$P$378,$J53)="",NA(),INDEX(Питание!$P$14:$P$378,$J53)))</f>
        <v>#N/A</v>
      </c>
      <c r="F53" s="55" t="n">
        <f aca="false">TargetKcal</f>
        <v>2200</v>
      </c>
      <c r="G53" s="62" t="e">
        <f aca="false">IF($J53="",NA(),IF(INDEX(Питание!$D$14:$D$378,$J53)="",NA(),INDEX(Питание!$D$14:$D$378,$J53)))</f>
        <v>#N/A</v>
      </c>
      <c r="H53" s="62" t="e">
        <f aca="false">IF($J53="",NA(),IF(INDEX(Питание!$Q$14:$Q$378,$J53)="",NA(),INDEX(Питание!$Q$14:$Q$378,$J53)))</f>
        <v>#N/A</v>
      </c>
      <c r="I53" s="55" t="n">
        <f aca="false">TargetProtein</f>
        <v>165</v>
      </c>
      <c r="J53" s="23" t="n">
        <f aca="false">IFERROR(MATCH($A53,Питание!$A$14:$A$378,0),"")</f>
        <v>43</v>
      </c>
    </row>
    <row r="54" customFormat="false" ht="15" hidden="false" customHeight="true" outlineLevel="0" collapsed="false">
      <c r="A54" s="61" t="n">
        <f aca="false">A53+1</f>
        <v>46337</v>
      </c>
      <c r="B54" s="62" t="e">
        <f aca="false">IF($J54="",NA(),IF(INDEX(Питание!$B$14:$B$378,$J54)="",NA(),INDEX(Питание!$B$14:$B$378,$J54)))</f>
        <v>#N/A</v>
      </c>
      <c r="C54" s="62" t="e">
        <f aca="false">IF($J54="",NA(),IF(INDEX(Питание!$O$14:$O$378,$J54)="",NA(),INDEX(Питание!$O$14:$O$378,$J54)))</f>
        <v>#N/A</v>
      </c>
      <c r="D54" s="62" t="e">
        <f aca="false">IF($J54="",NA(),IF(INDEX(Питание!$C$14:$C$378,$J54)="",NA(),INDEX(Питание!$C$14:$C$378,$J54)))</f>
        <v>#N/A</v>
      </c>
      <c r="E54" s="62" t="e">
        <f aca="false">IF($J54="",NA(),IF(INDEX(Питание!$P$14:$P$378,$J54)="",NA(),INDEX(Питание!$P$14:$P$378,$J54)))</f>
        <v>#N/A</v>
      </c>
      <c r="F54" s="55" t="n">
        <f aca="false">TargetKcal</f>
        <v>2200</v>
      </c>
      <c r="G54" s="62" t="e">
        <f aca="false">IF($J54="",NA(),IF(INDEX(Питание!$D$14:$D$378,$J54)="",NA(),INDEX(Питание!$D$14:$D$378,$J54)))</f>
        <v>#N/A</v>
      </c>
      <c r="H54" s="62" t="e">
        <f aca="false">IF($J54="",NA(),IF(INDEX(Питание!$Q$14:$Q$378,$J54)="",NA(),INDEX(Питание!$Q$14:$Q$378,$J54)))</f>
        <v>#N/A</v>
      </c>
      <c r="I54" s="55" t="n">
        <f aca="false">TargetProtein</f>
        <v>165</v>
      </c>
      <c r="J54" s="23" t="n">
        <f aca="false">IFERROR(MATCH($A54,Питание!$A$14:$A$378,0),"")</f>
        <v>44</v>
      </c>
    </row>
    <row r="55" customFormat="false" ht="15" hidden="false" customHeight="true" outlineLevel="0" collapsed="false">
      <c r="A55" s="61" t="n">
        <f aca="false">A54+1</f>
        <v>46338</v>
      </c>
      <c r="B55" s="62" t="e">
        <f aca="false">IF($J55="",NA(),IF(INDEX(Питание!$B$14:$B$378,$J55)="",NA(),INDEX(Питание!$B$14:$B$378,$J55)))</f>
        <v>#N/A</v>
      </c>
      <c r="C55" s="62" t="e">
        <f aca="false">IF($J55="",NA(),IF(INDEX(Питание!$O$14:$O$378,$J55)="",NA(),INDEX(Питание!$O$14:$O$378,$J55)))</f>
        <v>#N/A</v>
      </c>
      <c r="D55" s="62" t="e">
        <f aca="false">IF($J55="",NA(),IF(INDEX(Питание!$C$14:$C$378,$J55)="",NA(),INDEX(Питание!$C$14:$C$378,$J55)))</f>
        <v>#N/A</v>
      </c>
      <c r="E55" s="62" t="e">
        <f aca="false">IF($J55="",NA(),IF(INDEX(Питание!$P$14:$P$378,$J55)="",NA(),INDEX(Питание!$P$14:$P$378,$J55)))</f>
        <v>#N/A</v>
      </c>
      <c r="F55" s="55" t="n">
        <f aca="false">TargetKcal</f>
        <v>2200</v>
      </c>
      <c r="G55" s="62" t="e">
        <f aca="false">IF($J55="",NA(),IF(INDEX(Питание!$D$14:$D$378,$J55)="",NA(),INDEX(Питание!$D$14:$D$378,$J55)))</f>
        <v>#N/A</v>
      </c>
      <c r="H55" s="62" t="e">
        <f aca="false">IF($J55="",NA(),IF(INDEX(Питание!$Q$14:$Q$378,$J55)="",NA(),INDEX(Питание!$Q$14:$Q$378,$J55)))</f>
        <v>#N/A</v>
      </c>
      <c r="I55" s="55" t="n">
        <f aca="false">TargetProtein</f>
        <v>165</v>
      </c>
      <c r="J55" s="23" t="n">
        <f aca="false">IFERROR(MATCH($A55,Питание!$A$14:$A$378,0),"")</f>
        <v>45</v>
      </c>
    </row>
    <row r="56" customFormat="false" ht="15" hidden="false" customHeight="true" outlineLevel="0" collapsed="false">
      <c r="A56" s="61" t="n">
        <f aca="false">A55+1</f>
        <v>46339</v>
      </c>
      <c r="B56" s="62" t="e">
        <f aca="false">IF($J56="",NA(),IF(INDEX(Питание!$B$14:$B$378,$J56)="",NA(),INDEX(Питание!$B$14:$B$378,$J56)))</f>
        <v>#N/A</v>
      </c>
      <c r="C56" s="62" t="e">
        <f aca="false">IF($J56="",NA(),IF(INDEX(Питание!$O$14:$O$378,$J56)="",NA(),INDEX(Питание!$O$14:$O$378,$J56)))</f>
        <v>#N/A</v>
      </c>
      <c r="D56" s="62" t="e">
        <f aca="false">IF($J56="",NA(),IF(INDEX(Питание!$C$14:$C$378,$J56)="",NA(),INDEX(Питание!$C$14:$C$378,$J56)))</f>
        <v>#N/A</v>
      </c>
      <c r="E56" s="62" t="e">
        <f aca="false">IF($J56="",NA(),IF(INDEX(Питание!$P$14:$P$378,$J56)="",NA(),INDEX(Питание!$P$14:$P$378,$J56)))</f>
        <v>#N/A</v>
      </c>
      <c r="F56" s="55" t="n">
        <f aca="false">TargetKcal</f>
        <v>2200</v>
      </c>
      <c r="G56" s="62" t="e">
        <f aca="false">IF($J56="",NA(),IF(INDEX(Питание!$D$14:$D$378,$J56)="",NA(),INDEX(Питание!$D$14:$D$378,$J56)))</f>
        <v>#N/A</v>
      </c>
      <c r="H56" s="62" t="e">
        <f aca="false">IF($J56="",NA(),IF(INDEX(Питание!$Q$14:$Q$378,$J56)="",NA(),INDEX(Питание!$Q$14:$Q$378,$J56)))</f>
        <v>#N/A</v>
      </c>
      <c r="I56" s="55" t="n">
        <f aca="false">TargetProtein</f>
        <v>165</v>
      </c>
      <c r="J56" s="23" t="n">
        <f aca="false">IFERROR(MATCH($A56,Питание!$A$14:$A$378,0),"")</f>
        <v>46</v>
      </c>
    </row>
    <row r="57" customFormat="false" ht="15" hidden="false" customHeight="true" outlineLevel="0" collapsed="false">
      <c r="A57" s="61" t="n">
        <f aca="false">A56+1</f>
        <v>46340</v>
      </c>
      <c r="B57" s="62" t="e">
        <f aca="false">IF($J57="",NA(),IF(INDEX(Питание!$B$14:$B$378,$J57)="",NA(),INDEX(Питание!$B$14:$B$378,$J57)))</f>
        <v>#N/A</v>
      </c>
      <c r="C57" s="62" t="e">
        <f aca="false">IF($J57="",NA(),IF(INDEX(Питание!$O$14:$O$378,$J57)="",NA(),INDEX(Питание!$O$14:$O$378,$J57)))</f>
        <v>#N/A</v>
      </c>
      <c r="D57" s="62" t="e">
        <f aca="false">IF($J57="",NA(),IF(INDEX(Питание!$C$14:$C$378,$J57)="",NA(),INDEX(Питание!$C$14:$C$378,$J57)))</f>
        <v>#N/A</v>
      </c>
      <c r="E57" s="62" t="e">
        <f aca="false">IF($J57="",NA(),IF(INDEX(Питание!$P$14:$P$378,$J57)="",NA(),INDEX(Питание!$P$14:$P$378,$J57)))</f>
        <v>#N/A</v>
      </c>
      <c r="F57" s="55" t="n">
        <f aca="false">TargetKcal</f>
        <v>2200</v>
      </c>
      <c r="G57" s="62" t="e">
        <f aca="false">IF($J57="",NA(),IF(INDEX(Питание!$D$14:$D$378,$J57)="",NA(),INDEX(Питание!$D$14:$D$378,$J57)))</f>
        <v>#N/A</v>
      </c>
      <c r="H57" s="62" t="e">
        <f aca="false">IF($J57="",NA(),IF(INDEX(Питание!$Q$14:$Q$378,$J57)="",NA(),INDEX(Питание!$Q$14:$Q$378,$J57)))</f>
        <v>#N/A</v>
      </c>
      <c r="I57" s="55" t="n">
        <f aca="false">TargetProtein</f>
        <v>165</v>
      </c>
      <c r="J57" s="23" t="n">
        <f aca="false">IFERROR(MATCH($A57,Питание!$A$14:$A$378,0),"")</f>
        <v>47</v>
      </c>
    </row>
    <row r="58" customFormat="false" ht="15" hidden="false" customHeight="true" outlineLevel="0" collapsed="false">
      <c r="A58" s="61" t="n">
        <f aca="false">A57+1</f>
        <v>46341</v>
      </c>
      <c r="B58" s="62" t="e">
        <f aca="false">IF($J58="",NA(),IF(INDEX(Питание!$B$14:$B$378,$J58)="",NA(),INDEX(Питание!$B$14:$B$378,$J58)))</f>
        <v>#N/A</v>
      </c>
      <c r="C58" s="62" t="e">
        <f aca="false">IF($J58="",NA(),IF(INDEX(Питание!$O$14:$O$378,$J58)="",NA(),INDEX(Питание!$O$14:$O$378,$J58)))</f>
        <v>#N/A</v>
      </c>
      <c r="D58" s="62" t="e">
        <f aca="false">IF($J58="",NA(),IF(INDEX(Питание!$C$14:$C$378,$J58)="",NA(),INDEX(Питание!$C$14:$C$378,$J58)))</f>
        <v>#N/A</v>
      </c>
      <c r="E58" s="62" t="e">
        <f aca="false">IF($J58="",NA(),IF(INDEX(Питание!$P$14:$P$378,$J58)="",NA(),INDEX(Питание!$P$14:$P$378,$J58)))</f>
        <v>#N/A</v>
      </c>
      <c r="F58" s="55" t="n">
        <f aca="false">TargetKcal</f>
        <v>2200</v>
      </c>
      <c r="G58" s="62" t="e">
        <f aca="false">IF($J58="",NA(),IF(INDEX(Питание!$D$14:$D$378,$J58)="",NA(),INDEX(Питание!$D$14:$D$378,$J58)))</f>
        <v>#N/A</v>
      </c>
      <c r="H58" s="62" t="e">
        <f aca="false">IF($J58="",NA(),IF(INDEX(Питание!$Q$14:$Q$378,$J58)="",NA(),INDEX(Питание!$Q$14:$Q$378,$J58)))</f>
        <v>#N/A</v>
      </c>
      <c r="I58" s="55" t="n">
        <f aca="false">TargetProtein</f>
        <v>165</v>
      </c>
      <c r="J58" s="23" t="n">
        <f aca="false">IFERROR(MATCH($A58,Питание!$A$14:$A$378,0),"")</f>
        <v>48</v>
      </c>
    </row>
    <row r="59" customFormat="false" ht="15" hidden="false" customHeight="true" outlineLevel="0" collapsed="false">
      <c r="A59" s="61" t="n">
        <f aca="false">A58+1</f>
        <v>46342</v>
      </c>
      <c r="B59" s="62" t="e">
        <f aca="false">IF($J59="",NA(),IF(INDEX(Питание!$B$14:$B$378,$J59)="",NA(),INDEX(Питание!$B$14:$B$378,$J59)))</f>
        <v>#N/A</v>
      </c>
      <c r="C59" s="62" t="e">
        <f aca="false">IF($J59="",NA(),IF(INDEX(Питание!$O$14:$O$378,$J59)="",NA(),INDEX(Питание!$O$14:$O$378,$J59)))</f>
        <v>#N/A</v>
      </c>
      <c r="D59" s="62" t="e">
        <f aca="false">IF($J59="",NA(),IF(INDEX(Питание!$C$14:$C$378,$J59)="",NA(),INDEX(Питание!$C$14:$C$378,$J59)))</f>
        <v>#N/A</v>
      </c>
      <c r="E59" s="62" t="e">
        <f aca="false">IF($J59="",NA(),IF(INDEX(Питание!$P$14:$P$378,$J59)="",NA(),INDEX(Питание!$P$14:$P$378,$J59)))</f>
        <v>#N/A</v>
      </c>
      <c r="F59" s="55" t="n">
        <f aca="false">TargetKcal</f>
        <v>2200</v>
      </c>
      <c r="G59" s="62" t="e">
        <f aca="false">IF($J59="",NA(),IF(INDEX(Питание!$D$14:$D$378,$J59)="",NA(),INDEX(Питание!$D$14:$D$378,$J59)))</f>
        <v>#N/A</v>
      </c>
      <c r="H59" s="62" t="e">
        <f aca="false">IF($J59="",NA(),IF(INDEX(Питание!$Q$14:$Q$378,$J59)="",NA(),INDEX(Питание!$Q$14:$Q$378,$J59)))</f>
        <v>#N/A</v>
      </c>
      <c r="I59" s="55" t="n">
        <f aca="false">TargetProtein</f>
        <v>165</v>
      </c>
      <c r="J59" s="23" t="n">
        <f aca="false">IFERROR(MATCH($A59,Питание!$A$14:$A$378,0),"")</f>
        <v>49</v>
      </c>
    </row>
    <row r="60" customFormat="false" ht="15" hidden="false" customHeight="true" outlineLevel="0" collapsed="false">
      <c r="A60" s="61" t="n">
        <f aca="false">A59+1</f>
        <v>46343</v>
      </c>
      <c r="B60" s="62" t="e">
        <f aca="false">IF($J60="",NA(),IF(INDEX(Питание!$B$14:$B$378,$J60)="",NA(),INDEX(Питание!$B$14:$B$378,$J60)))</f>
        <v>#N/A</v>
      </c>
      <c r="C60" s="62" t="e">
        <f aca="false">IF($J60="",NA(),IF(INDEX(Питание!$O$14:$O$378,$J60)="",NA(),INDEX(Питание!$O$14:$O$378,$J60)))</f>
        <v>#N/A</v>
      </c>
      <c r="D60" s="62" t="e">
        <f aca="false">IF($J60="",NA(),IF(INDEX(Питание!$C$14:$C$378,$J60)="",NA(),INDEX(Питание!$C$14:$C$378,$J60)))</f>
        <v>#N/A</v>
      </c>
      <c r="E60" s="62" t="e">
        <f aca="false">IF($J60="",NA(),IF(INDEX(Питание!$P$14:$P$378,$J60)="",NA(),INDEX(Питание!$P$14:$P$378,$J60)))</f>
        <v>#N/A</v>
      </c>
      <c r="F60" s="55" t="n">
        <f aca="false">TargetKcal</f>
        <v>2200</v>
      </c>
      <c r="G60" s="62" t="e">
        <f aca="false">IF($J60="",NA(),IF(INDEX(Питание!$D$14:$D$378,$J60)="",NA(),INDEX(Питание!$D$14:$D$378,$J60)))</f>
        <v>#N/A</v>
      </c>
      <c r="H60" s="62" t="e">
        <f aca="false">IF($J60="",NA(),IF(INDEX(Питание!$Q$14:$Q$378,$J60)="",NA(),INDEX(Питание!$Q$14:$Q$378,$J60)))</f>
        <v>#N/A</v>
      </c>
      <c r="I60" s="55" t="n">
        <f aca="false">TargetProtein</f>
        <v>165</v>
      </c>
      <c r="J60" s="23" t="n">
        <f aca="false">IFERROR(MATCH($A60,Питание!$A$14:$A$378,0),"")</f>
        <v>50</v>
      </c>
    </row>
    <row r="61" customFormat="false" ht="15" hidden="false" customHeight="true" outlineLevel="0" collapsed="false">
      <c r="A61" s="61" t="n">
        <f aca="false">A60+1</f>
        <v>46344</v>
      </c>
      <c r="B61" s="62" t="e">
        <f aca="false">IF($J61="",NA(),IF(INDEX(Питание!$B$14:$B$378,$J61)="",NA(),INDEX(Питание!$B$14:$B$378,$J61)))</f>
        <v>#N/A</v>
      </c>
      <c r="C61" s="62" t="e">
        <f aca="false">IF($J61="",NA(),IF(INDEX(Питание!$O$14:$O$378,$J61)="",NA(),INDEX(Питание!$O$14:$O$378,$J61)))</f>
        <v>#N/A</v>
      </c>
      <c r="D61" s="62" t="e">
        <f aca="false">IF($J61="",NA(),IF(INDEX(Питание!$C$14:$C$378,$J61)="",NA(),INDEX(Питание!$C$14:$C$378,$J61)))</f>
        <v>#N/A</v>
      </c>
      <c r="E61" s="62" t="e">
        <f aca="false">IF($J61="",NA(),IF(INDEX(Питание!$P$14:$P$378,$J61)="",NA(),INDEX(Питание!$P$14:$P$378,$J61)))</f>
        <v>#N/A</v>
      </c>
      <c r="F61" s="55" t="n">
        <f aca="false">TargetKcal</f>
        <v>2200</v>
      </c>
      <c r="G61" s="62" t="e">
        <f aca="false">IF($J61="",NA(),IF(INDEX(Питание!$D$14:$D$378,$J61)="",NA(),INDEX(Питание!$D$14:$D$378,$J61)))</f>
        <v>#N/A</v>
      </c>
      <c r="H61" s="62" t="e">
        <f aca="false">IF($J61="",NA(),IF(INDEX(Питание!$Q$14:$Q$378,$J61)="",NA(),INDEX(Питание!$Q$14:$Q$378,$J61)))</f>
        <v>#N/A</v>
      </c>
      <c r="I61" s="55" t="n">
        <f aca="false">TargetProtein</f>
        <v>165</v>
      </c>
      <c r="J61" s="23" t="n">
        <f aca="false">IFERROR(MATCH($A61,Питание!$A$14:$A$378,0),"")</f>
        <v>51</v>
      </c>
    </row>
    <row r="62" customFormat="false" ht="15" hidden="false" customHeight="true" outlineLevel="0" collapsed="false">
      <c r="A62" s="61" t="n">
        <f aca="false">A61+1</f>
        <v>46345</v>
      </c>
      <c r="B62" s="62" t="e">
        <f aca="false">IF($J62="",NA(),IF(INDEX(Питание!$B$14:$B$378,$J62)="",NA(),INDEX(Питание!$B$14:$B$378,$J62)))</f>
        <v>#N/A</v>
      </c>
      <c r="C62" s="62" t="e">
        <f aca="false">IF($J62="",NA(),IF(INDEX(Питание!$O$14:$O$378,$J62)="",NA(),INDEX(Питание!$O$14:$O$378,$J62)))</f>
        <v>#N/A</v>
      </c>
      <c r="D62" s="62" t="e">
        <f aca="false">IF($J62="",NA(),IF(INDEX(Питание!$C$14:$C$378,$J62)="",NA(),INDEX(Питание!$C$14:$C$378,$J62)))</f>
        <v>#N/A</v>
      </c>
      <c r="E62" s="62" t="e">
        <f aca="false">IF($J62="",NA(),IF(INDEX(Питание!$P$14:$P$378,$J62)="",NA(),INDEX(Питание!$P$14:$P$378,$J62)))</f>
        <v>#N/A</v>
      </c>
      <c r="F62" s="55" t="n">
        <f aca="false">TargetKcal</f>
        <v>2200</v>
      </c>
      <c r="G62" s="62" t="e">
        <f aca="false">IF($J62="",NA(),IF(INDEX(Питание!$D$14:$D$378,$J62)="",NA(),INDEX(Питание!$D$14:$D$378,$J62)))</f>
        <v>#N/A</v>
      </c>
      <c r="H62" s="62" t="e">
        <f aca="false">IF($J62="",NA(),IF(INDEX(Питание!$Q$14:$Q$378,$J62)="",NA(),INDEX(Питание!$Q$14:$Q$378,$J62)))</f>
        <v>#N/A</v>
      </c>
      <c r="I62" s="55" t="n">
        <f aca="false">TargetProtein</f>
        <v>165</v>
      </c>
      <c r="J62" s="23" t="n">
        <f aca="false">IFERROR(MATCH($A62,Питание!$A$14:$A$378,0),"")</f>
        <v>52</v>
      </c>
    </row>
    <row r="63" customFormat="false" ht="15" hidden="false" customHeight="true" outlineLevel="0" collapsed="false">
      <c r="A63" s="61" t="n">
        <f aca="false">A62+1</f>
        <v>46346</v>
      </c>
      <c r="B63" s="62" t="e">
        <f aca="false">IF($J63="",NA(),IF(INDEX(Питание!$B$14:$B$378,$J63)="",NA(),INDEX(Питание!$B$14:$B$378,$J63)))</f>
        <v>#N/A</v>
      </c>
      <c r="C63" s="62" t="e">
        <f aca="false">IF($J63="",NA(),IF(INDEX(Питание!$O$14:$O$378,$J63)="",NA(),INDEX(Питание!$O$14:$O$378,$J63)))</f>
        <v>#N/A</v>
      </c>
      <c r="D63" s="62" t="e">
        <f aca="false">IF($J63="",NA(),IF(INDEX(Питание!$C$14:$C$378,$J63)="",NA(),INDEX(Питание!$C$14:$C$378,$J63)))</f>
        <v>#N/A</v>
      </c>
      <c r="E63" s="62" t="e">
        <f aca="false">IF($J63="",NA(),IF(INDEX(Питание!$P$14:$P$378,$J63)="",NA(),INDEX(Питание!$P$14:$P$378,$J63)))</f>
        <v>#N/A</v>
      </c>
      <c r="F63" s="55" t="n">
        <f aca="false">TargetKcal</f>
        <v>2200</v>
      </c>
      <c r="G63" s="62" t="e">
        <f aca="false">IF($J63="",NA(),IF(INDEX(Питание!$D$14:$D$378,$J63)="",NA(),INDEX(Питание!$D$14:$D$378,$J63)))</f>
        <v>#N/A</v>
      </c>
      <c r="H63" s="62" t="e">
        <f aca="false">IF($J63="",NA(),IF(INDEX(Питание!$Q$14:$Q$378,$J63)="",NA(),INDEX(Питание!$Q$14:$Q$378,$J63)))</f>
        <v>#N/A</v>
      </c>
      <c r="I63" s="55" t="n">
        <f aca="false">TargetProtein</f>
        <v>165</v>
      </c>
      <c r="J63" s="23" t="n">
        <f aca="false">IFERROR(MATCH($A63,Питание!$A$14:$A$378,0),"")</f>
        <v>53</v>
      </c>
    </row>
    <row r="64" customFormat="false" ht="15" hidden="false" customHeight="true" outlineLevel="0" collapsed="false">
      <c r="A64" s="61" t="n">
        <f aca="false">A63+1</f>
        <v>46347</v>
      </c>
      <c r="B64" s="62" t="e">
        <f aca="false">IF($J64="",NA(),IF(INDEX(Питание!$B$14:$B$378,$J64)="",NA(),INDEX(Питание!$B$14:$B$378,$J64)))</f>
        <v>#N/A</v>
      </c>
      <c r="C64" s="62" t="e">
        <f aca="false">IF($J64="",NA(),IF(INDEX(Питание!$O$14:$O$378,$J64)="",NA(),INDEX(Питание!$O$14:$O$378,$J64)))</f>
        <v>#N/A</v>
      </c>
      <c r="D64" s="62" t="e">
        <f aca="false">IF($J64="",NA(),IF(INDEX(Питание!$C$14:$C$378,$J64)="",NA(),INDEX(Питание!$C$14:$C$378,$J64)))</f>
        <v>#N/A</v>
      </c>
      <c r="E64" s="62" t="e">
        <f aca="false">IF($J64="",NA(),IF(INDEX(Питание!$P$14:$P$378,$J64)="",NA(),INDEX(Питание!$P$14:$P$378,$J64)))</f>
        <v>#N/A</v>
      </c>
      <c r="F64" s="55" t="n">
        <f aca="false">TargetKcal</f>
        <v>2200</v>
      </c>
      <c r="G64" s="62" t="e">
        <f aca="false">IF($J64="",NA(),IF(INDEX(Питание!$D$14:$D$378,$J64)="",NA(),INDEX(Питание!$D$14:$D$378,$J64)))</f>
        <v>#N/A</v>
      </c>
      <c r="H64" s="62" t="e">
        <f aca="false">IF($J64="",NA(),IF(INDEX(Питание!$Q$14:$Q$378,$J64)="",NA(),INDEX(Питание!$Q$14:$Q$378,$J64)))</f>
        <v>#N/A</v>
      </c>
      <c r="I64" s="55" t="n">
        <f aca="false">TargetProtein</f>
        <v>165</v>
      </c>
      <c r="J64" s="23" t="n">
        <f aca="false">IFERROR(MATCH($A64,Питание!$A$14:$A$378,0),"")</f>
        <v>54</v>
      </c>
    </row>
    <row r="65" customFormat="false" ht="15" hidden="false" customHeight="true" outlineLevel="0" collapsed="false">
      <c r="A65" s="61" t="n">
        <f aca="false">A64+1</f>
        <v>46348</v>
      </c>
      <c r="B65" s="62" t="e">
        <f aca="false">IF($J65="",NA(),IF(INDEX(Питание!$B$14:$B$378,$J65)="",NA(),INDEX(Питание!$B$14:$B$378,$J65)))</f>
        <v>#N/A</v>
      </c>
      <c r="C65" s="62" t="e">
        <f aca="false">IF($J65="",NA(),IF(INDEX(Питание!$O$14:$O$378,$J65)="",NA(),INDEX(Питание!$O$14:$O$378,$J65)))</f>
        <v>#N/A</v>
      </c>
      <c r="D65" s="62" t="e">
        <f aca="false">IF($J65="",NA(),IF(INDEX(Питание!$C$14:$C$378,$J65)="",NA(),INDEX(Питание!$C$14:$C$378,$J65)))</f>
        <v>#N/A</v>
      </c>
      <c r="E65" s="62" t="e">
        <f aca="false">IF($J65="",NA(),IF(INDEX(Питание!$P$14:$P$378,$J65)="",NA(),INDEX(Питание!$P$14:$P$378,$J65)))</f>
        <v>#N/A</v>
      </c>
      <c r="F65" s="55" t="n">
        <f aca="false">TargetKcal</f>
        <v>2200</v>
      </c>
      <c r="G65" s="62" t="e">
        <f aca="false">IF($J65="",NA(),IF(INDEX(Питание!$D$14:$D$378,$J65)="",NA(),INDEX(Питание!$D$14:$D$378,$J65)))</f>
        <v>#N/A</v>
      </c>
      <c r="H65" s="62" t="e">
        <f aca="false">IF($J65="",NA(),IF(INDEX(Питание!$Q$14:$Q$378,$J65)="",NA(),INDEX(Питание!$Q$14:$Q$378,$J65)))</f>
        <v>#N/A</v>
      </c>
      <c r="I65" s="55" t="n">
        <f aca="false">TargetProtein</f>
        <v>165</v>
      </c>
      <c r="J65" s="23" t="n">
        <f aca="false">IFERROR(MATCH($A65,Питание!$A$14:$A$378,0),"")</f>
        <v>55</v>
      </c>
    </row>
    <row r="66" customFormat="false" ht="15" hidden="false" customHeight="true" outlineLevel="0" collapsed="false">
      <c r="A66" s="61" t="n">
        <f aca="false">A65+1</f>
        <v>46349</v>
      </c>
      <c r="B66" s="62" t="e">
        <f aca="false">IF($J66="",NA(),IF(INDEX(Питание!$B$14:$B$378,$J66)="",NA(),INDEX(Питание!$B$14:$B$378,$J66)))</f>
        <v>#N/A</v>
      </c>
      <c r="C66" s="62" t="e">
        <f aca="false">IF($J66="",NA(),IF(INDEX(Питание!$O$14:$O$378,$J66)="",NA(),INDEX(Питание!$O$14:$O$378,$J66)))</f>
        <v>#N/A</v>
      </c>
      <c r="D66" s="62" t="e">
        <f aca="false">IF($J66="",NA(),IF(INDEX(Питание!$C$14:$C$378,$J66)="",NA(),INDEX(Питание!$C$14:$C$378,$J66)))</f>
        <v>#N/A</v>
      </c>
      <c r="E66" s="62" t="e">
        <f aca="false">IF($J66="",NA(),IF(INDEX(Питание!$P$14:$P$378,$J66)="",NA(),INDEX(Питание!$P$14:$P$378,$J66)))</f>
        <v>#N/A</v>
      </c>
      <c r="F66" s="55" t="n">
        <f aca="false">TargetKcal</f>
        <v>2200</v>
      </c>
      <c r="G66" s="62" t="e">
        <f aca="false">IF($J66="",NA(),IF(INDEX(Питание!$D$14:$D$378,$J66)="",NA(),INDEX(Питание!$D$14:$D$378,$J66)))</f>
        <v>#N/A</v>
      </c>
      <c r="H66" s="62" t="e">
        <f aca="false">IF($J66="",NA(),IF(INDEX(Питание!$Q$14:$Q$378,$J66)="",NA(),INDEX(Питание!$Q$14:$Q$378,$J66)))</f>
        <v>#N/A</v>
      </c>
      <c r="I66" s="55" t="n">
        <f aca="false">TargetProtein</f>
        <v>165</v>
      </c>
      <c r="J66" s="23" t="n">
        <f aca="false">IFERROR(MATCH($A66,Питание!$A$14:$A$378,0),"")</f>
        <v>56</v>
      </c>
    </row>
    <row r="67" customFormat="false" ht="15" hidden="false" customHeight="true" outlineLevel="0" collapsed="false">
      <c r="A67" s="61" t="n">
        <f aca="false">A66+1</f>
        <v>46350</v>
      </c>
      <c r="B67" s="62" t="e">
        <f aca="false">IF($J67="",NA(),IF(INDEX(Питание!$B$14:$B$378,$J67)="",NA(),INDEX(Питание!$B$14:$B$378,$J67)))</f>
        <v>#N/A</v>
      </c>
      <c r="C67" s="62" t="e">
        <f aca="false">IF($J67="",NA(),IF(INDEX(Питание!$O$14:$O$378,$J67)="",NA(),INDEX(Питание!$O$14:$O$378,$J67)))</f>
        <v>#N/A</v>
      </c>
      <c r="D67" s="62" t="e">
        <f aca="false">IF($J67="",NA(),IF(INDEX(Питание!$C$14:$C$378,$J67)="",NA(),INDEX(Питание!$C$14:$C$378,$J67)))</f>
        <v>#N/A</v>
      </c>
      <c r="E67" s="62" t="e">
        <f aca="false">IF($J67="",NA(),IF(INDEX(Питание!$P$14:$P$378,$J67)="",NA(),INDEX(Питание!$P$14:$P$378,$J67)))</f>
        <v>#N/A</v>
      </c>
      <c r="F67" s="55" t="n">
        <f aca="false">TargetKcal</f>
        <v>2200</v>
      </c>
      <c r="G67" s="62" t="e">
        <f aca="false">IF($J67="",NA(),IF(INDEX(Питание!$D$14:$D$378,$J67)="",NA(),INDEX(Питание!$D$14:$D$378,$J67)))</f>
        <v>#N/A</v>
      </c>
      <c r="H67" s="62" t="e">
        <f aca="false">IF($J67="",NA(),IF(INDEX(Питание!$Q$14:$Q$378,$J67)="",NA(),INDEX(Питание!$Q$14:$Q$378,$J67)))</f>
        <v>#N/A</v>
      </c>
      <c r="I67" s="55" t="n">
        <f aca="false">TargetProtein</f>
        <v>165</v>
      </c>
      <c r="J67" s="23" t="n">
        <f aca="false">IFERROR(MATCH($A67,Питание!$A$14:$A$378,0),"")</f>
        <v>57</v>
      </c>
    </row>
    <row r="68" customFormat="false" ht="15" hidden="false" customHeight="true" outlineLevel="0" collapsed="false">
      <c r="A68" s="61" t="n">
        <f aca="false">A67+1</f>
        <v>46351</v>
      </c>
      <c r="B68" s="62" t="e">
        <f aca="false">IF($J68="",NA(),IF(INDEX(Питание!$B$14:$B$378,$J68)="",NA(),INDEX(Питание!$B$14:$B$378,$J68)))</f>
        <v>#N/A</v>
      </c>
      <c r="C68" s="62" t="e">
        <f aca="false">IF($J68="",NA(),IF(INDEX(Питание!$O$14:$O$378,$J68)="",NA(),INDEX(Питание!$O$14:$O$378,$J68)))</f>
        <v>#N/A</v>
      </c>
      <c r="D68" s="62" t="e">
        <f aca="false">IF($J68="",NA(),IF(INDEX(Питание!$C$14:$C$378,$J68)="",NA(),INDEX(Питание!$C$14:$C$378,$J68)))</f>
        <v>#N/A</v>
      </c>
      <c r="E68" s="62" t="e">
        <f aca="false">IF($J68="",NA(),IF(INDEX(Питание!$P$14:$P$378,$J68)="",NA(),INDEX(Питание!$P$14:$P$378,$J68)))</f>
        <v>#N/A</v>
      </c>
      <c r="F68" s="55" t="n">
        <f aca="false">TargetKcal</f>
        <v>2200</v>
      </c>
      <c r="G68" s="62" t="e">
        <f aca="false">IF($J68="",NA(),IF(INDEX(Питание!$D$14:$D$378,$J68)="",NA(),INDEX(Питание!$D$14:$D$378,$J68)))</f>
        <v>#N/A</v>
      </c>
      <c r="H68" s="62" t="e">
        <f aca="false">IF($J68="",NA(),IF(INDEX(Питание!$Q$14:$Q$378,$J68)="",NA(),INDEX(Питание!$Q$14:$Q$378,$J68)))</f>
        <v>#N/A</v>
      </c>
      <c r="I68" s="55" t="n">
        <f aca="false">TargetProtein</f>
        <v>165</v>
      </c>
      <c r="J68" s="23" t="n">
        <f aca="false">IFERROR(MATCH($A68,Питание!$A$14:$A$378,0),"")</f>
        <v>58</v>
      </c>
    </row>
    <row r="69" customFormat="false" ht="15" hidden="false" customHeight="true" outlineLevel="0" collapsed="false">
      <c r="A69" s="61" t="n">
        <f aca="false">A68+1</f>
        <v>46352</v>
      </c>
      <c r="B69" s="62" t="e">
        <f aca="false">IF($J69="",NA(),IF(INDEX(Питание!$B$14:$B$378,$J69)="",NA(),INDEX(Питание!$B$14:$B$378,$J69)))</f>
        <v>#N/A</v>
      </c>
      <c r="C69" s="62" t="e">
        <f aca="false">IF($J69="",NA(),IF(INDEX(Питание!$O$14:$O$378,$J69)="",NA(),INDEX(Питание!$O$14:$O$378,$J69)))</f>
        <v>#N/A</v>
      </c>
      <c r="D69" s="62" t="e">
        <f aca="false">IF($J69="",NA(),IF(INDEX(Питание!$C$14:$C$378,$J69)="",NA(),INDEX(Питание!$C$14:$C$378,$J69)))</f>
        <v>#N/A</v>
      </c>
      <c r="E69" s="62" t="e">
        <f aca="false">IF($J69="",NA(),IF(INDEX(Питание!$P$14:$P$378,$J69)="",NA(),INDEX(Питание!$P$14:$P$378,$J69)))</f>
        <v>#N/A</v>
      </c>
      <c r="F69" s="55" t="n">
        <f aca="false">TargetKcal</f>
        <v>2200</v>
      </c>
      <c r="G69" s="62" t="e">
        <f aca="false">IF($J69="",NA(),IF(INDEX(Питание!$D$14:$D$378,$J69)="",NA(),INDEX(Питание!$D$14:$D$378,$J69)))</f>
        <v>#N/A</v>
      </c>
      <c r="H69" s="62" t="e">
        <f aca="false">IF($J69="",NA(),IF(INDEX(Питание!$Q$14:$Q$378,$J69)="",NA(),INDEX(Питание!$Q$14:$Q$378,$J69)))</f>
        <v>#N/A</v>
      </c>
      <c r="I69" s="55" t="n">
        <f aca="false">TargetProtein</f>
        <v>165</v>
      </c>
      <c r="J69" s="23" t="n">
        <f aca="false">IFERROR(MATCH($A69,Питание!$A$14:$A$378,0),"")</f>
        <v>59</v>
      </c>
    </row>
    <row r="70" customFormat="false" ht="15" hidden="false" customHeight="true" outlineLevel="0" collapsed="false">
      <c r="A70" s="61" t="n">
        <f aca="false">A69+1</f>
        <v>46353</v>
      </c>
      <c r="B70" s="62" t="e">
        <f aca="false">IF($J70="",NA(),IF(INDEX(Питание!$B$14:$B$378,$J70)="",NA(),INDEX(Питание!$B$14:$B$378,$J70)))</f>
        <v>#N/A</v>
      </c>
      <c r="C70" s="62" t="e">
        <f aca="false">IF($J70="",NA(),IF(INDEX(Питание!$O$14:$O$378,$J70)="",NA(),INDEX(Питание!$O$14:$O$378,$J70)))</f>
        <v>#N/A</v>
      </c>
      <c r="D70" s="62" t="e">
        <f aca="false">IF($J70="",NA(),IF(INDEX(Питание!$C$14:$C$378,$J70)="",NA(),INDEX(Питание!$C$14:$C$378,$J70)))</f>
        <v>#N/A</v>
      </c>
      <c r="E70" s="62" t="e">
        <f aca="false">IF($J70="",NA(),IF(INDEX(Питание!$P$14:$P$378,$J70)="",NA(),INDEX(Питание!$P$14:$P$378,$J70)))</f>
        <v>#N/A</v>
      </c>
      <c r="F70" s="55" t="n">
        <f aca="false">TargetKcal</f>
        <v>2200</v>
      </c>
      <c r="G70" s="62" t="e">
        <f aca="false">IF($J70="",NA(),IF(INDEX(Питание!$D$14:$D$378,$J70)="",NA(),INDEX(Питание!$D$14:$D$378,$J70)))</f>
        <v>#N/A</v>
      </c>
      <c r="H70" s="62" t="e">
        <f aca="false">IF($J70="",NA(),IF(INDEX(Питание!$Q$14:$Q$378,$J70)="",NA(),INDEX(Питание!$Q$14:$Q$378,$J70)))</f>
        <v>#N/A</v>
      </c>
      <c r="I70" s="55" t="n">
        <f aca="false">TargetProtein</f>
        <v>165</v>
      </c>
      <c r="J70" s="23" t="n">
        <f aca="false">IFERROR(MATCH($A70,Питание!$A$14:$A$378,0),"")</f>
        <v>60</v>
      </c>
    </row>
    <row r="71" customFormat="false" ht="15" hidden="false" customHeight="true" outlineLevel="0" collapsed="false">
      <c r="A71" s="61" t="n">
        <f aca="false">A70+1</f>
        <v>46354</v>
      </c>
      <c r="B71" s="62" t="e">
        <f aca="false">IF($J71="",NA(),IF(INDEX(Питание!$B$14:$B$378,$J71)="",NA(),INDEX(Питание!$B$14:$B$378,$J71)))</f>
        <v>#N/A</v>
      </c>
      <c r="C71" s="62" t="e">
        <f aca="false">IF($J71="",NA(),IF(INDEX(Питание!$O$14:$O$378,$J71)="",NA(),INDEX(Питание!$O$14:$O$378,$J71)))</f>
        <v>#N/A</v>
      </c>
      <c r="D71" s="62" t="e">
        <f aca="false">IF($J71="",NA(),IF(INDEX(Питание!$C$14:$C$378,$J71)="",NA(),INDEX(Питание!$C$14:$C$378,$J71)))</f>
        <v>#N/A</v>
      </c>
      <c r="E71" s="62" t="e">
        <f aca="false">IF($J71="",NA(),IF(INDEX(Питание!$P$14:$P$378,$J71)="",NA(),INDEX(Питание!$P$14:$P$378,$J71)))</f>
        <v>#N/A</v>
      </c>
      <c r="F71" s="55" t="n">
        <f aca="false">TargetKcal</f>
        <v>2200</v>
      </c>
      <c r="G71" s="62" t="e">
        <f aca="false">IF($J71="",NA(),IF(INDEX(Питание!$D$14:$D$378,$J71)="",NA(),INDEX(Питание!$D$14:$D$378,$J71)))</f>
        <v>#N/A</v>
      </c>
      <c r="H71" s="62" t="e">
        <f aca="false">IF($J71="",NA(),IF(INDEX(Питание!$Q$14:$Q$378,$J71)="",NA(),INDEX(Питание!$Q$14:$Q$378,$J71)))</f>
        <v>#N/A</v>
      </c>
      <c r="I71" s="55" t="n">
        <f aca="false">TargetProtein</f>
        <v>165</v>
      </c>
      <c r="J71" s="23" t="n">
        <f aca="false">IFERROR(MATCH($A71,Питание!$A$14:$A$378,0),"")</f>
        <v>61</v>
      </c>
    </row>
    <row r="72" customFormat="false" ht="15" hidden="false" customHeight="true" outlineLevel="0" collapsed="false">
      <c r="A72" s="61" t="n">
        <f aca="false">A71+1</f>
        <v>46355</v>
      </c>
      <c r="B72" s="62" t="e">
        <f aca="false">IF($J72="",NA(),IF(INDEX(Питание!$B$14:$B$378,$J72)="",NA(),INDEX(Питание!$B$14:$B$378,$J72)))</f>
        <v>#N/A</v>
      </c>
      <c r="C72" s="62" t="e">
        <f aca="false">IF($J72="",NA(),IF(INDEX(Питание!$O$14:$O$378,$J72)="",NA(),INDEX(Питание!$O$14:$O$378,$J72)))</f>
        <v>#N/A</v>
      </c>
      <c r="D72" s="62" t="e">
        <f aca="false">IF($J72="",NA(),IF(INDEX(Питание!$C$14:$C$378,$J72)="",NA(),INDEX(Питание!$C$14:$C$378,$J72)))</f>
        <v>#N/A</v>
      </c>
      <c r="E72" s="62" t="e">
        <f aca="false">IF($J72="",NA(),IF(INDEX(Питание!$P$14:$P$378,$J72)="",NA(),INDEX(Питание!$P$14:$P$378,$J72)))</f>
        <v>#N/A</v>
      </c>
      <c r="F72" s="55" t="n">
        <f aca="false">TargetKcal</f>
        <v>2200</v>
      </c>
      <c r="G72" s="62" t="e">
        <f aca="false">IF($J72="",NA(),IF(INDEX(Питание!$D$14:$D$378,$J72)="",NA(),INDEX(Питание!$D$14:$D$378,$J72)))</f>
        <v>#N/A</v>
      </c>
      <c r="H72" s="62" t="e">
        <f aca="false">IF($J72="",NA(),IF(INDEX(Питание!$Q$14:$Q$378,$J72)="",NA(),INDEX(Питание!$Q$14:$Q$378,$J72)))</f>
        <v>#N/A</v>
      </c>
      <c r="I72" s="55" t="n">
        <f aca="false">TargetProtein</f>
        <v>165</v>
      </c>
      <c r="J72" s="23" t="n">
        <f aca="false">IFERROR(MATCH($A72,Питание!$A$14:$A$378,0),"")</f>
        <v>62</v>
      </c>
    </row>
    <row r="73" customFormat="false" ht="15" hidden="false" customHeight="true" outlineLevel="0" collapsed="false">
      <c r="A73" s="61" t="n">
        <f aca="false">A72+1</f>
        <v>46356</v>
      </c>
      <c r="B73" s="62" t="e">
        <f aca="false">IF($J73="",NA(),IF(INDEX(Питание!$B$14:$B$378,$J73)="",NA(),INDEX(Питание!$B$14:$B$378,$J73)))</f>
        <v>#N/A</v>
      </c>
      <c r="C73" s="62" t="e">
        <f aca="false">IF($J73="",NA(),IF(INDEX(Питание!$O$14:$O$378,$J73)="",NA(),INDEX(Питание!$O$14:$O$378,$J73)))</f>
        <v>#N/A</v>
      </c>
      <c r="D73" s="62" t="e">
        <f aca="false">IF($J73="",NA(),IF(INDEX(Питание!$C$14:$C$378,$J73)="",NA(),INDEX(Питание!$C$14:$C$378,$J73)))</f>
        <v>#N/A</v>
      </c>
      <c r="E73" s="62" t="e">
        <f aca="false">IF($J73="",NA(),IF(INDEX(Питание!$P$14:$P$378,$J73)="",NA(),INDEX(Питание!$P$14:$P$378,$J73)))</f>
        <v>#N/A</v>
      </c>
      <c r="F73" s="55" t="n">
        <f aca="false">TargetKcal</f>
        <v>2200</v>
      </c>
      <c r="G73" s="62" t="e">
        <f aca="false">IF($J73="",NA(),IF(INDEX(Питание!$D$14:$D$378,$J73)="",NA(),INDEX(Питание!$D$14:$D$378,$J73)))</f>
        <v>#N/A</v>
      </c>
      <c r="H73" s="62" t="e">
        <f aca="false">IF($J73="",NA(),IF(INDEX(Питание!$Q$14:$Q$378,$J73)="",NA(),INDEX(Питание!$Q$14:$Q$378,$J73)))</f>
        <v>#N/A</v>
      </c>
      <c r="I73" s="55" t="n">
        <f aca="false">TargetProtein</f>
        <v>165</v>
      </c>
      <c r="J73" s="23" t="n">
        <f aca="false">IFERROR(MATCH($A73,Питание!$A$14:$A$378,0),"")</f>
        <v>63</v>
      </c>
    </row>
    <row r="74" customFormat="false" ht="15" hidden="false" customHeight="true" outlineLevel="0" collapsed="false">
      <c r="A74" s="61" t="n">
        <f aca="false">A73+1</f>
        <v>46357</v>
      </c>
      <c r="B74" s="62" t="e">
        <f aca="false">IF($J74="",NA(),IF(INDEX(Питание!$B$14:$B$378,$J74)="",NA(),INDEX(Питание!$B$14:$B$378,$J74)))</f>
        <v>#N/A</v>
      </c>
      <c r="C74" s="62" t="e">
        <f aca="false">IF($J74="",NA(),IF(INDEX(Питание!$O$14:$O$378,$J74)="",NA(),INDEX(Питание!$O$14:$O$378,$J74)))</f>
        <v>#N/A</v>
      </c>
      <c r="D74" s="62" t="e">
        <f aca="false">IF($J74="",NA(),IF(INDEX(Питание!$C$14:$C$378,$J74)="",NA(),INDEX(Питание!$C$14:$C$378,$J74)))</f>
        <v>#N/A</v>
      </c>
      <c r="E74" s="62" t="e">
        <f aca="false">IF($J74="",NA(),IF(INDEX(Питание!$P$14:$P$378,$J74)="",NA(),INDEX(Питание!$P$14:$P$378,$J74)))</f>
        <v>#N/A</v>
      </c>
      <c r="F74" s="55" t="n">
        <f aca="false">TargetKcal</f>
        <v>2200</v>
      </c>
      <c r="G74" s="62" t="e">
        <f aca="false">IF($J74="",NA(),IF(INDEX(Питание!$D$14:$D$378,$J74)="",NA(),INDEX(Питание!$D$14:$D$378,$J74)))</f>
        <v>#N/A</v>
      </c>
      <c r="H74" s="62" t="e">
        <f aca="false">IF($J74="",NA(),IF(INDEX(Питание!$Q$14:$Q$378,$J74)="",NA(),INDEX(Питание!$Q$14:$Q$378,$J74)))</f>
        <v>#N/A</v>
      </c>
      <c r="I74" s="55" t="n">
        <f aca="false">TargetProtein</f>
        <v>165</v>
      </c>
      <c r="J74" s="23" t="n">
        <f aca="false">IFERROR(MATCH($A74,Питание!$A$14:$A$378,0),"")</f>
        <v>64</v>
      </c>
    </row>
    <row r="75" customFormat="false" ht="15" hidden="false" customHeight="true" outlineLevel="0" collapsed="false">
      <c r="A75" s="61" t="n">
        <f aca="false">A74+1</f>
        <v>46358</v>
      </c>
      <c r="B75" s="62" t="e">
        <f aca="false">IF($J75="",NA(),IF(INDEX(Питание!$B$14:$B$378,$J75)="",NA(),INDEX(Питание!$B$14:$B$378,$J75)))</f>
        <v>#N/A</v>
      </c>
      <c r="C75" s="62" t="e">
        <f aca="false">IF($J75="",NA(),IF(INDEX(Питание!$O$14:$O$378,$J75)="",NA(),INDEX(Питание!$O$14:$O$378,$J75)))</f>
        <v>#N/A</v>
      </c>
      <c r="D75" s="62" t="e">
        <f aca="false">IF($J75="",NA(),IF(INDEX(Питание!$C$14:$C$378,$J75)="",NA(),INDEX(Питание!$C$14:$C$378,$J75)))</f>
        <v>#N/A</v>
      </c>
      <c r="E75" s="62" t="e">
        <f aca="false">IF($J75="",NA(),IF(INDEX(Питание!$P$14:$P$378,$J75)="",NA(),INDEX(Питание!$P$14:$P$378,$J75)))</f>
        <v>#N/A</v>
      </c>
      <c r="F75" s="55" t="n">
        <f aca="false">TargetKcal</f>
        <v>2200</v>
      </c>
      <c r="G75" s="62" t="e">
        <f aca="false">IF($J75="",NA(),IF(INDEX(Питание!$D$14:$D$378,$J75)="",NA(),INDEX(Питание!$D$14:$D$378,$J75)))</f>
        <v>#N/A</v>
      </c>
      <c r="H75" s="62" t="e">
        <f aca="false">IF($J75="",NA(),IF(INDEX(Питание!$Q$14:$Q$378,$J75)="",NA(),INDEX(Питание!$Q$14:$Q$378,$J75)))</f>
        <v>#N/A</v>
      </c>
      <c r="I75" s="55" t="n">
        <f aca="false">TargetProtein</f>
        <v>165</v>
      </c>
      <c r="J75" s="23" t="n">
        <f aca="false">IFERROR(MATCH($A75,Питание!$A$14:$A$378,0),"")</f>
        <v>65</v>
      </c>
    </row>
    <row r="76" customFormat="false" ht="15" hidden="false" customHeight="true" outlineLevel="0" collapsed="false">
      <c r="A76" s="61" t="n">
        <f aca="false">A75+1</f>
        <v>46359</v>
      </c>
      <c r="B76" s="62" t="e">
        <f aca="false">IF($J76="",NA(),IF(INDEX(Питание!$B$14:$B$378,$J76)="",NA(),INDEX(Питание!$B$14:$B$378,$J76)))</f>
        <v>#N/A</v>
      </c>
      <c r="C76" s="62" t="e">
        <f aca="false">IF($J76="",NA(),IF(INDEX(Питание!$O$14:$O$378,$J76)="",NA(),INDEX(Питание!$O$14:$O$378,$J76)))</f>
        <v>#N/A</v>
      </c>
      <c r="D76" s="62" t="e">
        <f aca="false">IF($J76="",NA(),IF(INDEX(Питание!$C$14:$C$378,$J76)="",NA(),INDEX(Питание!$C$14:$C$378,$J76)))</f>
        <v>#N/A</v>
      </c>
      <c r="E76" s="62" t="e">
        <f aca="false">IF($J76="",NA(),IF(INDEX(Питание!$P$14:$P$378,$J76)="",NA(),INDEX(Питание!$P$14:$P$378,$J76)))</f>
        <v>#N/A</v>
      </c>
      <c r="F76" s="55" t="n">
        <f aca="false">TargetKcal</f>
        <v>2200</v>
      </c>
      <c r="G76" s="62" t="e">
        <f aca="false">IF($J76="",NA(),IF(INDEX(Питание!$D$14:$D$378,$J76)="",NA(),INDEX(Питание!$D$14:$D$378,$J76)))</f>
        <v>#N/A</v>
      </c>
      <c r="H76" s="62" t="e">
        <f aca="false">IF($J76="",NA(),IF(INDEX(Питание!$Q$14:$Q$378,$J76)="",NA(),INDEX(Питание!$Q$14:$Q$378,$J76)))</f>
        <v>#N/A</v>
      </c>
      <c r="I76" s="55" t="n">
        <f aca="false">TargetProtein</f>
        <v>165</v>
      </c>
      <c r="J76" s="23" t="n">
        <f aca="false">IFERROR(MATCH($A76,Питание!$A$14:$A$378,0),"")</f>
        <v>66</v>
      </c>
    </row>
    <row r="77" customFormat="false" ht="15" hidden="false" customHeight="true" outlineLevel="0" collapsed="false">
      <c r="A77" s="61" t="n">
        <f aca="false">A76+1</f>
        <v>46360</v>
      </c>
      <c r="B77" s="62" t="e">
        <f aca="false">IF($J77="",NA(),IF(INDEX(Питание!$B$14:$B$378,$J77)="",NA(),INDEX(Питание!$B$14:$B$378,$J77)))</f>
        <v>#N/A</v>
      </c>
      <c r="C77" s="62" t="e">
        <f aca="false">IF($J77="",NA(),IF(INDEX(Питание!$O$14:$O$378,$J77)="",NA(),INDEX(Питание!$O$14:$O$378,$J77)))</f>
        <v>#N/A</v>
      </c>
      <c r="D77" s="62" t="e">
        <f aca="false">IF($J77="",NA(),IF(INDEX(Питание!$C$14:$C$378,$J77)="",NA(),INDEX(Питание!$C$14:$C$378,$J77)))</f>
        <v>#N/A</v>
      </c>
      <c r="E77" s="62" t="e">
        <f aca="false">IF($J77="",NA(),IF(INDEX(Питание!$P$14:$P$378,$J77)="",NA(),INDEX(Питание!$P$14:$P$378,$J77)))</f>
        <v>#N/A</v>
      </c>
      <c r="F77" s="55" t="n">
        <f aca="false">TargetKcal</f>
        <v>2200</v>
      </c>
      <c r="G77" s="62" t="e">
        <f aca="false">IF($J77="",NA(),IF(INDEX(Питание!$D$14:$D$378,$J77)="",NA(),INDEX(Питание!$D$14:$D$378,$J77)))</f>
        <v>#N/A</v>
      </c>
      <c r="H77" s="62" t="e">
        <f aca="false">IF($J77="",NA(),IF(INDEX(Питание!$Q$14:$Q$378,$J77)="",NA(),INDEX(Питание!$Q$14:$Q$378,$J77)))</f>
        <v>#N/A</v>
      </c>
      <c r="I77" s="55" t="n">
        <f aca="false">TargetProtein</f>
        <v>165</v>
      </c>
      <c r="J77" s="23" t="n">
        <f aca="false">IFERROR(MATCH($A77,Питание!$A$14:$A$378,0),"")</f>
        <v>67</v>
      </c>
    </row>
    <row r="78" customFormat="false" ht="15" hidden="false" customHeight="true" outlineLevel="0" collapsed="false">
      <c r="A78" s="61" t="n">
        <f aca="false">A77+1</f>
        <v>46361</v>
      </c>
      <c r="B78" s="62" t="e">
        <f aca="false">IF($J78="",NA(),IF(INDEX(Питание!$B$14:$B$378,$J78)="",NA(),INDEX(Питание!$B$14:$B$378,$J78)))</f>
        <v>#N/A</v>
      </c>
      <c r="C78" s="62" t="e">
        <f aca="false">IF($J78="",NA(),IF(INDEX(Питание!$O$14:$O$378,$J78)="",NA(),INDEX(Питание!$O$14:$O$378,$J78)))</f>
        <v>#N/A</v>
      </c>
      <c r="D78" s="62" t="e">
        <f aca="false">IF($J78="",NA(),IF(INDEX(Питание!$C$14:$C$378,$J78)="",NA(),INDEX(Питание!$C$14:$C$378,$J78)))</f>
        <v>#N/A</v>
      </c>
      <c r="E78" s="62" t="e">
        <f aca="false">IF($J78="",NA(),IF(INDEX(Питание!$P$14:$P$378,$J78)="",NA(),INDEX(Питание!$P$14:$P$378,$J78)))</f>
        <v>#N/A</v>
      </c>
      <c r="F78" s="55" t="n">
        <f aca="false">TargetKcal</f>
        <v>2200</v>
      </c>
      <c r="G78" s="62" t="e">
        <f aca="false">IF($J78="",NA(),IF(INDEX(Питание!$D$14:$D$378,$J78)="",NA(),INDEX(Питание!$D$14:$D$378,$J78)))</f>
        <v>#N/A</v>
      </c>
      <c r="H78" s="62" t="e">
        <f aca="false">IF($J78="",NA(),IF(INDEX(Питание!$Q$14:$Q$378,$J78)="",NA(),INDEX(Питание!$Q$14:$Q$378,$J78)))</f>
        <v>#N/A</v>
      </c>
      <c r="I78" s="55" t="n">
        <f aca="false">TargetProtein</f>
        <v>165</v>
      </c>
      <c r="J78" s="23" t="n">
        <f aca="false">IFERROR(MATCH($A78,Питание!$A$14:$A$378,0),"")</f>
        <v>68</v>
      </c>
    </row>
    <row r="79" customFormat="false" ht="15" hidden="false" customHeight="true" outlineLevel="0" collapsed="false">
      <c r="A79" s="61" t="n">
        <f aca="false">A78+1</f>
        <v>46362</v>
      </c>
      <c r="B79" s="62" t="e">
        <f aca="false">IF($J79="",NA(),IF(INDEX(Питание!$B$14:$B$378,$J79)="",NA(),INDEX(Питание!$B$14:$B$378,$J79)))</f>
        <v>#N/A</v>
      </c>
      <c r="C79" s="62" t="e">
        <f aca="false">IF($J79="",NA(),IF(INDEX(Питание!$O$14:$O$378,$J79)="",NA(),INDEX(Питание!$O$14:$O$378,$J79)))</f>
        <v>#N/A</v>
      </c>
      <c r="D79" s="62" t="e">
        <f aca="false">IF($J79="",NA(),IF(INDEX(Питание!$C$14:$C$378,$J79)="",NA(),INDEX(Питание!$C$14:$C$378,$J79)))</f>
        <v>#N/A</v>
      </c>
      <c r="E79" s="62" t="e">
        <f aca="false">IF($J79="",NA(),IF(INDEX(Питание!$P$14:$P$378,$J79)="",NA(),INDEX(Питание!$P$14:$P$378,$J79)))</f>
        <v>#N/A</v>
      </c>
      <c r="F79" s="55" t="n">
        <f aca="false">TargetKcal</f>
        <v>2200</v>
      </c>
      <c r="G79" s="62" t="e">
        <f aca="false">IF($J79="",NA(),IF(INDEX(Питание!$D$14:$D$378,$J79)="",NA(),INDEX(Питание!$D$14:$D$378,$J79)))</f>
        <v>#N/A</v>
      </c>
      <c r="H79" s="62" t="e">
        <f aca="false">IF($J79="",NA(),IF(INDEX(Питание!$Q$14:$Q$378,$J79)="",NA(),INDEX(Питание!$Q$14:$Q$378,$J79)))</f>
        <v>#N/A</v>
      </c>
      <c r="I79" s="55" t="n">
        <f aca="false">TargetProtein</f>
        <v>165</v>
      </c>
      <c r="J79" s="23" t="n">
        <f aca="false">IFERROR(MATCH($A79,Питание!$A$14:$A$378,0),"")</f>
        <v>69</v>
      </c>
    </row>
    <row r="80" customFormat="false" ht="15" hidden="false" customHeight="true" outlineLevel="0" collapsed="false">
      <c r="A80" s="61" t="n">
        <f aca="false">A79+1</f>
        <v>46363</v>
      </c>
      <c r="B80" s="62" t="e">
        <f aca="false">IF($J80="",NA(),IF(INDEX(Питание!$B$14:$B$378,$J80)="",NA(),INDEX(Питание!$B$14:$B$378,$J80)))</f>
        <v>#N/A</v>
      </c>
      <c r="C80" s="62" t="e">
        <f aca="false">IF($J80="",NA(),IF(INDEX(Питание!$O$14:$O$378,$J80)="",NA(),INDEX(Питание!$O$14:$O$378,$J80)))</f>
        <v>#N/A</v>
      </c>
      <c r="D80" s="62" t="e">
        <f aca="false">IF($J80="",NA(),IF(INDEX(Питание!$C$14:$C$378,$J80)="",NA(),INDEX(Питание!$C$14:$C$378,$J80)))</f>
        <v>#N/A</v>
      </c>
      <c r="E80" s="62" t="e">
        <f aca="false">IF($J80="",NA(),IF(INDEX(Питание!$P$14:$P$378,$J80)="",NA(),INDEX(Питание!$P$14:$P$378,$J80)))</f>
        <v>#N/A</v>
      </c>
      <c r="F80" s="55" t="n">
        <f aca="false">TargetKcal</f>
        <v>2200</v>
      </c>
      <c r="G80" s="62" t="e">
        <f aca="false">IF($J80="",NA(),IF(INDEX(Питание!$D$14:$D$378,$J80)="",NA(),INDEX(Питание!$D$14:$D$378,$J80)))</f>
        <v>#N/A</v>
      </c>
      <c r="H80" s="62" t="e">
        <f aca="false">IF($J80="",NA(),IF(INDEX(Питание!$Q$14:$Q$378,$J80)="",NA(),INDEX(Питание!$Q$14:$Q$378,$J80)))</f>
        <v>#N/A</v>
      </c>
      <c r="I80" s="55" t="n">
        <f aca="false">TargetProtein</f>
        <v>165</v>
      </c>
      <c r="J80" s="23" t="n">
        <f aca="false">IFERROR(MATCH($A80,Питание!$A$14:$A$378,0),"")</f>
        <v>70</v>
      </c>
    </row>
    <row r="81" customFormat="false" ht="15" hidden="false" customHeight="true" outlineLevel="0" collapsed="false">
      <c r="A81" s="61" t="n">
        <f aca="false">A80+1</f>
        <v>46364</v>
      </c>
      <c r="B81" s="62" t="e">
        <f aca="false">IF($J81="",NA(),IF(INDEX(Питание!$B$14:$B$378,$J81)="",NA(),INDEX(Питание!$B$14:$B$378,$J81)))</f>
        <v>#N/A</v>
      </c>
      <c r="C81" s="62" t="e">
        <f aca="false">IF($J81="",NA(),IF(INDEX(Питание!$O$14:$O$378,$J81)="",NA(),INDEX(Питание!$O$14:$O$378,$J81)))</f>
        <v>#N/A</v>
      </c>
      <c r="D81" s="62" t="e">
        <f aca="false">IF($J81="",NA(),IF(INDEX(Питание!$C$14:$C$378,$J81)="",NA(),INDEX(Питание!$C$14:$C$378,$J81)))</f>
        <v>#N/A</v>
      </c>
      <c r="E81" s="62" t="e">
        <f aca="false">IF($J81="",NA(),IF(INDEX(Питание!$P$14:$P$378,$J81)="",NA(),INDEX(Питание!$P$14:$P$378,$J81)))</f>
        <v>#N/A</v>
      </c>
      <c r="F81" s="55" t="n">
        <f aca="false">TargetKcal</f>
        <v>2200</v>
      </c>
      <c r="G81" s="62" t="e">
        <f aca="false">IF($J81="",NA(),IF(INDEX(Питание!$D$14:$D$378,$J81)="",NA(),INDEX(Питание!$D$14:$D$378,$J81)))</f>
        <v>#N/A</v>
      </c>
      <c r="H81" s="62" t="e">
        <f aca="false">IF($J81="",NA(),IF(INDEX(Питание!$Q$14:$Q$378,$J81)="",NA(),INDEX(Питание!$Q$14:$Q$378,$J81)))</f>
        <v>#N/A</v>
      </c>
      <c r="I81" s="55" t="n">
        <f aca="false">TargetProtein</f>
        <v>165</v>
      </c>
      <c r="J81" s="23" t="n">
        <f aca="false">IFERROR(MATCH($A81,Питание!$A$14:$A$378,0),"")</f>
        <v>71</v>
      </c>
    </row>
    <row r="82" customFormat="false" ht="15" hidden="false" customHeight="true" outlineLevel="0" collapsed="false">
      <c r="A82" s="61" t="n">
        <f aca="false">A81+1</f>
        <v>46365</v>
      </c>
      <c r="B82" s="62" t="e">
        <f aca="false">IF($J82="",NA(),IF(INDEX(Питание!$B$14:$B$378,$J82)="",NA(),INDEX(Питание!$B$14:$B$378,$J82)))</f>
        <v>#N/A</v>
      </c>
      <c r="C82" s="62" t="e">
        <f aca="false">IF($J82="",NA(),IF(INDEX(Питание!$O$14:$O$378,$J82)="",NA(),INDEX(Питание!$O$14:$O$378,$J82)))</f>
        <v>#N/A</v>
      </c>
      <c r="D82" s="62" t="e">
        <f aca="false">IF($J82="",NA(),IF(INDEX(Питание!$C$14:$C$378,$J82)="",NA(),INDEX(Питание!$C$14:$C$378,$J82)))</f>
        <v>#N/A</v>
      </c>
      <c r="E82" s="62" t="e">
        <f aca="false">IF($J82="",NA(),IF(INDEX(Питание!$P$14:$P$378,$J82)="",NA(),INDEX(Питание!$P$14:$P$378,$J82)))</f>
        <v>#N/A</v>
      </c>
      <c r="F82" s="55" t="n">
        <f aca="false">TargetKcal</f>
        <v>2200</v>
      </c>
      <c r="G82" s="62" t="e">
        <f aca="false">IF($J82="",NA(),IF(INDEX(Питание!$D$14:$D$378,$J82)="",NA(),INDEX(Питание!$D$14:$D$378,$J82)))</f>
        <v>#N/A</v>
      </c>
      <c r="H82" s="62" t="e">
        <f aca="false">IF($J82="",NA(),IF(INDEX(Питание!$Q$14:$Q$378,$J82)="",NA(),INDEX(Питание!$Q$14:$Q$378,$J82)))</f>
        <v>#N/A</v>
      </c>
      <c r="I82" s="55" t="n">
        <f aca="false">TargetProtein</f>
        <v>165</v>
      </c>
      <c r="J82" s="23" t="n">
        <f aca="false">IFERROR(MATCH($A82,Питание!$A$14:$A$378,0),"")</f>
        <v>72</v>
      </c>
    </row>
    <row r="83" customFormat="false" ht="15" hidden="false" customHeight="true" outlineLevel="0" collapsed="false">
      <c r="A83" s="61" t="n">
        <f aca="false">A82+1</f>
        <v>46366</v>
      </c>
      <c r="B83" s="62" t="e">
        <f aca="false">IF($J83="",NA(),IF(INDEX(Питание!$B$14:$B$378,$J83)="",NA(),INDEX(Питание!$B$14:$B$378,$J83)))</f>
        <v>#N/A</v>
      </c>
      <c r="C83" s="62" t="e">
        <f aca="false">IF($J83="",NA(),IF(INDEX(Питание!$O$14:$O$378,$J83)="",NA(),INDEX(Питание!$O$14:$O$378,$J83)))</f>
        <v>#N/A</v>
      </c>
      <c r="D83" s="62" t="e">
        <f aca="false">IF($J83="",NA(),IF(INDEX(Питание!$C$14:$C$378,$J83)="",NA(),INDEX(Питание!$C$14:$C$378,$J83)))</f>
        <v>#N/A</v>
      </c>
      <c r="E83" s="62" t="e">
        <f aca="false">IF($J83="",NA(),IF(INDEX(Питание!$P$14:$P$378,$J83)="",NA(),INDEX(Питание!$P$14:$P$378,$J83)))</f>
        <v>#N/A</v>
      </c>
      <c r="F83" s="55" t="n">
        <f aca="false">TargetKcal</f>
        <v>2200</v>
      </c>
      <c r="G83" s="62" t="e">
        <f aca="false">IF($J83="",NA(),IF(INDEX(Питание!$D$14:$D$378,$J83)="",NA(),INDEX(Питание!$D$14:$D$378,$J83)))</f>
        <v>#N/A</v>
      </c>
      <c r="H83" s="62" t="e">
        <f aca="false">IF($J83="",NA(),IF(INDEX(Питание!$Q$14:$Q$378,$J83)="",NA(),INDEX(Питание!$Q$14:$Q$378,$J83)))</f>
        <v>#N/A</v>
      </c>
      <c r="I83" s="55" t="n">
        <f aca="false">TargetProtein</f>
        <v>165</v>
      </c>
      <c r="J83" s="23" t="n">
        <f aca="false">IFERROR(MATCH($A83,Питание!$A$14:$A$378,0),"")</f>
        <v>73</v>
      </c>
    </row>
    <row r="84" customFormat="false" ht="15" hidden="false" customHeight="true" outlineLevel="0" collapsed="false">
      <c r="A84" s="61" t="n">
        <f aca="false">A83+1</f>
        <v>46367</v>
      </c>
      <c r="B84" s="62" t="e">
        <f aca="false">IF($J84="",NA(),IF(INDEX(Питание!$B$14:$B$378,$J84)="",NA(),INDEX(Питание!$B$14:$B$378,$J84)))</f>
        <v>#N/A</v>
      </c>
      <c r="C84" s="62" t="e">
        <f aca="false">IF($J84="",NA(),IF(INDEX(Питание!$O$14:$O$378,$J84)="",NA(),INDEX(Питание!$O$14:$O$378,$J84)))</f>
        <v>#N/A</v>
      </c>
      <c r="D84" s="62" t="e">
        <f aca="false">IF($J84="",NA(),IF(INDEX(Питание!$C$14:$C$378,$J84)="",NA(),INDEX(Питание!$C$14:$C$378,$J84)))</f>
        <v>#N/A</v>
      </c>
      <c r="E84" s="62" t="e">
        <f aca="false">IF($J84="",NA(),IF(INDEX(Питание!$P$14:$P$378,$J84)="",NA(),INDEX(Питание!$P$14:$P$378,$J84)))</f>
        <v>#N/A</v>
      </c>
      <c r="F84" s="55" t="n">
        <f aca="false">TargetKcal</f>
        <v>2200</v>
      </c>
      <c r="G84" s="62" t="e">
        <f aca="false">IF($J84="",NA(),IF(INDEX(Питание!$D$14:$D$378,$J84)="",NA(),INDEX(Питание!$D$14:$D$378,$J84)))</f>
        <v>#N/A</v>
      </c>
      <c r="H84" s="62" t="e">
        <f aca="false">IF($J84="",NA(),IF(INDEX(Питание!$Q$14:$Q$378,$J84)="",NA(),INDEX(Питание!$Q$14:$Q$378,$J84)))</f>
        <v>#N/A</v>
      </c>
      <c r="I84" s="55" t="n">
        <f aca="false">TargetProtein</f>
        <v>165</v>
      </c>
      <c r="J84" s="23" t="n">
        <f aca="false">IFERROR(MATCH($A84,Питание!$A$14:$A$378,0),"")</f>
        <v>74</v>
      </c>
    </row>
    <row r="85" customFormat="false" ht="15" hidden="false" customHeight="true" outlineLevel="0" collapsed="false">
      <c r="A85" s="61" t="n">
        <f aca="false">A84+1</f>
        <v>46368</v>
      </c>
      <c r="B85" s="62" t="e">
        <f aca="false">IF($J85="",NA(),IF(INDEX(Питание!$B$14:$B$378,$J85)="",NA(),INDEX(Питание!$B$14:$B$378,$J85)))</f>
        <v>#N/A</v>
      </c>
      <c r="C85" s="62" t="e">
        <f aca="false">IF($J85="",NA(),IF(INDEX(Питание!$O$14:$O$378,$J85)="",NA(),INDEX(Питание!$O$14:$O$378,$J85)))</f>
        <v>#N/A</v>
      </c>
      <c r="D85" s="62" t="e">
        <f aca="false">IF($J85="",NA(),IF(INDEX(Питание!$C$14:$C$378,$J85)="",NA(),INDEX(Питание!$C$14:$C$378,$J85)))</f>
        <v>#N/A</v>
      </c>
      <c r="E85" s="62" t="e">
        <f aca="false">IF($J85="",NA(),IF(INDEX(Питание!$P$14:$P$378,$J85)="",NA(),INDEX(Питание!$P$14:$P$378,$J85)))</f>
        <v>#N/A</v>
      </c>
      <c r="F85" s="55" t="n">
        <f aca="false">TargetKcal</f>
        <v>2200</v>
      </c>
      <c r="G85" s="62" t="e">
        <f aca="false">IF($J85="",NA(),IF(INDEX(Питание!$D$14:$D$378,$J85)="",NA(),INDEX(Питание!$D$14:$D$378,$J85)))</f>
        <v>#N/A</v>
      </c>
      <c r="H85" s="62" t="e">
        <f aca="false">IF($J85="",NA(),IF(INDEX(Питание!$Q$14:$Q$378,$J85)="",NA(),INDEX(Питание!$Q$14:$Q$378,$J85)))</f>
        <v>#N/A</v>
      </c>
      <c r="I85" s="55" t="n">
        <f aca="false">TargetProtein</f>
        <v>165</v>
      </c>
      <c r="J85" s="23" t="n">
        <f aca="false">IFERROR(MATCH($A85,Питание!$A$14:$A$378,0),"")</f>
        <v>75</v>
      </c>
    </row>
    <row r="86" customFormat="false" ht="15" hidden="false" customHeight="true" outlineLevel="0" collapsed="false">
      <c r="A86" s="61" t="n">
        <f aca="false">A85+1</f>
        <v>46369</v>
      </c>
      <c r="B86" s="62" t="e">
        <f aca="false">IF($J86="",NA(),IF(INDEX(Питание!$B$14:$B$378,$J86)="",NA(),INDEX(Питание!$B$14:$B$378,$J86)))</f>
        <v>#N/A</v>
      </c>
      <c r="C86" s="62" t="e">
        <f aca="false">IF($J86="",NA(),IF(INDEX(Питание!$O$14:$O$378,$J86)="",NA(),INDEX(Питание!$O$14:$O$378,$J86)))</f>
        <v>#N/A</v>
      </c>
      <c r="D86" s="62" t="e">
        <f aca="false">IF($J86="",NA(),IF(INDEX(Питание!$C$14:$C$378,$J86)="",NA(),INDEX(Питание!$C$14:$C$378,$J86)))</f>
        <v>#N/A</v>
      </c>
      <c r="E86" s="62" t="e">
        <f aca="false">IF($J86="",NA(),IF(INDEX(Питание!$P$14:$P$378,$J86)="",NA(),INDEX(Питание!$P$14:$P$378,$J86)))</f>
        <v>#N/A</v>
      </c>
      <c r="F86" s="55" t="n">
        <f aca="false">TargetKcal</f>
        <v>2200</v>
      </c>
      <c r="G86" s="62" t="e">
        <f aca="false">IF($J86="",NA(),IF(INDEX(Питание!$D$14:$D$378,$J86)="",NA(),INDEX(Питание!$D$14:$D$378,$J86)))</f>
        <v>#N/A</v>
      </c>
      <c r="H86" s="62" t="e">
        <f aca="false">IF($J86="",NA(),IF(INDEX(Питание!$Q$14:$Q$378,$J86)="",NA(),INDEX(Питание!$Q$14:$Q$378,$J86)))</f>
        <v>#N/A</v>
      </c>
      <c r="I86" s="55" t="n">
        <f aca="false">TargetProtein</f>
        <v>165</v>
      </c>
      <c r="J86" s="23" t="n">
        <f aca="false">IFERROR(MATCH($A86,Питание!$A$14:$A$378,0),"")</f>
        <v>76</v>
      </c>
    </row>
    <row r="87" customFormat="false" ht="15" hidden="false" customHeight="true" outlineLevel="0" collapsed="false">
      <c r="A87" s="61" t="n">
        <f aca="false">A86+1</f>
        <v>46370</v>
      </c>
      <c r="B87" s="62" t="e">
        <f aca="false">IF($J87="",NA(),IF(INDEX(Питание!$B$14:$B$378,$J87)="",NA(),INDEX(Питание!$B$14:$B$378,$J87)))</f>
        <v>#N/A</v>
      </c>
      <c r="C87" s="62" t="e">
        <f aca="false">IF($J87="",NA(),IF(INDEX(Питание!$O$14:$O$378,$J87)="",NA(),INDEX(Питание!$O$14:$O$378,$J87)))</f>
        <v>#N/A</v>
      </c>
      <c r="D87" s="62" t="e">
        <f aca="false">IF($J87="",NA(),IF(INDEX(Питание!$C$14:$C$378,$J87)="",NA(),INDEX(Питание!$C$14:$C$378,$J87)))</f>
        <v>#N/A</v>
      </c>
      <c r="E87" s="62" t="e">
        <f aca="false">IF($J87="",NA(),IF(INDEX(Питание!$P$14:$P$378,$J87)="",NA(),INDEX(Питание!$P$14:$P$378,$J87)))</f>
        <v>#N/A</v>
      </c>
      <c r="F87" s="55" t="n">
        <f aca="false">TargetKcal</f>
        <v>2200</v>
      </c>
      <c r="G87" s="62" t="e">
        <f aca="false">IF($J87="",NA(),IF(INDEX(Питание!$D$14:$D$378,$J87)="",NA(),INDEX(Питание!$D$14:$D$378,$J87)))</f>
        <v>#N/A</v>
      </c>
      <c r="H87" s="62" t="e">
        <f aca="false">IF($J87="",NA(),IF(INDEX(Питание!$Q$14:$Q$378,$J87)="",NA(),INDEX(Питание!$Q$14:$Q$378,$J87)))</f>
        <v>#N/A</v>
      </c>
      <c r="I87" s="55" t="n">
        <f aca="false">TargetProtein</f>
        <v>165</v>
      </c>
      <c r="J87" s="23" t="n">
        <f aca="false">IFERROR(MATCH($A87,Питание!$A$14:$A$378,0),"")</f>
        <v>77</v>
      </c>
    </row>
    <row r="88" customFormat="false" ht="15" hidden="false" customHeight="true" outlineLevel="0" collapsed="false">
      <c r="A88" s="61" t="n">
        <f aca="false">A87+1</f>
        <v>46371</v>
      </c>
      <c r="B88" s="62" t="e">
        <f aca="false">IF($J88="",NA(),IF(INDEX(Питание!$B$14:$B$378,$J88)="",NA(),INDEX(Питание!$B$14:$B$378,$J88)))</f>
        <v>#N/A</v>
      </c>
      <c r="C88" s="62" t="e">
        <f aca="false">IF($J88="",NA(),IF(INDEX(Питание!$O$14:$O$378,$J88)="",NA(),INDEX(Питание!$O$14:$O$378,$J88)))</f>
        <v>#N/A</v>
      </c>
      <c r="D88" s="62" t="e">
        <f aca="false">IF($J88="",NA(),IF(INDEX(Питание!$C$14:$C$378,$J88)="",NA(),INDEX(Питание!$C$14:$C$378,$J88)))</f>
        <v>#N/A</v>
      </c>
      <c r="E88" s="62" t="e">
        <f aca="false">IF($J88="",NA(),IF(INDEX(Питание!$P$14:$P$378,$J88)="",NA(),INDEX(Питание!$P$14:$P$378,$J88)))</f>
        <v>#N/A</v>
      </c>
      <c r="F88" s="55" t="n">
        <f aca="false">TargetKcal</f>
        <v>2200</v>
      </c>
      <c r="G88" s="62" t="e">
        <f aca="false">IF($J88="",NA(),IF(INDEX(Питание!$D$14:$D$378,$J88)="",NA(),INDEX(Питание!$D$14:$D$378,$J88)))</f>
        <v>#N/A</v>
      </c>
      <c r="H88" s="62" t="e">
        <f aca="false">IF($J88="",NA(),IF(INDEX(Питание!$Q$14:$Q$378,$J88)="",NA(),INDEX(Питание!$Q$14:$Q$378,$J88)))</f>
        <v>#N/A</v>
      </c>
      <c r="I88" s="55" t="n">
        <f aca="false">TargetProtein</f>
        <v>165</v>
      </c>
      <c r="J88" s="23" t="n">
        <f aca="false">IFERROR(MATCH($A88,Питание!$A$14:$A$378,0),"")</f>
        <v>78</v>
      </c>
    </row>
    <row r="89" customFormat="false" ht="15" hidden="false" customHeight="true" outlineLevel="0" collapsed="false">
      <c r="A89" s="61" t="n">
        <f aca="false">A88+1</f>
        <v>46372</v>
      </c>
      <c r="B89" s="62" t="e">
        <f aca="false">IF($J89="",NA(),IF(INDEX(Питание!$B$14:$B$378,$J89)="",NA(),INDEX(Питание!$B$14:$B$378,$J89)))</f>
        <v>#N/A</v>
      </c>
      <c r="C89" s="62" t="e">
        <f aca="false">IF($J89="",NA(),IF(INDEX(Питание!$O$14:$O$378,$J89)="",NA(),INDEX(Питание!$O$14:$O$378,$J89)))</f>
        <v>#N/A</v>
      </c>
      <c r="D89" s="62" t="e">
        <f aca="false">IF($J89="",NA(),IF(INDEX(Питание!$C$14:$C$378,$J89)="",NA(),INDEX(Питание!$C$14:$C$378,$J89)))</f>
        <v>#N/A</v>
      </c>
      <c r="E89" s="62" t="e">
        <f aca="false">IF($J89="",NA(),IF(INDEX(Питание!$P$14:$P$378,$J89)="",NA(),INDEX(Питание!$P$14:$P$378,$J89)))</f>
        <v>#N/A</v>
      </c>
      <c r="F89" s="55" t="n">
        <f aca="false">TargetKcal</f>
        <v>2200</v>
      </c>
      <c r="G89" s="62" t="e">
        <f aca="false">IF($J89="",NA(),IF(INDEX(Питание!$D$14:$D$378,$J89)="",NA(),INDEX(Питание!$D$14:$D$378,$J89)))</f>
        <v>#N/A</v>
      </c>
      <c r="H89" s="62" t="e">
        <f aca="false">IF($J89="",NA(),IF(INDEX(Питание!$Q$14:$Q$378,$J89)="",NA(),INDEX(Питание!$Q$14:$Q$378,$J89)))</f>
        <v>#N/A</v>
      </c>
      <c r="I89" s="55" t="n">
        <f aca="false">TargetProtein</f>
        <v>165</v>
      </c>
      <c r="J89" s="23" t="n">
        <f aca="false">IFERROR(MATCH($A89,Питание!$A$14:$A$378,0),"")</f>
        <v>79</v>
      </c>
    </row>
    <row r="90" customFormat="false" ht="15" hidden="false" customHeight="true" outlineLevel="0" collapsed="false">
      <c r="A90" s="61" t="n">
        <f aca="false">A89+1</f>
        <v>46373</v>
      </c>
      <c r="B90" s="62" t="e">
        <f aca="false">IF($J90="",NA(),IF(INDEX(Питание!$B$14:$B$378,$J90)="",NA(),INDEX(Питание!$B$14:$B$378,$J90)))</f>
        <v>#N/A</v>
      </c>
      <c r="C90" s="62" t="e">
        <f aca="false">IF($J90="",NA(),IF(INDEX(Питание!$O$14:$O$378,$J90)="",NA(),INDEX(Питание!$O$14:$O$378,$J90)))</f>
        <v>#N/A</v>
      </c>
      <c r="D90" s="62" t="e">
        <f aca="false">IF($J90="",NA(),IF(INDEX(Питание!$C$14:$C$378,$J90)="",NA(),INDEX(Питание!$C$14:$C$378,$J90)))</f>
        <v>#N/A</v>
      </c>
      <c r="E90" s="62" t="e">
        <f aca="false">IF($J90="",NA(),IF(INDEX(Питание!$P$14:$P$378,$J90)="",NA(),INDEX(Питание!$P$14:$P$378,$J90)))</f>
        <v>#N/A</v>
      </c>
      <c r="F90" s="55" t="n">
        <f aca="false">TargetKcal</f>
        <v>2200</v>
      </c>
      <c r="G90" s="62" t="e">
        <f aca="false">IF($J90="",NA(),IF(INDEX(Питание!$D$14:$D$378,$J90)="",NA(),INDEX(Питание!$D$14:$D$378,$J90)))</f>
        <v>#N/A</v>
      </c>
      <c r="H90" s="62" t="e">
        <f aca="false">IF($J90="",NA(),IF(INDEX(Питание!$Q$14:$Q$378,$J90)="",NA(),INDEX(Питание!$Q$14:$Q$378,$J90)))</f>
        <v>#N/A</v>
      </c>
      <c r="I90" s="55" t="n">
        <f aca="false">TargetProtein</f>
        <v>165</v>
      </c>
      <c r="J90" s="23" t="n">
        <f aca="false">IFERROR(MATCH($A90,Питание!$A$14:$A$378,0),"")</f>
        <v>80</v>
      </c>
    </row>
    <row r="91" customFormat="false" ht="15" hidden="false" customHeight="true" outlineLevel="0" collapsed="false">
      <c r="A91" s="61" t="n">
        <f aca="false">A90+1</f>
        <v>46374</v>
      </c>
      <c r="B91" s="62" t="e">
        <f aca="false">IF($J91="",NA(),IF(INDEX(Питание!$B$14:$B$378,$J91)="",NA(),INDEX(Питание!$B$14:$B$378,$J91)))</f>
        <v>#N/A</v>
      </c>
      <c r="C91" s="62" t="e">
        <f aca="false">IF($J91="",NA(),IF(INDEX(Питание!$O$14:$O$378,$J91)="",NA(),INDEX(Питание!$O$14:$O$378,$J91)))</f>
        <v>#N/A</v>
      </c>
      <c r="D91" s="62" t="e">
        <f aca="false">IF($J91="",NA(),IF(INDEX(Питание!$C$14:$C$378,$J91)="",NA(),INDEX(Питание!$C$14:$C$378,$J91)))</f>
        <v>#N/A</v>
      </c>
      <c r="E91" s="62" t="e">
        <f aca="false">IF($J91="",NA(),IF(INDEX(Питание!$P$14:$P$378,$J91)="",NA(),INDEX(Питание!$P$14:$P$378,$J91)))</f>
        <v>#N/A</v>
      </c>
      <c r="F91" s="55" t="n">
        <f aca="false">TargetKcal</f>
        <v>2200</v>
      </c>
      <c r="G91" s="62" t="e">
        <f aca="false">IF($J91="",NA(),IF(INDEX(Питание!$D$14:$D$378,$J91)="",NA(),INDEX(Питание!$D$14:$D$378,$J91)))</f>
        <v>#N/A</v>
      </c>
      <c r="H91" s="62" t="e">
        <f aca="false">IF($J91="",NA(),IF(INDEX(Питание!$Q$14:$Q$378,$J91)="",NA(),INDEX(Питание!$Q$14:$Q$378,$J91)))</f>
        <v>#N/A</v>
      </c>
      <c r="I91" s="55" t="n">
        <f aca="false">TargetProtein</f>
        <v>165</v>
      </c>
      <c r="J91" s="23" t="n">
        <f aca="false">IFERROR(MATCH($A91,Питание!$A$14:$A$378,0),"")</f>
        <v>81</v>
      </c>
    </row>
    <row r="92" customFormat="false" ht="15" hidden="false" customHeight="true" outlineLevel="0" collapsed="false">
      <c r="A92" s="61" t="n">
        <f aca="false">A91+1</f>
        <v>46375</v>
      </c>
      <c r="B92" s="62" t="e">
        <f aca="false">IF($J92="",NA(),IF(INDEX(Питание!$B$14:$B$378,$J92)="",NA(),INDEX(Питание!$B$14:$B$378,$J92)))</f>
        <v>#N/A</v>
      </c>
      <c r="C92" s="62" t="e">
        <f aca="false">IF($J92="",NA(),IF(INDEX(Питание!$O$14:$O$378,$J92)="",NA(),INDEX(Питание!$O$14:$O$378,$J92)))</f>
        <v>#N/A</v>
      </c>
      <c r="D92" s="62" t="e">
        <f aca="false">IF($J92="",NA(),IF(INDEX(Питание!$C$14:$C$378,$J92)="",NA(),INDEX(Питание!$C$14:$C$378,$J92)))</f>
        <v>#N/A</v>
      </c>
      <c r="E92" s="62" t="e">
        <f aca="false">IF($J92="",NA(),IF(INDEX(Питание!$P$14:$P$378,$J92)="",NA(),INDEX(Питание!$P$14:$P$378,$J92)))</f>
        <v>#N/A</v>
      </c>
      <c r="F92" s="55" t="n">
        <f aca="false">TargetKcal</f>
        <v>2200</v>
      </c>
      <c r="G92" s="62" t="e">
        <f aca="false">IF($J92="",NA(),IF(INDEX(Питание!$D$14:$D$378,$J92)="",NA(),INDEX(Питание!$D$14:$D$378,$J92)))</f>
        <v>#N/A</v>
      </c>
      <c r="H92" s="62" t="e">
        <f aca="false">IF($J92="",NA(),IF(INDEX(Питание!$Q$14:$Q$378,$J92)="",NA(),INDEX(Питание!$Q$14:$Q$378,$J92)))</f>
        <v>#N/A</v>
      </c>
      <c r="I92" s="55" t="n">
        <f aca="false">TargetProtein</f>
        <v>165</v>
      </c>
      <c r="J92" s="23" t="n">
        <f aca="false">IFERROR(MATCH($A92,Питание!$A$14:$A$378,0),"")</f>
        <v>82</v>
      </c>
    </row>
    <row r="93" customFormat="false" ht="15" hidden="false" customHeight="true" outlineLevel="0" collapsed="false">
      <c r="A93" s="61" t="n">
        <f aca="false">A92+1</f>
        <v>46376</v>
      </c>
      <c r="B93" s="62" t="e">
        <f aca="false">IF($J93="",NA(),IF(INDEX(Питание!$B$14:$B$378,$J93)="",NA(),INDEX(Питание!$B$14:$B$378,$J93)))</f>
        <v>#N/A</v>
      </c>
      <c r="C93" s="62" t="e">
        <f aca="false">IF($J93="",NA(),IF(INDEX(Питание!$O$14:$O$378,$J93)="",NA(),INDEX(Питание!$O$14:$O$378,$J93)))</f>
        <v>#N/A</v>
      </c>
      <c r="D93" s="62" t="e">
        <f aca="false">IF($J93="",NA(),IF(INDEX(Питание!$C$14:$C$378,$J93)="",NA(),INDEX(Питание!$C$14:$C$378,$J93)))</f>
        <v>#N/A</v>
      </c>
      <c r="E93" s="62" t="e">
        <f aca="false">IF($J93="",NA(),IF(INDEX(Питание!$P$14:$P$378,$J93)="",NA(),INDEX(Питание!$P$14:$P$378,$J93)))</f>
        <v>#N/A</v>
      </c>
      <c r="F93" s="55" t="n">
        <f aca="false">TargetKcal</f>
        <v>2200</v>
      </c>
      <c r="G93" s="62" t="e">
        <f aca="false">IF($J93="",NA(),IF(INDEX(Питание!$D$14:$D$378,$J93)="",NA(),INDEX(Питание!$D$14:$D$378,$J93)))</f>
        <v>#N/A</v>
      </c>
      <c r="H93" s="62" t="e">
        <f aca="false">IF($J93="",NA(),IF(INDEX(Питание!$Q$14:$Q$378,$J93)="",NA(),INDEX(Питание!$Q$14:$Q$378,$J93)))</f>
        <v>#N/A</v>
      </c>
      <c r="I93" s="55" t="n">
        <f aca="false">TargetProtein</f>
        <v>165</v>
      </c>
      <c r="J93" s="23" t="n">
        <f aca="false">IFERROR(MATCH($A93,Питание!$A$14:$A$378,0),"")</f>
        <v>83</v>
      </c>
    </row>
    <row r="94" customFormat="false" ht="15" hidden="false" customHeight="true" outlineLevel="0" collapsed="false">
      <c r="A94" s="61" t="n">
        <f aca="false">A93+1</f>
        <v>46377</v>
      </c>
      <c r="B94" s="62" t="e">
        <f aca="false">IF($J94="",NA(),IF(INDEX(Питание!$B$14:$B$378,$J94)="",NA(),INDEX(Питание!$B$14:$B$378,$J94)))</f>
        <v>#N/A</v>
      </c>
      <c r="C94" s="62" t="e">
        <f aca="false">IF($J94="",NA(),IF(INDEX(Питание!$O$14:$O$378,$J94)="",NA(),INDEX(Питание!$O$14:$O$378,$J94)))</f>
        <v>#N/A</v>
      </c>
      <c r="D94" s="62" t="e">
        <f aca="false">IF($J94="",NA(),IF(INDEX(Питание!$C$14:$C$378,$J94)="",NA(),INDEX(Питание!$C$14:$C$378,$J94)))</f>
        <v>#N/A</v>
      </c>
      <c r="E94" s="62" t="e">
        <f aca="false">IF($J94="",NA(),IF(INDEX(Питание!$P$14:$P$378,$J94)="",NA(),INDEX(Питание!$P$14:$P$378,$J94)))</f>
        <v>#N/A</v>
      </c>
      <c r="F94" s="55" t="n">
        <f aca="false">TargetKcal</f>
        <v>2200</v>
      </c>
      <c r="G94" s="62" t="e">
        <f aca="false">IF($J94="",NA(),IF(INDEX(Питание!$D$14:$D$378,$J94)="",NA(),INDEX(Питание!$D$14:$D$378,$J94)))</f>
        <v>#N/A</v>
      </c>
      <c r="H94" s="62" t="e">
        <f aca="false">IF($J94="",NA(),IF(INDEX(Питание!$Q$14:$Q$378,$J94)="",NA(),INDEX(Питание!$Q$14:$Q$378,$J94)))</f>
        <v>#N/A</v>
      </c>
      <c r="I94" s="55" t="n">
        <f aca="false">TargetProtein</f>
        <v>165</v>
      </c>
      <c r="J94" s="23" t="n">
        <f aca="false">IFERROR(MATCH($A94,Питание!$A$14:$A$378,0),"")</f>
        <v>84</v>
      </c>
    </row>
    <row r="95" customFormat="false" ht="15" hidden="false" customHeight="true" outlineLevel="0" collapsed="false">
      <c r="A95" s="61" t="n">
        <f aca="false">A94+1</f>
        <v>46378</v>
      </c>
      <c r="B95" s="62" t="e">
        <f aca="false">IF($J95="",NA(),IF(INDEX(Питание!$B$14:$B$378,$J95)="",NA(),INDEX(Питание!$B$14:$B$378,$J95)))</f>
        <v>#N/A</v>
      </c>
      <c r="C95" s="62" t="e">
        <f aca="false">IF($J95="",NA(),IF(INDEX(Питание!$O$14:$O$378,$J95)="",NA(),INDEX(Питание!$O$14:$O$378,$J95)))</f>
        <v>#N/A</v>
      </c>
      <c r="D95" s="62" t="e">
        <f aca="false">IF($J95="",NA(),IF(INDEX(Питание!$C$14:$C$378,$J95)="",NA(),INDEX(Питание!$C$14:$C$378,$J95)))</f>
        <v>#N/A</v>
      </c>
      <c r="E95" s="62" t="e">
        <f aca="false">IF($J95="",NA(),IF(INDEX(Питание!$P$14:$P$378,$J95)="",NA(),INDEX(Питание!$P$14:$P$378,$J95)))</f>
        <v>#N/A</v>
      </c>
      <c r="F95" s="55" t="n">
        <f aca="false">TargetKcal</f>
        <v>2200</v>
      </c>
      <c r="G95" s="62" t="e">
        <f aca="false">IF($J95="",NA(),IF(INDEX(Питание!$D$14:$D$378,$J95)="",NA(),INDEX(Питание!$D$14:$D$378,$J95)))</f>
        <v>#N/A</v>
      </c>
      <c r="H95" s="62" t="e">
        <f aca="false">IF($J95="",NA(),IF(INDEX(Питание!$Q$14:$Q$378,$J95)="",NA(),INDEX(Питание!$Q$14:$Q$378,$J95)))</f>
        <v>#N/A</v>
      </c>
      <c r="I95" s="55" t="n">
        <f aca="false">TargetProtein</f>
        <v>165</v>
      </c>
      <c r="J95" s="23" t="n">
        <f aca="false">IFERROR(MATCH($A95,Питание!$A$14:$A$378,0),"")</f>
        <v>85</v>
      </c>
    </row>
    <row r="96" customFormat="false" ht="15" hidden="false" customHeight="true" outlineLevel="0" collapsed="false">
      <c r="A96" s="61" t="n">
        <f aca="false">A95+1</f>
        <v>46379</v>
      </c>
      <c r="B96" s="62" t="e">
        <f aca="false">IF($J96="",NA(),IF(INDEX(Питание!$B$14:$B$378,$J96)="",NA(),INDEX(Питание!$B$14:$B$378,$J96)))</f>
        <v>#N/A</v>
      </c>
      <c r="C96" s="62" t="e">
        <f aca="false">IF($J96="",NA(),IF(INDEX(Питание!$O$14:$O$378,$J96)="",NA(),INDEX(Питание!$O$14:$O$378,$J96)))</f>
        <v>#N/A</v>
      </c>
      <c r="D96" s="62" t="e">
        <f aca="false">IF($J96="",NA(),IF(INDEX(Питание!$C$14:$C$378,$J96)="",NA(),INDEX(Питание!$C$14:$C$378,$J96)))</f>
        <v>#N/A</v>
      </c>
      <c r="E96" s="62" t="e">
        <f aca="false">IF($J96="",NA(),IF(INDEX(Питание!$P$14:$P$378,$J96)="",NA(),INDEX(Питание!$P$14:$P$378,$J96)))</f>
        <v>#N/A</v>
      </c>
      <c r="F96" s="55" t="n">
        <f aca="false">TargetKcal</f>
        <v>2200</v>
      </c>
      <c r="G96" s="62" t="e">
        <f aca="false">IF($J96="",NA(),IF(INDEX(Питание!$D$14:$D$378,$J96)="",NA(),INDEX(Питание!$D$14:$D$378,$J96)))</f>
        <v>#N/A</v>
      </c>
      <c r="H96" s="62" t="e">
        <f aca="false">IF($J96="",NA(),IF(INDEX(Питание!$Q$14:$Q$378,$J96)="",NA(),INDEX(Питание!$Q$14:$Q$378,$J96)))</f>
        <v>#N/A</v>
      </c>
      <c r="I96" s="55" t="n">
        <f aca="false">TargetProtein</f>
        <v>165</v>
      </c>
      <c r="J96" s="23" t="n">
        <f aca="false">IFERROR(MATCH($A96,Питание!$A$14:$A$378,0),"")</f>
        <v>86</v>
      </c>
    </row>
    <row r="97" customFormat="false" ht="15" hidden="false" customHeight="true" outlineLevel="0" collapsed="false">
      <c r="A97" s="61" t="n">
        <f aca="false">A96+1</f>
        <v>46380</v>
      </c>
      <c r="B97" s="62" t="e">
        <f aca="false">IF($J97="",NA(),IF(INDEX(Питание!$B$14:$B$378,$J97)="",NA(),INDEX(Питание!$B$14:$B$378,$J97)))</f>
        <v>#N/A</v>
      </c>
      <c r="C97" s="62" t="e">
        <f aca="false">IF($J97="",NA(),IF(INDEX(Питание!$O$14:$O$378,$J97)="",NA(),INDEX(Питание!$O$14:$O$378,$J97)))</f>
        <v>#N/A</v>
      </c>
      <c r="D97" s="62" t="e">
        <f aca="false">IF($J97="",NA(),IF(INDEX(Питание!$C$14:$C$378,$J97)="",NA(),INDEX(Питание!$C$14:$C$378,$J97)))</f>
        <v>#N/A</v>
      </c>
      <c r="E97" s="62" t="e">
        <f aca="false">IF($J97="",NA(),IF(INDEX(Питание!$P$14:$P$378,$J97)="",NA(),INDEX(Питание!$P$14:$P$378,$J97)))</f>
        <v>#N/A</v>
      </c>
      <c r="F97" s="55" t="n">
        <f aca="false">TargetKcal</f>
        <v>2200</v>
      </c>
      <c r="G97" s="62" t="e">
        <f aca="false">IF($J97="",NA(),IF(INDEX(Питание!$D$14:$D$378,$J97)="",NA(),INDEX(Питание!$D$14:$D$378,$J97)))</f>
        <v>#N/A</v>
      </c>
      <c r="H97" s="62" t="e">
        <f aca="false">IF($J97="",NA(),IF(INDEX(Питание!$Q$14:$Q$378,$J97)="",NA(),INDEX(Питание!$Q$14:$Q$378,$J97)))</f>
        <v>#N/A</v>
      </c>
      <c r="I97" s="55" t="n">
        <f aca="false">TargetProtein</f>
        <v>165</v>
      </c>
      <c r="J97" s="23" t="n">
        <f aca="false">IFERROR(MATCH($A97,Питание!$A$14:$A$378,0),"")</f>
        <v>87</v>
      </c>
    </row>
    <row r="98" customFormat="false" ht="15" hidden="false" customHeight="true" outlineLevel="0" collapsed="false">
      <c r="A98" s="61" t="n">
        <f aca="false">A97+1</f>
        <v>46381</v>
      </c>
      <c r="B98" s="62" t="e">
        <f aca="false">IF($J98="",NA(),IF(INDEX(Питание!$B$14:$B$378,$J98)="",NA(),INDEX(Питание!$B$14:$B$378,$J98)))</f>
        <v>#N/A</v>
      </c>
      <c r="C98" s="62" t="e">
        <f aca="false">IF($J98="",NA(),IF(INDEX(Питание!$O$14:$O$378,$J98)="",NA(),INDEX(Питание!$O$14:$O$378,$J98)))</f>
        <v>#N/A</v>
      </c>
      <c r="D98" s="62" t="e">
        <f aca="false">IF($J98="",NA(),IF(INDEX(Питание!$C$14:$C$378,$J98)="",NA(),INDEX(Питание!$C$14:$C$378,$J98)))</f>
        <v>#N/A</v>
      </c>
      <c r="E98" s="62" t="e">
        <f aca="false">IF($J98="",NA(),IF(INDEX(Питание!$P$14:$P$378,$J98)="",NA(),INDEX(Питание!$P$14:$P$378,$J98)))</f>
        <v>#N/A</v>
      </c>
      <c r="F98" s="55" t="n">
        <f aca="false">TargetKcal</f>
        <v>2200</v>
      </c>
      <c r="G98" s="62" t="e">
        <f aca="false">IF($J98="",NA(),IF(INDEX(Питание!$D$14:$D$378,$J98)="",NA(),INDEX(Питание!$D$14:$D$378,$J98)))</f>
        <v>#N/A</v>
      </c>
      <c r="H98" s="62" t="e">
        <f aca="false">IF($J98="",NA(),IF(INDEX(Питание!$Q$14:$Q$378,$J98)="",NA(),INDEX(Питание!$Q$14:$Q$378,$J98)))</f>
        <v>#N/A</v>
      </c>
      <c r="I98" s="55" t="n">
        <f aca="false">TargetProtein</f>
        <v>165</v>
      </c>
      <c r="J98" s="23" t="n">
        <f aca="false">IFERROR(MATCH($A98,Питание!$A$14:$A$378,0),"")</f>
        <v>88</v>
      </c>
    </row>
    <row r="99" customFormat="false" ht="15" hidden="false" customHeight="true" outlineLevel="0" collapsed="false">
      <c r="A99" s="61" t="n">
        <f aca="false">A98+1</f>
        <v>46382</v>
      </c>
      <c r="B99" s="62" t="e">
        <f aca="false">IF($J99="",NA(),IF(INDEX(Питание!$B$14:$B$378,$J99)="",NA(),INDEX(Питание!$B$14:$B$378,$J99)))</f>
        <v>#N/A</v>
      </c>
      <c r="C99" s="62" t="e">
        <f aca="false">IF($J99="",NA(),IF(INDEX(Питание!$O$14:$O$378,$J99)="",NA(),INDEX(Питание!$O$14:$O$378,$J99)))</f>
        <v>#N/A</v>
      </c>
      <c r="D99" s="62" t="e">
        <f aca="false">IF($J99="",NA(),IF(INDEX(Питание!$C$14:$C$378,$J99)="",NA(),INDEX(Питание!$C$14:$C$378,$J99)))</f>
        <v>#N/A</v>
      </c>
      <c r="E99" s="62" t="e">
        <f aca="false">IF($J99="",NA(),IF(INDEX(Питание!$P$14:$P$378,$J99)="",NA(),INDEX(Питание!$P$14:$P$378,$J99)))</f>
        <v>#N/A</v>
      </c>
      <c r="F99" s="55" t="n">
        <f aca="false">TargetKcal</f>
        <v>2200</v>
      </c>
      <c r="G99" s="62" t="e">
        <f aca="false">IF($J99="",NA(),IF(INDEX(Питание!$D$14:$D$378,$J99)="",NA(),INDEX(Питание!$D$14:$D$378,$J99)))</f>
        <v>#N/A</v>
      </c>
      <c r="H99" s="62" t="e">
        <f aca="false">IF($J99="",NA(),IF(INDEX(Питание!$Q$14:$Q$378,$J99)="",NA(),INDEX(Питание!$Q$14:$Q$378,$J99)))</f>
        <v>#N/A</v>
      </c>
      <c r="I99" s="55" t="n">
        <f aca="false">TargetProtein</f>
        <v>165</v>
      </c>
      <c r="J99" s="23" t="n">
        <f aca="false">IFERROR(MATCH($A99,Питание!$A$14:$A$378,0),"")</f>
        <v>89</v>
      </c>
    </row>
    <row r="100" customFormat="false" ht="15" hidden="false" customHeight="true" outlineLevel="0" collapsed="false">
      <c r="A100" s="61" t="n">
        <f aca="false">A99+1</f>
        <v>46383</v>
      </c>
      <c r="B100" s="62" t="e">
        <f aca="false">IF($J100="",NA(),IF(INDEX(Питание!$B$14:$B$378,$J100)="",NA(),INDEX(Питание!$B$14:$B$378,$J100)))</f>
        <v>#N/A</v>
      </c>
      <c r="C100" s="62" t="e">
        <f aca="false">IF($J100="",NA(),IF(INDEX(Питание!$O$14:$O$378,$J100)="",NA(),INDEX(Питание!$O$14:$O$378,$J100)))</f>
        <v>#N/A</v>
      </c>
      <c r="D100" s="62" t="e">
        <f aca="false">IF($J100="",NA(),IF(INDEX(Питание!$C$14:$C$378,$J100)="",NA(),INDEX(Питание!$C$14:$C$378,$J100)))</f>
        <v>#N/A</v>
      </c>
      <c r="E100" s="62" t="e">
        <f aca="false">IF($J100="",NA(),IF(INDEX(Питание!$P$14:$P$378,$J100)="",NA(),INDEX(Питание!$P$14:$P$378,$J100)))</f>
        <v>#N/A</v>
      </c>
      <c r="F100" s="55" t="n">
        <f aca="false">TargetKcal</f>
        <v>2200</v>
      </c>
      <c r="G100" s="62" t="e">
        <f aca="false">IF($J100="",NA(),IF(INDEX(Питание!$D$14:$D$378,$J100)="",NA(),INDEX(Питание!$D$14:$D$378,$J100)))</f>
        <v>#N/A</v>
      </c>
      <c r="H100" s="62" t="e">
        <f aca="false">IF($J100="",NA(),IF(INDEX(Питание!$Q$14:$Q$378,$J100)="",NA(),INDEX(Питание!$Q$14:$Q$378,$J100)))</f>
        <v>#N/A</v>
      </c>
      <c r="I100" s="55" t="n">
        <f aca="false">TargetProtein</f>
        <v>165</v>
      </c>
      <c r="J100" s="23" t="n">
        <f aca="false">IFERROR(MATCH($A100,Питание!$A$14:$A$378,0),"")</f>
        <v>90</v>
      </c>
    </row>
    <row r="105" customFormat="false" ht="68.25" hidden="false" customHeight="true" outlineLevel="0" collapsed="false">
      <c r="A105" s="6" t="s">
        <v>417</v>
      </c>
      <c r="B105" s="6" t="str">
        <f aca="false">Ex_1</f>
        <v>Жим платформы ногами</v>
      </c>
      <c r="C105" s="6" t="str">
        <f aca="false">Ex_2</f>
        <v>Жим в тренажёре сидя (грудь)</v>
      </c>
      <c r="D105" s="6" t="str">
        <f aca="false">Ex_3</f>
        <v>Тяга верхнего блока (узкий/нейтральный хват)</v>
      </c>
      <c r="E105" s="6" t="str">
        <f aca="false">Ex_4</f>
        <v>Присед в Смите (ноги чуть вперёд)</v>
      </c>
      <c r="F105" s="6" t="str">
        <f aca="false">Ex_5</f>
        <v>Разгибание ног сидя</v>
      </c>
    </row>
    <row r="106" customFormat="false" ht="15" hidden="false" customHeight="true" outlineLevel="0" collapsed="false">
      <c r="A106" s="61" t="n">
        <f aca="false">WeekStart0</f>
        <v>46294</v>
      </c>
      <c r="B106" s="62" t="e">
        <f aca="false">IF(COUNTIFS(Тренировки!$C$6:$C$2005,B$105,Тренировки!$A$6:$A$2005,"&gt;="&amp;$A106,Тренировки!$A$6:$A$2005,"&lt;"&amp;$A106+7,Тренировки!$H$6:$H$2005,"&lt;&gt;Разминка",Тренировки!$E$6:$E$2005,"&gt;0")=0,NA(),_xlfn.MAXIFS(Тренировки!$E$6:$E$2005,Тренировки!$C$6:$C$2005,B$105,Тренировки!$A$6:$A$2005,"&gt;="&amp;$A106,Тренировки!$A$6:$A$2005,"&lt;"&amp;$A106+7,Тренировки!$H$6:$H$2005,"&lt;&gt;Разминка",Тренировки!$E$6:$E$2005,"&gt;0"))</f>
        <v>#N/A</v>
      </c>
      <c r="C106" s="62" t="e">
        <f aca="false">IF(COUNTIFS(Тренировки!$C$6:$C$2005,C$105,Тренировки!$A$6:$A$2005,"&gt;="&amp;$A106,Тренировки!$A$6:$A$2005,"&lt;"&amp;$A106+7,Тренировки!$H$6:$H$2005,"&lt;&gt;Разминка",Тренировки!$E$6:$E$2005,"&gt;0")=0,NA(),_xlfn.MAXIFS(Тренировки!$E$6:$E$2005,Тренировки!$C$6:$C$2005,C$105,Тренировки!$A$6:$A$2005,"&gt;="&amp;$A106,Тренировки!$A$6:$A$2005,"&lt;"&amp;$A106+7,Тренировки!$H$6:$H$2005,"&lt;&gt;Разминка",Тренировки!$E$6:$E$2005,"&gt;0"))</f>
        <v>#N/A</v>
      </c>
      <c r="D106" s="62" t="e">
        <f aca="false">IF(COUNTIFS(Тренировки!$C$6:$C$2005,D$105,Тренировки!$A$6:$A$2005,"&gt;="&amp;$A106,Тренировки!$A$6:$A$2005,"&lt;"&amp;$A106+7,Тренировки!$H$6:$H$2005,"&lt;&gt;Разминка",Тренировки!$E$6:$E$2005,"&gt;0")=0,NA(),_xlfn.MAXIFS(Тренировки!$E$6:$E$2005,Тренировки!$C$6:$C$2005,D$105,Тренировки!$A$6:$A$2005,"&gt;="&amp;$A106,Тренировки!$A$6:$A$2005,"&lt;"&amp;$A106+7,Тренировки!$H$6:$H$2005,"&lt;&gt;Разминка",Тренировки!$E$6:$E$2005,"&gt;0"))</f>
        <v>#N/A</v>
      </c>
      <c r="E106" s="62" t="e">
        <f aca="false">IF(COUNTIFS(Тренировки!$C$6:$C$2005,E$105,Тренировки!$A$6:$A$2005,"&gt;="&amp;$A106,Тренировки!$A$6:$A$2005,"&lt;"&amp;$A106+7,Тренировки!$H$6:$H$2005,"&lt;&gt;Разминка",Тренировки!$E$6:$E$2005,"&gt;0")=0,NA(),_xlfn.MAXIFS(Тренировки!$E$6:$E$2005,Тренировки!$C$6:$C$2005,E$105,Тренировки!$A$6:$A$2005,"&gt;="&amp;$A106,Тренировки!$A$6:$A$2005,"&lt;"&amp;$A106+7,Тренировки!$H$6:$H$2005,"&lt;&gt;Разминка",Тренировки!$E$6:$E$2005,"&gt;0"))</f>
        <v>#N/A</v>
      </c>
      <c r="F106" s="62" t="e">
        <f aca="false">IF(COUNTIFS(Тренировки!$C$6:$C$2005,F$105,Тренировки!$A$6:$A$2005,"&gt;="&amp;$A106,Тренировки!$A$6:$A$2005,"&lt;"&amp;$A106+7,Тренировки!$H$6:$H$2005,"&lt;&gt;Разминка",Тренировки!$E$6:$E$2005,"&gt;0")=0,NA(),_xlfn.MAXIFS(Тренировки!$E$6:$E$2005,Тренировки!$C$6:$C$2005,F$105,Тренировки!$A$6:$A$2005,"&gt;="&amp;$A106,Тренировки!$A$6:$A$2005,"&lt;"&amp;$A106+7,Тренировки!$H$6:$H$2005,"&lt;&gt;Разминка",Тренировки!$E$6:$E$2005,"&gt;0"))</f>
        <v>#N/A</v>
      </c>
    </row>
    <row r="107" customFormat="false" ht="15" hidden="false" customHeight="true" outlineLevel="0" collapsed="false">
      <c r="A107" s="61" t="n">
        <f aca="false">A106+7</f>
        <v>46301</v>
      </c>
      <c r="B107" s="62" t="e">
        <f aca="false">IF(COUNTIFS(Тренировки!$C$6:$C$2005,B$105,Тренировки!$A$6:$A$2005,"&gt;="&amp;$A107,Тренировки!$A$6:$A$2005,"&lt;"&amp;$A107+7,Тренировки!$H$6:$H$2005,"&lt;&gt;Разминка",Тренировки!$E$6:$E$2005,"&gt;0")=0,NA(),_xlfn.MAXIFS(Тренировки!$E$6:$E$2005,Тренировки!$C$6:$C$2005,B$105,Тренировки!$A$6:$A$2005,"&gt;="&amp;$A107,Тренировки!$A$6:$A$2005,"&lt;"&amp;$A107+7,Тренировки!$H$6:$H$2005,"&lt;&gt;Разминка",Тренировки!$E$6:$E$2005,"&gt;0"))</f>
        <v>#N/A</v>
      </c>
      <c r="C107" s="62" t="e">
        <f aca="false">IF(COUNTIFS(Тренировки!$C$6:$C$2005,C$105,Тренировки!$A$6:$A$2005,"&gt;="&amp;$A107,Тренировки!$A$6:$A$2005,"&lt;"&amp;$A107+7,Тренировки!$H$6:$H$2005,"&lt;&gt;Разминка",Тренировки!$E$6:$E$2005,"&gt;0")=0,NA(),_xlfn.MAXIFS(Тренировки!$E$6:$E$2005,Тренировки!$C$6:$C$2005,C$105,Тренировки!$A$6:$A$2005,"&gt;="&amp;$A107,Тренировки!$A$6:$A$2005,"&lt;"&amp;$A107+7,Тренировки!$H$6:$H$2005,"&lt;&gt;Разминка",Тренировки!$E$6:$E$2005,"&gt;0"))</f>
        <v>#N/A</v>
      </c>
      <c r="D107" s="62" t="e">
        <f aca="false">IF(COUNTIFS(Тренировки!$C$6:$C$2005,D$105,Тренировки!$A$6:$A$2005,"&gt;="&amp;$A107,Тренировки!$A$6:$A$2005,"&lt;"&amp;$A107+7,Тренировки!$H$6:$H$2005,"&lt;&gt;Разминка",Тренировки!$E$6:$E$2005,"&gt;0")=0,NA(),_xlfn.MAXIFS(Тренировки!$E$6:$E$2005,Тренировки!$C$6:$C$2005,D$105,Тренировки!$A$6:$A$2005,"&gt;="&amp;$A107,Тренировки!$A$6:$A$2005,"&lt;"&amp;$A107+7,Тренировки!$H$6:$H$2005,"&lt;&gt;Разминка",Тренировки!$E$6:$E$2005,"&gt;0"))</f>
        <v>#N/A</v>
      </c>
      <c r="E107" s="62" t="e">
        <f aca="false">IF(COUNTIFS(Тренировки!$C$6:$C$2005,E$105,Тренировки!$A$6:$A$2005,"&gt;="&amp;$A107,Тренировки!$A$6:$A$2005,"&lt;"&amp;$A107+7,Тренировки!$H$6:$H$2005,"&lt;&gt;Разминка",Тренировки!$E$6:$E$2005,"&gt;0")=0,NA(),_xlfn.MAXIFS(Тренировки!$E$6:$E$2005,Тренировки!$C$6:$C$2005,E$105,Тренировки!$A$6:$A$2005,"&gt;="&amp;$A107,Тренировки!$A$6:$A$2005,"&lt;"&amp;$A107+7,Тренировки!$H$6:$H$2005,"&lt;&gt;Разминка",Тренировки!$E$6:$E$2005,"&gt;0"))</f>
        <v>#N/A</v>
      </c>
      <c r="F107" s="62" t="e">
        <f aca="false">IF(COUNTIFS(Тренировки!$C$6:$C$2005,F$105,Тренировки!$A$6:$A$2005,"&gt;="&amp;$A107,Тренировки!$A$6:$A$2005,"&lt;"&amp;$A107+7,Тренировки!$H$6:$H$2005,"&lt;&gt;Разминка",Тренировки!$E$6:$E$2005,"&gt;0")=0,NA(),_xlfn.MAXIFS(Тренировки!$E$6:$E$2005,Тренировки!$C$6:$C$2005,F$105,Тренировки!$A$6:$A$2005,"&gt;="&amp;$A107,Тренировки!$A$6:$A$2005,"&lt;"&amp;$A107+7,Тренировки!$H$6:$H$2005,"&lt;&gt;Разминка",Тренировки!$E$6:$E$2005,"&gt;0"))</f>
        <v>#N/A</v>
      </c>
    </row>
    <row r="108" customFormat="false" ht="15" hidden="false" customHeight="true" outlineLevel="0" collapsed="false">
      <c r="A108" s="61" t="n">
        <f aca="false">A107+7</f>
        <v>46308</v>
      </c>
      <c r="B108" s="62" t="e">
        <f aca="false">IF(COUNTIFS(Тренировки!$C$6:$C$2005,B$105,Тренировки!$A$6:$A$2005,"&gt;="&amp;$A108,Тренировки!$A$6:$A$2005,"&lt;"&amp;$A108+7,Тренировки!$H$6:$H$2005,"&lt;&gt;Разминка",Тренировки!$E$6:$E$2005,"&gt;0")=0,NA(),_xlfn.MAXIFS(Тренировки!$E$6:$E$2005,Тренировки!$C$6:$C$2005,B$105,Тренировки!$A$6:$A$2005,"&gt;="&amp;$A108,Тренировки!$A$6:$A$2005,"&lt;"&amp;$A108+7,Тренировки!$H$6:$H$2005,"&lt;&gt;Разминка",Тренировки!$E$6:$E$2005,"&gt;0"))</f>
        <v>#N/A</v>
      </c>
      <c r="C108" s="62" t="e">
        <f aca="false">IF(COUNTIFS(Тренировки!$C$6:$C$2005,C$105,Тренировки!$A$6:$A$2005,"&gt;="&amp;$A108,Тренировки!$A$6:$A$2005,"&lt;"&amp;$A108+7,Тренировки!$H$6:$H$2005,"&lt;&gt;Разминка",Тренировки!$E$6:$E$2005,"&gt;0")=0,NA(),_xlfn.MAXIFS(Тренировки!$E$6:$E$2005,Тренировки!$C$6:$C$2005,C$105,Тренировки!$A$6:$A$2005,"&gt;="&amp;$A108,Тренировки!$A$6:$A$2005,"&lt;"&amp;$A108+7,Тренировки!$H$6:$H$2005,"&lt;&gt;Разминка",Тренировки!$E$6:$E$2005,"&gt;0"))</f>
        <v>#N/A</v>
      </c>
      <c r="D108" s="62" t="e">
        <f aca="false">IF(COUNTIFS(Тренировки!$C$6:$C$2005,D$105,Тренировки!$A$6:$A$2005,"&gt;="&amp;$A108,Тренировки!$A$6:$A$2005,"&lt;"&amp;$A108+7,Тренировки!$H$6:$H$2005,"&lt;&gt;Разминка",Тренировки!$E$6:$E$2005,"&gt;0")=0,NA(),_xlfn.MAXIFS(Тренировки!$E$6:$E$2005,Тренировки!$C$6:$C$2005,D$105,Тренировки!$A$6:$A$2005,"&gt;="&amp;$A108,Тренировки!$A$6:$A$2005,"&lt;"&amp;$A108+7,Тренировки!$H$6:$H$2005,"&lt;&gt;Разминка",Тренировки!$E$6:$E$2005,"&gt;0"))</f>
        <v>#N/A</v>
      </c>
      <c r="E108" s="62" t="e">
        <f aca="false">IF(COUNTIFS(Тренировки!$C$6:$C$2005,E$105,Тренировки!$A$6:$A$2005,"&gt;="&amp;$A108,Тренировки!$A$6:$A$2005,"&lt;"&amp;$A108+7,Тренировки!$H$6:$H$2005,"&lt;&gt;Разминка",Тренировки!$E$6:$E$2005,"&gt;0")=0,NA(),_xlfn.MAXIFS(Тренировки!$E$6:$E$2005,Тренировки!$C$6:$C$2005,E$105,Тренировки!$A$6:$A$2005,"&gt;="&amp;$A108,Тренировки!$A$6:$A$2005,"&lt;"&amp;$A108+7,Тренировки!$H$6:$H$2005,"&lt;&gt;Разминка",Тренировки!$E$6:$E$2005,"&gt;0"))</f>
        <v>#N/A</v>
      </c>
      <c r="F108" s="62" t="e">
        <f aca="false">IF(COUNTIFS(Тренировки!$C$6:$C$2005,F$105,Тренировки!$A$6:$A$2005,"&gt;="&amp;$A108,Тренировки!$A$6:$A$2005,"&lt;"&amp;$A108+7,Тренировки!$H$6:$H$2005,"&lt;&gt;Разминка",Тренировки!$E$6:$E$2005,"&gt;0")=0,NA(),_xlfn.MAXIFS(Тренировки!$E$6:$E$2005,Тренировки!$C$6:$C$2005,F$105,Тренировки!$A$6:$A$2005,"&gt;="&amp;$A108,Тренировки!$A$6:$A$2005,"&lt;"&amp;$A108+7,Тренировки!$H$6:$H$2005,"&lt;&gt;Разминка",Тренировки!$E$6:$E$2005,"&gt;0"))</f>
        <v>#N/A</v>
      </c>
    </row>
    <row r="109" customFormat="false" ht="15" hidden="false" customHeight="true" outlineLevel="0" collapsed="false">
      <c r="A109" s="61" t="n">
        <f aca="false">A108+7</f>
        <v>46315</v>
      </c>
      <c r="B109" s="62" t="e">
        <f aca="false">IF(COUNTIFS(Тренировки!$C$6:$C$2005,B$105,Тренировки!$A$6:$A$2005,"&gt;="&amp;$A109,Тренировки!$A$6:$A$2005,"&lt;"&amp;$A109+7,Тренировки!$H$6:$H$2005,"&lt;&gt;Разминка",Тренировки!$E$6:$E$2005,"&gt;0")=0,NA(),_xlfn.MAXIFS(Тренировки!$E$6:$E$2005,Тренировки!$C$6:$C$2005,B$105,Тренировки!$A$6:$A$2005,"&gt;="&amp;$A109,Тренировки!$A$6:$A$2005,"&lt;"&amp;$A109+7,Тренировки!$H$6:$H$2005,"&lt;&gt;Разминка",Тренировки!$E$6:$E$2005,"&gt;0"))</f>
        <v>#N/A</v>
      </c>
      <c r="C109" s="62" t="e">
        <f aca="false">IF(COUNTIFS(Тренировки!$C$6:$C$2005,C$105,Тренировки!$A$6:$A$2005,"&gt;="&amp;$A109,Тренировки!$A$6:$A$2005,"&lt;"&amp;$A109+7,Тренировки!$H$6:$H$2005,"&lt;&gt;Разминка",Тренировки!$E$6:$E$2005,"&gt;0")=0,NA(),_xlfn.MAXIFS(Тренировки!$E$6:$E$2005,Тренировки!$C$6:$C$2005,C$105,Тренировки!$A$6:$A$2005,"&gt;="&amp;$A109,Тренировки!$A$6:$A$2005,"&lt;"&amp;$A109+7,Тренировки!$H$6:$H$2005,"&lt;&gt;Разминка",Тренировки!$E$6:$E$2005,"&gt;0"))</f>
        <v>#N/A</v>
      </c>
      <c r="D109" s="62" t="e">
        <f aca="false">IF(COUNTIFS(Тренировки!$C$6:$C$2005,D$105,Тренировки!$A$6:$A$2005,"&gt;="&amp;$A109,Тренировки!$A$6:$A$2005,"&lt;"&amp;$A109+7,Тренировки!$H$6:$H$2005,"&lt;&gt;Разминка",Тренировки!$E$6:$E$2005,"&gt;0")=0,NA(),_xlfn.MAXIFS(Тренировки!$E$6:$E$2005,Тренировки!$C$6:$C$2005,D$105,Тренировки!$A$6:$A$2005,"&gt;="&amp;$A109,Тренировки!$A$6:$A$2005,"&lt;"&amp;$A109+7,Тренировки!$H$6:$H$2005,"&lt;&gt;Разминка",Тренировки!$E$6:$E$2005,"&gt;0"))</f>
        <v>#N/A</v>
      </c>
      <c r="E109" s="62" t="e">
        <f aca="false">IF(COUNTIFS(Тренировки!$C$6:$C$2005,E$105,Тренировки!$A$6:$A$2005,"&gt;="&amp;$A109,Тренировки!$A$6:$A$2005,"&lt;"&amp;$A109+7,Тренировки!$H$6:$H$2005,"&lt;&gt;Разминка",Тренировки!$E$6:$E$2005,"&gt;0")=0,NA(),_xlfn.MAXIFS(Тренировки!$E$6:$E$2005,Тренировки!$C$6:$C$2005,E$105,Тренировки!$A$6:$A$2005,"&gt;="&amp;$A109,Тренировки!$A$6:$A$2005,"&lt;"&amp;$A109+7,Тренировки!$H$6:$H$2005,"&lt;&gt;Разминка",Тренировки!$E$6:$E$2005,"&gt;0"))</f>
        <v>#N/A</v>
      </c>
      <c r="F109" s="62" t="e">
        <f aca="false">IF(COUNTIFS(Тренировки!$C$6:$C$2005,F$105,Тренировки!$A$6:$A$2005,"&gt;="&amp;$A109,Тренировки!$A$6:$A$2005,"&lt;"&amp;$A109+7,Тренировки!$H$6:$H$2005,"&lt;&gt;Разминка",Тренировки!$E$6:$E$2005,"&gt;0")=0,NA(),_xlfn.MAXIFS(Тренировки!$E$6:$E$2005,Тренировки!$C$6:$C$2005,F$105,Тренировки!$A$6:$A$2005,"&gt;="&amp;$A109,Тренировки!$A$6:$A$2005,"&lt;"&amp;$A109+7,Тренировки!$H$6:$H$2005,"&lt;&gt;Разминка",Тренировки!$E$6:$E$2005,"&gt;0"))</f>
        <v>#N/A</v>
      </c>
    </row>
    <row r="110" customFormat="false" ht="15" hidden="false" customHeight="true" outlineLevel="0" collapsed="false">
      <c r="A110" s="61" t="n">
        <f aca="false">A109+7</f>
        <v>46322</v>
      </c>
      <c r="B110" s="62" t="e">
        <f aca="false">IF(COUNTIFS(Тренировки!$C$6:$C$2005,B$105,Тренировки!$A$6:$A$2005,"&gt;="&amp;$A110,Тренировки!$A$6:$A$2005,"&lt;"&amp;$A110+7,Тренировки!$H$6:$H$2005,"&lt;&gt;Разминка",Тренировки!$E$6:$E$2005,"&gt;0")=0,NA(),_xlfn.MAXIFS(Тренировки!$E$6:$E$2005,Тренировки!$C$6:$C$2005,B$105,Тренировки!$A$6:$A$2005,"&gt;="&amp;$A110,Тренировки!$A$6:$A$2005,"&lt;"&amp;$A110+7,Тренировки!$H$6:$H$2005,"&lt;&gt;Разминка",Тренировки!$E$6:$E$2005,"&gt;0"))</f>
        <v>#N/A</v>
      </c>
      <c r="C110" s="62" t="e">
        <f aca="false">IF(COUNTIFS(Тренировки!$C$6:$C$2005,C$105,Тренировки!$A$6:$A$2005,"&gt;="&amp;$A110,Тренировки!$A$6:$A$2005,"&lt;"&amp;$A110+7,Тренировки!$H$6:$H$2005,"&lt;&gt;Разминка",Тренировки!$E$6:$E$2005,"&gt;0")=0,NA(),_xlfn.MAXIFS(Тренировки!$E$6:$E$2005,Тренировки!$C$6:$C$2005,C$105,Тренировки!$A$6:$A$2005,"&gt;="&amp;$A110,Тренировки!$A$6:$A$2005,"&lt;"&amp;$A110+7,Тренировки!$H$6:$H$2005,"&lt;&gt;Разминка",Тренировки!$E$6:$E$2005,"&gt;0"))</f>
        <v>#N/A</v>
      </c>
      <c r="D110" s="62" t="e">
        <f aca="false">IF(COUNTIFS(Тренировки!$C$6:$C$2005,D$105,Тренировки!$A$6:$A$2005,"&gt;="&amp;$A110,Тренировки!$A$6:$A$2005,"&lt;"&amp;$A110+7,Тренировки!$H$6:$H$2005,"&lt;&gt;Разминка",Тренировки!$E$6:$E$2005,"&gt;0")=0,NA(),_xlfn.MAXIFS(Тренировки!$E$6:$E$2005,Тренировки!$C$6:$C$2005,D$105,Тренировки!$A$6:$A$2005,"&gt;="&amp;$A110,Тренировки!$A$6:$A$2005,"&lt;"&amp;$A110+7,Тренировки!$H$6:$H$2005,"&lt;&gt;Разминка",Тренировки!$E$6:$E$2005,"&gt;0"))</f>
        <v>#N/A</v>
      </c>
      <c r="E110" s="62" t="e">
        <f aca="false">IF(COUNTIFS(Тренировки!$C$6:$C$2005,E$105,Тренировки!$A$6:$A$2005,"&gt;="&amp;$A110,Тренировки!$A$6:$A$2005,"&lt;"&amp;$A110+7,Тренировки!$H$6:$H$2005,"&lt;&gt;Разминка",Тренировки!$E$6:$E$2005,"&gt;0")=0,NA(),_xlfn.MAXIFS(Тренировки!$E$6:$E$2005,Тренировки!$C$6:$C$2005,E$105,Тренировки!$A$6:$A$2005,"&gt;="&amp;$A110,Тренировки!$A$6:$A$2005,"&lt;"&amp;$A110+7,Тренировки!$H$6:$H$2005,"&lt;&gt;Разминка",Тренировки!$E$6:$E$2005,"&gt;0"))</f>
        <v>#N/A</v>
      </c>
      <c r="F110" s="62" t="e">
        <f aca="false">IF(COUNTIFS(Тренировки!$C$6:$C$2005,F$105,Тренировки!$A$6:$A$2005,"&gt;="&amp;$A110,Тренировки!$A$6:$A$2005,"&lt;"&amp;$A110+7,Тренировки!$H$6:$H$2005,"&lt;&gt;Разминка",Тренировки!$E$6:$E$2005,"&gt;0")=0,NA(),_xlfn.MAXIFS(Тренировки!$E$6:$E$2005,Тренировки!$C$6:$C$2005,F$105,Тренировки!$A$6:$A$2005,"&gt;="&amp;$A110,Тренировки!$A$6:$A$2005,"&lt;"&amp;$A110+7,Тренировки!$H$6:$H$2005,"&lt;&gt;Разминка",Тренировки!$E$6:$E$2005,"&gt;0"))</f>
        <v>#N/A</v>
      </c>
    </row>
    <row r="111" customFormat="false" ht="15" hidden="false" customHeight="true" outlineLevel="0" collapsed="false">
      <c r="A111" s="61" t="n">
        <f aca="false">A110+7</f>
        <v>46329</v>
      </c>
      <c r="B111" s="62" t="e">
        <f aca="false">IF(COUNTIFS(Тренировки!$C$6:$C$2005,B$105,Тренировки!$A$6:$A$2005,"&gt;="&amp;$A111,Тренировки!$A$6:$A$2005,"&lt;"&amp;$A111+7,Тренировки!$H$6:$H$2005,"&lt;&gt;Разминка",Тренировки!$E$6:$E$2005,"&gt;0")=0,NA(),_xlfn.MAXIFS(Тренировки!$E$6:$E$2005,Тренировки!$C$6:$C$2005,B$105,Тренировки!$A$6:$A$2005,"&gt;="&amp;$A111,Тренировки!$A$6:$A$2005,"&lt;"&amp;$A111+7,Тренировки!$H$6:$H$2005,"&lt;&gt;Разминка",Тренировки!$E$6:$E$2005,"&gt;0"))</f>
        <v>#N/A</v>
      </c>
      <c r="C111" s="62" t="e">
        <f aca="false">IF(COUNTIFS(Тренировки!$C$6:$C$2005,C$105,Тренировки!$A$6:$A$2005,"&gt;="&amp;$A111,Тренировки!$A$6:$A$2005,"&lt;"&amp;$A111+7,Тренировки!$H$6:$H$2005,"&lt;&gt;Разминка",Тренировки!$E$6:$E$2005,"&gt;0")=0,NA(),_xlfn.MAXIFS(Тренировки!$E$6:$E$2005,Тренировки!$C$6:$C$2005,C$105,Тренировки!$A$6:$A$2005,"&gt;="&amp;$A111,Тренировки!$A$6:$A$2005,"&lt;"&amp;$A111+7,Тренировки!$H$6:$H$2005,"&lt;&gt;Разминка",Тренировки!$E$6:$E$2005,"&gt;0"))</f>
        <v>#N/A</v>
      </c>
      <c r="D111" s="62" t="e">
        <f aca="false">IF(COUNTIFS(Тренировки!$C$6:$C$2005,D$105,Тренировки!$A$6:$A$2005,"&gt;="&amp;$A111,Тренировки!$A$6:$A$2005,"&lt;"&amp;$A111+7,Тренировки!$H$6:$H$2005,"&lt;&gt;Разминка",Тренировки!$E$6:$E$2005,"&gt;0")=0,NA(),_xlfn.MAXIFS(Тренировки!$E$6:$E$2005,Тренировки!$C$6:$C$2005,D$105,Тренировки!$A$6:$A$2005,"&gt;="&amp;$A111,Тренировки!$A$6:$A$2005,"&lt;"&amp;$A111+7,Тренировки!$H$6:$H$2005,"&lt;&gt;Разминка",Тренировки!$E$6:$E$2005,"&gt;0"))</f>
        <v>#N/A</v>
      </c>
      <c r="E111" s="62" t="e">
        <f aca="false">IF(COUNTIFS(Тренировки!$C$6:$C$2005,E$105,Тренировки!$A$6:$A$2005,"&gt;="&amp;$A111,Тренировки!$A$6:$A$2005,"&lt;"&amp;$A111+7,Тренировки!$H$6:$H$2005,"&lt;&gt;Разминка",Тренировки!$E$6:$E$2005,"&gt;0")=0,NA(),_xlfn.MAXIFS(Тренировки!$E$6:$E$2005,Тренировки!$C$6:$C$2005,E$105,Тренировки!$A$6:$A$2005,"&gt;="&amp;$A111,Тренировки!$A$6:$A$2005,"&lt;"&amp;$A111+7,Тренировки!$H$6:$H$2005,"&lt;&gt;Разминка",Тренировки!$E$6:$E$2005,"&gt;0"))</f>
        <v>#N/A</v>
      </c>
      <c r="F111" s="62" t="e">
        <f aca="false">IF(COUNTIFS(Тренировки!$C$6:$C$2005,F$105,Тренировки!$A$6:$A$2005,"&gt;="&amp;$A111,Тренировки!$A$6:$A$2005,"&lt;"&amp;$A111+7,Тренировки!$H$6:$H$2005,"&lt;&gt;Разминка",Тренировки!$E$6:$E$2005,"&gt;0")=0,NA(),_xlfn.MAXIFS(Тренировки!$E$6:$E$2005,Тренировки!$C$6:$C$2005,F$105,Тренировки!$A$6:$A$2005,"&gt;="&amp;$A111,Тренировки!$A$6:$A$2005,"&lt;"&amp;$A111+7,Тренировки!$H$6:$H$2005,"&lt;&gt;Разминка",Тренировки!$E$6:$E$2005,"&gt;0"))</f>
        <v>#N/A</v>
      </c>
    </row>
    <row r="112" customFormat="false" ht="15" hidden="false" customHeight="true" outlineLevel="0" collapsed="false">
      <c r="A112" s="61" t="n">
        <f aca="false">A111+7</f>
        <v>46336</v>
      </c>
      <c r="B112" s="62" t="e">
        <f aca="false">IF(COUNTIFS(Тренировки!$C$6:$C$2005,B$105,Тренировки!$A$6:$A$2005,"&gt;="&amp;$A112,Тренировки!$A$6:$A$2005,"&lt;"&amp;$A112+7,Тренировки!$H$6:$H$2005,"&lt;&gt;Разминка",Тренировки!$E$6:$E$2005,"&gt;0")=0,NA(),_xlfn.MAXIFS(Тренировки!$E$6:$E$2005,Тренировки!$C$6:$C$2005,B$105,Тренировки!$A$6:$A$2005,"&gt;="&amp;$A112,Тренировки!$A$6:$A$2005,"&lt;"&amp;$A112+7,Тренировки!$H$6:$H$2005,"&lt;&gt;Разминка",Тренировки!$E$6:$E$2005,"&gt;0"))</f>
        <v>#N/A</v>
      </c>
      <c r="C112" s="62" t="e">
        <f aca="false">IF(COUNTIFS(Тренировки!$C$6:$C$2005,C$105,Тренировки!$A$6:$A$2005,"&gt;="&amp;$A112,Тренировки!$A$6:$A$2005,"&lt;"&amp;$A112+7,Тренировки!$H$6:$H$2005,"&lt;&gt;Разминка",Тренировки!$E$6:$E$2005,"&gt;0")=0,NA(),_xlfn.MAXIFS(Тренировки!$E$6:$E$2005,Тренировки!$C$6:$C$2005,C$105,Тренировки!$A$6:$A$2005,"&gt;="&amp;$A112,Тренировки!$A$6:$A$2005,"&lt;"&amp;$A112+7,Тренировки!$H$6:$H$2005,"&lt;&gt;Разминка",Тренировки!$E$6:$E$2005,"&gt;0"))</f>
        <v>#N/A</v>
      </c>
      <c r="D112" s="62" t="e">
        <f aca="false">IF(COUNTIFS(Тренировки!$C$6:$C$2005,D$105,Тренировки!$A$6:$A$2005,"&gt;="&amp;$A112,Тренировки!$A$6:$A$2005,"&lt;"&amp;$A112+7,Тренировки!$H$6:$H$2005,"&lt;&gt;Разминка",Тренировки!$E$6:$E$2005,"&gt;0")=0,NA(),_xlfn.MAXIFS(Тренировки!$E$6:$E$2005,Тренировки!$C$6:$C$2005,D$105,Тренировки!$A$6:$A$2005,"&gt;="&amp;$A112,Тренировки!$A$6:$A$2005,"&lt;"&amp;$A112+7,Тренировки!$H$6:$H$2005,"&lt;&gt;Разминка",Тренировки!$E$6:$E$2005,"&gt;0"))</f>
        <v>#N/A</v>
      </c>
      <c r="E112" s="62" t="e">
        <f aca="false">IF(COUNTIFS(Тренировки!$C$6:$C$2005,E$105,Тренировки!$A$6:$A$2005,"&gt;="&amp;$A112,Тренировки!$A$6:$A$2005,"&lt;"&amp;$A112+7,Тренировки!$H$6:$H$2005,"&lt;&gt;Разминка",Тренировки!$E$6:$E$2005,"&gt;0")=0,NA(),_xlfn.MAXIFS(Тренировки!$E$6:$E$2005,Тренировки!$C$6:$C$2005,E$105,Тренировки!$A$6:$A$2005,"&gt;="&amp;$A112,Тренировки!$A$6:$A$2005,"&lt;"&amp;$A112+7,Тренировки!$H$6:$H$2005,"&lt;&gt;Разминка",Тренировки!$E$6:$E$2005,"&gt;0"))</f>
        <v>#N/A</v>
      </c>
      <c r="F112" s="62" t="e">
        <f aca="false">IF(COUNTIFS(Тренировки!$C$6:$C$2005,F$105,Тренировки!$A$6:$A$2005,"&gt;="&amp;$A112,Тренировки!$A$6:$A$2005,"&lt;"&amp;$A112+7,Тренировки!$H$6:$H$2005,"&lt;&gt;Разминка",Тренировки!$E$6:$E$2005,"&gt;0")=0,NA(),_xlfn.MAXIFS(Тренировки!$E$6:$E$2005,Тренировки!$C$6:$C$2005,F$105,Тренировки!$A$6:$A$2005,"&gt;="&amp;$A112,Тренировки!$A$6:$A$2005,"&lt;"&amp;$A112+7,Тренировки!$H$6:$H$2005,"&lt;&gt;Разминка",Тренировки!$E$6:$E$2005,"&gt;0"))</f>
        <v>#N/A</v>
      </c>
    </row>
    <row r="113" customFormat="false" ht="15" hidden="false" customHeight="true" outlineLevel="0" collapsed="false">
      <c r="A113" s="61" t="n">
        <f aca="false">A112+7</f>
        <v>46343</v>
      </c>
      <c r="B113" s="62" t="e">
        <f aca="false">IF(COUNTIFS(Тренировки!$C$6:$C$2005,B$105,Тренировки!$A$6:$A$2005,"&gt;="&amp;$A113,Тренировки!$A$6:$A$2005,"&lt;"&amp;$A113+7,Тренировки!$H$6:$H$2005,"&lt;&gt;Разминка",Тренировки!$E$6:$E$2005,"&gt;0")=0,NA(),_xlfn.MAXIFS(Тренировки!$E$6:$E$2005,Тренировки!$C$6:$C$2005,B$105,Тренировки!$A$6:$A$2005,"&gt;="&amp;$A113,Тренировки!$A$6:$A$2005,"&lt;"&amp;$A113+7,Тренировки!$H$6:$H$2005,"&lt;&gt;Разминка",Тренировки!$E$6:$E$2005,"&gt;0"))</f>
        <v>#N/A</v>
      </c>
      <c r="C113" s="62" t="e">
        <f aca="false">IF(COUNTIFS(Тренировки!$C$6:$C$2005,C$105,Тренировки!$A$6:$A$2005,"&gt;="&amp;$A113,Тренировки!$A$6:$A$2005,"&lt;"&amp;$A113+7,Тренировки!$H$6:$H$2005,"&lt;&gt;Разминка",Тренировки!$E$6:$E$2005,"&gt;0")=0,NA(),_xlfn.MAXIFS(Тренировки!$E$6:$E$2005,Тренировки!$C$6:$C$2005,C$105,Тренировки!$A$6:$A$2005,"&gt;="&amp;$A113,Тренировки!$A$6:$A$2005,"&lt;"&amp;$A113+7,Тренировки!$H$6:$H$2005,"&lt;&gt;Разминка",Тренировки!$E$6:$E$2005,"&gt;0"))</f>
        <v>#N/A</v>
      </c>
      <c r="D113" s="62" t="e">
        <f aca="false">IF(COUNTIFS(Тренировки!$C$6:$C$2005,D$105,Тренировки!$A$6:$A$2005,"&gt;="&amp;$A113,Тренировки!$A$6:$A$2005,"&lt;"&amp;$A113+7,Тренировки!$H$6:$H$2005,"&lt;&gt;Разминка",Тренировки!$E$6:$E$2005,"&gt;0")=0,NA(),_xlfn.MAXIFS(Тренировки!$E$6:$E$2005,Тренировки!$C$6:$C$2005,D$105,Тренировки!$A$6:$A$2005,"&gt;="&amp;$A113,Тренировки!$A$6:$A$2005,"&lt;"&amp;$A113+7,Тренировки!$H$6:$H$2005,"&lt;&gt;Разминка",Тренировки!$E$6:$E$2005,"&gt;0"))</f>
        <v>#N/A</v>
      </c>
      <c r="E113" s="62" t="e">
        <f aca="false">IF(COUNTIFS(Тренировки!$C$6:$C$2005,E$105,Тренировки!$A$6:$A$2005,"&gt;="&amp;$A113,Тренировки!$A$6:$A$2005,"&lt;"&amp;$A113+7,Тренировки!$H$6:$H$2005,"&lt;&gt;Разминка",Тренировки!$E$6:$E$2005,"&gt;0")=0,NA(),_xlfn.MAXIFS(Тренировки!$E$6:$E$2005,Тренировки!$C$6:$C$2005,E$105,Тренировки!$A$6:$A$2005,"&gt;="&amp;$A113,Тренировки!$A$6:$A$2005,"&lt;"&amp;$A113+7,Тренировки!$H$6:$H$2005,"&lt;&gt;Разминка",Тренировки!$E$6:$E$2005,"&gt;0"))</f>
        <v>#N/A</v>
      </c>
      <c r="F113" s="62" t="e">
        <f aca="false">IF(COUNTIFS(Тренировки!$C$6:$C$2005,F$105,Тренировки!$A$6:$A$2005,"&gt;="&amp;$A113,Тренировки!$A$6:$A$2005,"&lt;"&amp;$A113+7,Тренировки!$H$6:$H$2005,"&lt;&gt;Разминка",Тренировки!$E$6:$E$2005,"&gt;0")=0,NA(),_xlfn.MAXIFS(Тренировки!$E$6:$E$2005,Тренировки!$C$6:$C$2005,F$105,Тренировки!$A$6:$A$2005,"&gt;="&amp;$A113,Тренировки!$A$6:$A$2005,"&lt;"&amp;$A113+7,Тренировки!$H$6:$H$2005,"&lt;&gt;Разминка",Тренировки!$E$6:$E$2005,"&gt;0"))</f>
        <v>#N/A</v>
      </c>
    </row>
    <row r="114" customFormat="false" ht="15" hidden="false" customHeight="true" outlineLevel="0" collapsed="false">
      <c r="A114" s="61" t="n">
        <f aca="false">A113+7</f>
        <v>46350</v>
      </c>
      <c r="B114" s="62" t="e">
        <f aca="false">IF(COUNTIFS(Тренировки!$C$6:$C$2005,B$105,Тренировки!$A$6:$A$2005,"&gt;="&amp;$A114,Тренировки!$A$6:$A$2005,"&lt;"&amp;$A114+7,Тренировки!$H$6:$H$2005,"&lt;&gt;Разминка",Тренировки!$E$6:$E$2005,"&gt;0")=0,NA(),_xlfn.MAXIFS(Тренировки!$E$6:$E$2005,Тренировки!$C$6:$C$2005,B$105,Тренировки!$A$6:$A$2005,"&gt;="&amp;$A114,Тренировки!$A$6:$A$2005,"&lt;"&amp;$A114+7,Тренировки!$H$6:$H$2005,"&lt;&gt;Разминка",Тренировки!$E$6:$E$2005,"&gt;0"))</f>
        <v>#N/A</v>
      </c>
      <c r="C114" s="62" t="e">
        <f aca="false">IF(COUNTIFS(Тренировки!$C$6:$C$2005,C$105,Тренировки!$A$6:$A$2005,"&gt;="&amp;$A114,Тренировки!$A$6:$A$2005,"&lt;"&amp;$A114+7,Тренировки!$H$6:$H$2005,"&lt;&gt;Разминка",Тренировки!$E$6:$E$2005,"&gt;0")=0,NA(),_xlfn.MAXIFS(Тренировки!$E$6:$E$2005,Тренировки!$C$6:$C$2005,C$105,Тренировки!$A$6:$A$2005,"&gt;="&amp;$A114,Тренировки!$A$6:$A$2005,"&lt;"&amp;$A114+7,Тренировки!$H$6:$H$2005,"&lt;&gt;Разминка",Тренировки!$E$6:$E$2005,"&gt;0"))</f>
        <v>#N/A</v>
      </c>
      <c r="D114" s="62" t="e">
        <f aca="false">IF(COUNTIFS(Тренировки!$C$6:$C$2005,D$105,Тренировки!$A$6:$A$2005,"&gt;="&amp;$A114,Тренировки!$A$6:$A$2005,"&lt;"&amp;$A114+7,Тренировки!$H$6:$H$2005,"&lt;&gt;Разминка",Тренировки!$E$6:$E$2005,"&gt;0")=0,NA(),_xlfn.MAXIFS(Тренировки!$E$6:$E$2005,Тренировки!$C$6:$C$2005,D$105,Тренировки!$A$6:$A$2005,"&gt;="&amp;$A114,Тренировки!$A$6:$A$2005,"&lt;"&amp;$A114+7,Тренировки!$H$6:$H$2005,"&lt;&gt;Разминка",Тренировки!$E$6:$E$2005,"&gt;0"))</f>
        <v>#N/A</v>
      </c>
      <c r="E114" s="62" t="e">
        <f aca="false">IF(COUNTIFS(Тренировки!$C$6:$C$2005,E$105,Тренировки!$A$6:$A$2005,"&gt;="&amp;$A114,Тренировки!$A$6:$A$2005,"&lt;"&amp;$A114+7,Тренировки!$H$6:$H$2005,"&lt;&gt;Разминка",Тренировки!$E$6:$E$2005,"&gt;0")=0,NA(),_xlfn.MAXIFS(Тренировки!$E$6:$E$2005,Тренировки!$C$6:$C$2005,E$105,Тренировки!$A$6:$A$2005,"&gt;="&amp;$A114,Тренировки!$A$6:$A$2005,"&lt;"&amp;$A114+7,Тренировки!$H$6:$H$2005,"&lt;&gt;Разминка",Тренировки!$E$6:$E$2005,"&gt;0"))</f>
        <v>#N/A</v>
      </c>
      <c r="F114" s="62" t="e">
        <f aca="false">IF(COUNTIFS(Тренировки!$C$6:$C$2005,F$105,Тренировки!$A$6:$A$2005,"&gt;="&amp;$A114,Тренировки!$A$6:$A$2005,"&lt;"&amp;$A114+7,Тренировки!$H$6:$H$2005,"&lt;&gt;Разминка",Тренировки!$E$6:$E$2005,"&gt;0")=0,NA(),_xlfn.MAXIFS(Тренировки!$E$6:$E$2005,Тренировки!$C$6:$C$2005,F$105,Тренировки!$A$6:$A$2005,"&gt;="&amp;$A114,Тренировки!$A$6:$A$2005,"&lt;"&amp;$A114+7,Тренировки!$H$6:$H$2005,"&lt;&gt;Разминка",Тренировки!$E$6:$E$2005,"&gt;0"))</f>
        <v>#N/A</v>
      </c>
    </row>
    <row r="115" customFormat="false" ht="15" hidden="false" customHeight="true" outlineLevel="0" collapsed="false">
      <c r="A115" s="61" t="n">
        <f aca="false">A114+7</f>
        <v>46357</v>
      </c>
      <c r="B115" s="62" t="e">
        <f aca="false">IF(COUNTIFS(Тренировки!$C$6:$C$2005,B$105,Тренировки!$A$6:$A$2005,"&gt;="&amp;$A115,Тренировки!$A$6:$A$2005,"&lt;"&amp;$A115+7,Тренировки!$H$6:$H$2005,"&lt;&gt;Разминка",Тренировки!$E$6:$E$2005,"&gt;0")=0,NA(),_xlfn.MAXIFS(Тренировки!$E$6:$E$2005,Тренировки!$C$6:$C$2005,B$105,Тренировки!$A$6:$A$2005,"&gt;="&amp;$A115,Тренировки!$A$6:$A$2005,"&lt;"&amp;$A115+7,Тренировки!$H$6:$H$2005,"&lt;&gt;Разминка",Тренировки!$E$6:$E$2005,"&gt;0"))</f>
        <v>#N/A</v>
      </c>
      <c r="C115" s="62" t="e">
        <f aca="false">IF(COUNTIFS(Тренировки!$C$6:$C$2005,C$105,Тренировки!$A$6:$A$2005,"&gt;="&amp;$A115,Тренировки!$A$6:$A$2005,"&lt;"&amp;$A115+7,Тренировки!$H$6:$H$2005,"&lt;&gt;Разминка",Тренировки!$E$6:$E$2005,"&gt;0")=0,NA(),_xlfn.MAXIFS(Тренировки!$E$6:$E$2005,Тренировки!$C$6:$C$2005,C$105,Тренировки!$A$6:$A$2005,"&gt;="&amp;$A115,Тренировки!$A$6:$A$2005,"&lt;"&amp;$A115+7,Тренировки!$H$6:$H$2005,"&lt;&gt;Разминка",Тренировки!$E$6:$E$2005,"&gt;0"))</f>
        <v>#N/A</v>
      </c>
      <c r="D115" s="62" t="e">
        <f aca="false">IF(COUNTIFS(Тренировки!$C$6:$C$2005,D$105,Тренировки!$A$6:$A$2005,"&gt;="&amp;$A115,Тренировки!$A$6:$A$2005,"&lt;"&amp;$A115+7,Тренировки!$H$6:$H$2005,"&lt;&gt;Разминка",Тренировки!$E$6:$E$2005,"&gt;0")=0,NA(),_xlfn.MAXIFS(Тренировки!$E$6:$E$2005,Тренировки!$C$6:$C$2005,D$105,Тренировки!$A$6:$A$2005,"&gt;="&amp;$A115,Тренировки!$A$6:$A$2005,"&lt;"&amp;$A115+7,Тренировки!$H$6:$H$2005,"&lt;&gt;Разминка",Тренировки!$E$6:$E$2005,"&gt;0"))</f>
        <v>#N/A</v>
      </c>
      <c r="E115" s="62" t="e">
        <f aca="false">IF(COUNTIFS(Тренировки!$C$6:$C$2005,E$105,Тренировки!$A$6:$A$2005,"&gt;="&amp;$A115,Тренировки!$A$6:$A$2005,"&lt;"&amp;$A115+7,Тренировки!$H$6:$H$2005,"&lt;&gt;Разминка",Тренировки!$E$6:$E$2005,"&gt;0")=0,NA(),_xlfn.MAXIFS(Тренировки!$E$6:$E$2005,Тренировки!$C$6:$C$2005,E$105,Тренировки!$A$6:$A$2005,"&gt;="&amp;$A115,Тренировки!$A$6:$A$2005,"&lt;"&amp;$A115+7,Тренировки!$H$6:$H$2005,"&lt;&gt;Разминка",Тренировки!$E$6:$E$2005,"&gt;0"))</f>
        <v>#N/A</v>
      </c>
      <c r="F115" s="62" t="e">
        <f aca="false">IF(COUNTIFS(Тренировки!$C$6:$C$2005,F$105,Тренировки!$A$6:$A$2005,"&gt;="&amp;$A115,Тренировки!$A$6:$A$2005,"&lt;"&amp;$A115+7,Тренировки!$H$6:$H$2005,"&lt;&gt;Разминка",Тренировки!$E$6:$E$2005,"&gt;0")=0,NA(),_xlfn.MAXIFS(Тренировки!$E$6:$E$2005,Тренировки!$C$6:$C$2005,F$105,Тренировки!$A$6:$A$2005,"&gt;="&amp;$A115,Тренировки!$A$6:$A$2005,"&lt;"&amp;$A115+7,Тренировки!$H$6:$H$2005,"&lt;&gt;Разминка",Тренировки!$E$6:$E$2005,"&gt;0"))</f>
        <v>#N/A</v>
      </c>
    </row>
    <row r="116" customFormat="false" ht="15" hidden="false" customHeight="true" outlineLevel="0" collapsed="false">
      <c r="A116" s="61" t="n">
        <f aca="false">A115+7</f>
        <v>46364</v>
      </c>
      <c r="B116" s="62" t="e">
        <f aca="false">IF(COUNTIFS(Тренировки!$C$6:$C$2005,B$105,Тренировки!$A$6:$A$2005,"&gt;="&amp;$A116,Тренировки!$A$6:$A$2005,"&lt;"&amp;$A116+7,Тренировки!$H$6:$H$2005,"&lt;&gt;Разминка",Тренировки!$E$6:$E$2005,"&gt;0")=0,NA(),_xlfn.MAXIFS(Тренировки!$E$6:$E$2005,Тренировки!$C$6:$C$2005,B$105,Тренировки!$A$6:$A$2005,"&gt;="&amp;$A116,Тренировки!$A$6:$A$2005,"&lt;"&amp;$A116+7,Тренировки!$H$6:$H$2005,"&lt;&gt;Разминка",Тренировки!$E$6:$E$2005,"&gt;0"))</f>
        <v>#N/A</v>
      </c>
      <c r="C116" s="62" t="e">
        <f aca="false">IF(COUNTIFS(Тренировки!$C$6:$C$2005,C$105,Тренировки!$A$6:$A$2005,"&gt;="&amp;$A116,Тренировки!$A$6:$A$2005,"&lt;"&amp;$A116+7,Тренировки!$H$6:$H$2005,"&lt;&gt;Разминка",Тренировки!$E$6:$E$2005,"&gt;0")=0,NA(),_xlfn.MAXIFS(Тренировки!$E$6:$E$2005,Тренировки!$C$6:$C$2005,C$105,Тренировки!$A$6:$A$2005,"&gt;="&amp;$A116,Тренировки!$A$6:$A$2005,"&lt;"&amp;$A116+7,Тренировки!$H$6:$H$2005,"&lt;&gt;Разминка",Тренировки!$E$6:$E$2005,"&gt;0"))</f>
        <v>#N/A</v>
      </c>
      <c r="D116" s="62" t="e">
        <f aca="false">IF(COUNTIFS(Тренировки!$C$6:$C$2005,D$105,Тренировки!$A$6:$A$2005,"&gt;="&amp;$A116,Тренировки!$A$6:$A$2005,"&lt;"&amp;$A116+7,Тренировки!$H$6:$H$2005,"&lt;&gt;Разминка",Тренировки!$E$6:$E$2005,"&gt;0")=0,NA(),_xlfn.MAXIFS(Тренировки!$E$6:$E$2005,Тренировки!$C$6:$C$2005,D$105,Тренировки!$A$6:$A$2005,"&gt;="&amp;$A116,Тренировки!$A$6:$A$2005,"&lt;"&amp;$A116+7,Тренировки!$H$6:$H$2005,"&lt;&gt;Разминка",Тренировки!$E$6:$E$2005,"&gt;0"))</f>
        <v>#N/A</v>
      </c>
      <c r="E116" s="62" t="e">
        <f aca="false">IF(COUNTIFS(Тренировки!$C$6:$C$2005,E$105,Тренировки!$A$6:$A$2005,"&gt;="&amp;$A116,Тренировки!$A$6:$A$2005,"&lt;"&amp;$A116+7,Тренировки!$H$6:$H$2005,"&lt;&gt;Разминка",Тренировки!$E$6:$E$2005,"&gt;0")=0,NA(),_xlfn.MAXIFS(Тренировки!$E$6:$E$2005,Тренировки!$C$6:$C$2005,E$105,Тренировки!$A$6:$A$2005,"&gt;="&amp;$A116,Тренировки!$A$6:$A$2005,"&lt;"&amp;$A116+7,Тренировки!$H$6:$H$2005,"&lt;&gt;Разминка",Тренировки!$E$6:$E$2005,"&gt;0"))</f>
        <v>#N/A</v>
      </c>
      <c r="F116" s="62" t="e">
        <f aca="false">IF(COUNTIFS(Тренировки!$C$6:$C$2005,F$105,Тренировки!$A$6:$A$2005,"&gt;="&amp;$A116,Тренировки!$A$6:$A$2005,"&lt;"&amp;$A116+7,Тренировки!$H$6:$H$2005,"&lt;&gt;Разминка",Тренировки!$E$6:$E$2005,"&gt;0")=0,NA(),_xlfn.MAXIFS(Тренировки!$E$6:$E$2005,Тренировки!$C$6:$C$2005,F$105,Тренировки!$A$6:$A$2005,"&gt;="&amp;$A116,Тренировки!$A$6:$A$2005,"&lt;"&amp;$A116+7,Тренировки!$H$6:$H$2005,"&lt;&gt;Разминка",Тренировки!$E$6:$E$2005,"&gt;0"))</f>
        <v>#N/A</v>
      </c>
    </row>
    <row r="117" customFormat="false" ht="15" hidden="false" customHeight="true" outlineLevel="0" collapsed="false">
      <c r="A117" s="61" t="n">
        <f aca="false">A116+7</f>
        <v>46371</v>
      </c>
      <c r="B117" s="62" t="e">
        <f aca="false">IF(COUNTIFS(Тренировки!$C$6:$C$2005,B$105,Тренировки!$A$6:$A$2005,"&gt;="&amp;$A117,Тренировки!$A$6:$A$2005,"&lt;"&amp;$A117+7,Тренировки!$H$6:$H$2005,"&lt;&gt;Разминка",Тренировки!$E$6:$E$2005,"&gt;0")=0,NA(),_xlfn.MAXIFS(Тренировки!$E$6:$E$2005,Тренировки!$C$6:$C$2005,B$105,Тренировки!$A$6:$A$2005,"&gt;="&amp;$A117,Тренировки!$A$6:$A$2005,"&lt;"&amp;$A117+7,Тренировки!$H$6:$H$2005,"&lt;&gt;Разминка",Тренировки!$E$6:$E$2005,"&gt;0"))</f>
        <v>#N/A</v>
      </c>
      <c r="C117" s="62" t="e">
        <f aca="false">IF(COUNTIFS(Тренировки!$C$6:$C$2005,C$105,Тренировки!$A$6:$A$2005,"&gt;="&amp;$A117,Тренировки!$A$6:$A$2005,"&lt;"&amp;$A117+7,Тренировки!$H$6:$H$2005,"&lt;&gt;Разминка",Тренировки!$E$6:$E$2005,"&gt;0")=0,NA(),_xlfn.MAXIFS(Тренировки!$E$6:$E$2005,Тренировки!$C$6:$C$2005,C$105,Тренировки!$A$6:$A$2005,"&gt;="&amp;$A117,Тренировки!$A$6:$A$2005,"&lt;"&amp;$A117+7,Тренировки!$H$6:$H$2005,"&lt;&gt;Разминка",Тренировки!$E$6:$E$2005,"&gt;0"))</f>
        <v>#N/A</v>
      </c>
      <c r="D117" s="62" t="e">
        <f aca="false">IF(COUNTIFS(Тренировки!$C$6:$C$2005,D$105,Тренировки!$A$6:$A$2005,"&gt;="&amp;$A117,Тренировки!$A$6:$A$2005,"&lt;"&amp;$A117+7,Тренировки!$H$6:$H$2005,"&lt;&gt;Разминка",Тренировки!$E$6:$E$2005,"&gt;0")=0,NA(),_xlfn.MAXIFS(Тренировки!$E$6:$E$2005,Тренировки!$C$6:$C$2005,D$105,Тренировки!$A$6:$A$2005,"&gt;="&amp;$A117,Тренировки!$A$6:$A$2005,"&lt;"&amp;$A117+7,Тренировки!$H$6:$H$2005,"&lt;&gt;Разминка",Тренировки!$E$6:$E$2005,"&gt;0"))</f>
        <v>#N/A</v>
      </c>
      <c r="E117" s="62" t="e">
        <f aca="false">IF(COUNTIFS(Тренировки!$C$6:$C$2005,E$105,Тренировки!$A$6:$A$2005,"&gt;="&amp;$A117,Тренировки!$A$6:$A$2005,"&lt;"&amp;$A117+7,Тренировки!$H$6:$H$2005,"&lt;&gt;Разминка",Тренировки!$E$6:$E$2005,"&gt;0")=0,NA(),_xlfn.MAXIFS(Тренировки!$E$6:$E$2005,Тренировки!$C$6:$C$2005,E$105,Тренировки!$A$6:$A$2005,"&gt;="&amp;$A117,Тренировки!$A$6:$A$2005,"&lt;"&amp;$A117+7,Тренировки!$H$6:$H$2005,"&lt;&gt;Разминка",Тренировки!$E$6:$E$2005,"&gt;0"))</f>
        <v>#N/A</v>
      </c>
      <c r="F117" s="62" t="e">
        <f aca="false">IF(COUNTIFS(Тренировки!$C$6:$C$2005,F$105,Тренировки!$A$6:$A$2005,"&gt;="&amp;$A117,Тренировки!$A$6:$A$2005,"&lt;"&amp;$A117+7,Тренировки!$H$6:$H$2005,"&lt;&gt;Разминка",Тренировки!$E$6:$E$2005,"&gt;0")=0,NA(),_xlfn.MAXIFS(Тренировки!$E$6:$E$2005,Тренировки!$C$6:$C$2005,F$105,Тренировки!$A$6:$A$2005,"&gt;="&amp;$A117,Тренировки!$A$6:$A$2005,"&lt;"&amp;$A117+7,Тренировки!$H$6:$H$2005,"&lt;&gt;Разминка",Тренировки!$E$6:$E$2005,"&gt;0"))</f>
        <v>#N/A</v>
      </c>
    </row>
    <row r="118" customFormat="false" ht="15" hidden="false" customHeight="true" outlineLevel="0" collapsed="false">
      <c r="A118" s="61" t="n">
        <f aca="false">A117+7</f>
        <v>46378</v>
      </c>
      <c r="B118" s="62" t="e">
        <f aca="false">IF(COUNTIFS(Тренировки!$C$6:$C$2005,B$105,Тренировки!$A$6:$A$2005,"&gt;="&amp;$A118,Тренировки!$A$6:$A$2005,"&lt;"&amp;$A118+7,Тренировки!$H$6:$H$2005,"&lt;&gt;Разминка",Тренировки!$E$6:$E$2005,"&gt;0")=0,NA(),_xlfn.MAXIFS(Тренировки!$E$6:$E$2005,Тренировки!$C$6:$C$2005,B$105,Тренировки!$A$6:$A$2005,"&gt;="&amp;$A118,Тренировки!$A$6:$A$2005,"&lt;"&amp;$A118+7,Тренировки!$H$6:$H$2005,"&lt;&gt;Разминка",Тренировки!$E$6:$E$2005,"&gt;0"))</f>
        <v>#N/A</v>
      </c>
      <c r="C118" s="62" t="e">
        <f aca="false">IF(COUNTIFS(Тренировки!$C$6:$C$2005,C$105,Тренировки!$A$6:$A$2005,"&gt;="&amp;$A118,Тренировки!$A$6:$A$2005,"&lt;"&amp;$A118+7,Тренировки!$H$6:$H$2005,"&lt;&gt;Разминка",Тренировки!$E$6:$E$2005,"&gt;0")=0,NA(),_xlfn.MAXIFS(Тренировки!$E$6:$E$2005,Тренировки!$C$6:$C$2005,C$105,Тренировки!$A$6:$A$2005,"&gt;="&amp;$A118,Тренировки!$A$6:$A$2005,"&lt;"&amp;$A118+7,Тренировки!$H$6:$H$2005,"&lt;&gt;Разминка",Тренировки!$E$6:$E$2005,"&gt;0"))</f>
        <v>#N/A</v>
      </c>
      <c r="D118" s="62" t="e">
        <f aca="false">IF(COUNTIFS(Тренировки!$C$6:$C$2005,D$105,Тренировки!$A$6:$A$2005,"&gt;="&amp;$A118,Тренировки!$A$6:$A$2005,"&lt;"&amp;$A118+7,Тренировки!$H$6:$H$2005,"&lt;&gt;Разминка",Тренировки!$E$6:$E$2005,"&gt;0")=0,NA(),_xlfn.MAXIFS(Тренировки!$E$6:$E$2005,Тренировки!$C$6:$C$2005,D$105,Тренировки!$A$6:$A$2005,"&gt;="&amp;$A118,Тренировки!$A$6:$A$2005,"&lt;"&amp;$A118+7,Тренировки!$H$6:$H$2005,"&lt;&gt;Разминка",Тренировки!$E$6:$E$2005,"&gt;0"))</f>
        <v>#N/A</v>
      </c>
      <c r="E118" s="62" t="e">
        <f aca="false">IF(COUNTIFS(Тренировки!$C$6:$C$2005,E$105,Тренировки!$A$6:$A$2005,"&gt;="&amp;$A118,Тренировки!$A$6:$A$2005,"&lt;"&amp;$A118+7,Тренировки!$H$6:$H$2005,"&lt;&gt;Разминка",Тренировки!$E$6:$E$2005,"&gt;0")=0,NA(),_xlfn.MAXIFS(Тренировки!$E$6:$E$2005,Тренировки!$C$6:$C$2005,E$105,Тренировки!$A$6:$A$2005,"&gt;="&amp;$A118,Тренировки!$A$6:$A$2005,"&lt;"&amp;$A118+7,Тренировки!$H$6:$H$2005,"&lt;&gt;Разминка",Тренировки!$E$6:$E$2005,"&gt;0"))</f>
        <v>#N/A</v>
      </c>
      <c r="F118" s="62" t="e">
        <f aca="false">IF(COUNTIFS(Тренировки!$C$6:$C$2005,F$105,Тренировки!$A$6:$A$2005,"&gt;="&amp;$A118,Тренировки!$A$6:$A$2005,"&lt;"&amp;$A118+7,Тренировки!$H$6:$H$2005,"&lt;&gt;Разминка",Тренировки!$E$6:$E$2005,"&gt;0")=0,NA(),_xlfn.MAXIFS(Тренировки!$E$6:$E$2005,Тренировки!$C$6:$C$2005,F$105,Тренировки!$A$6:$A$2005,"&gt;="&amp;$A118,Тренировки!$A$6:$A$2005,"&lt;"&amp;$A118+7,Тренировки!$H$6:$H$2005,"&lt;&gt;Разминка",Тренировки!$E$6:$E$2005,"&gt;0"))</f>
        <v>#N/A</v>
      </c>
    </row>
    <row r="119" customFormat="false" ht="15" hidden="false" customHeight="true" outlineLevel="0" collapsed="false">
      <c r="A119" s="61" t="n">
        <f aca="false">A118+7</f>
        <v>46385</v>
      </c>
      <c r="B119" s="62" t="e">
        <f aca="false">IF(COUNTIFS(Тренировки!$C$6:$C$2005,B$105,Тренировки!$A$6:$A$2005,"&gt;="&amp;$A119,Тренировки!$A$6:$A$2005,"&lt;"&amp;$A119+7,Тренировки!$H$6:$H$2005,"&lt;&gt;Разминка",Тренировки!$E$6:$E$2005,"&gt;0")=0,NA(),_xlfn.MAXIFS(Тренировки!$E$6:$E$2005,Тренировки!$C$6:$C$2005,B$105,Тренировки!$A$6:$A$2005,"&gt;="&amp;$A119,Тренировки!$A$6:$A$2005,"&lt;"&amp;$A119+7,Тренировки!$H$6:$H$2005,"&lt;&gt;Разминка",Тренировки!$E$6:$E$2005,"&gt;0"))</f>
        <v>#N/A</v>
      </c>
      <c r="C119" s="62" t="e">
        <f aca="false">IF(COUNTIFS(Тренировки!$C$6:$C$2005,C$105,Тренировки!$A$6:$A$2005,"&gt;="&amp;$A119,Тренировки!$A$6:$A$2005,"&lt;"&amp;$A119+7,Тренировки!$H$6:$H$2005,"&lt;&gt;Разминка",Тренировки!$E$6:$E$2005,"&gt;0")=0,NA(),_xlfn.MAXIFS(Тренировки!$E$6:$E$2005,Тренировки!$C$6:$C$2005,C$105,Тренировки!$A$6:$A$2005,"&gt;="&amp;$A119,Тренировки!$A$6:$A$2005,"&lt;"&amp;$A119+7,Тренировки!$H$6:$H$2005,"&lt;&gt;Разминка",Тренировки!$E$6:$E$2005,"&gt;0"))</f>
        <v>#N/A</v>
      </c>
      <c r="D119" s="62" t="e">
        <f aca="false">IF(COUNTIFS(Тренировки!$C$6:$C$2005,D$105,Тренировки!$A$6:$A$2005,"&gt;="&amp;$A119,Тренировки!$A$6:$A$2005,"&lt;"&amp;$A119+7,Тренировки!$H$6:$H$2005,"&lt;&gt;Разминка",Тренировки!$E$6:$E$2005,"&gt;0")=0,NA(),_xlfn.MAXIFS(Тренировки!$E$6:$E$2005,Тренировки!$C$6:$C$2005,D$105,Тренировки!$A$6:$A$2005,"&gt;="&amp;$A119,Тренировки!$A$6:$A$2005,"&lt;"&amp;$A119+7,Тренировки!$H$6:$H$2005,"&lt;&gt;Разминка",Тренировки!$E$6:$E$2005,"&gt;0"))</f>
        <v>#N/A</v>
      </c>
      <c r="E119" s="62" t="e">
        <f aca="false">IF(COUNTIFS(Тренировки!$C$6:$C$2005,E$105,Тренировки!$A$6:$A$2005,"&gt;="&amp;$A119,Тренировки!$A$6:$A$2005,"&lt;"&amp;$A119+7,Тренировки!$H$6:$H$2005,"&lt;&gt;Разминка",Тренировки!$E$6:$E$2005,"&gt;0")=0,NA(),_xlfn.MAXIFS(Тренировки!$E$6:$E$2005,Тренировки!$C$6:$C$2005,E$105,Тренировки!$A$6:$A$2005,"&gt;="&amp;$A119,Тренировки!$A$6:$A$2005,"&lt;"&amp;$A119+7,Тренировки!$H$6:$H$2005,"&lt;&gt;Разминка",Тренировки!$E$6:$E$2005,"&gt;0"))</f>
        <v>#N/A</v>
      </c>
      <c r="F119" s="62" t="e">
        <f aca="false">IF(COUNTIFS(Тренировки!$C$6:$C$2005,F$105,Тренировки!$A$6:$A$2005,"&gt;="&amp;$A119,Тренировки!$A$6:$A$2005,"&lt;"&amp;$A119+7,Тренировки!$H$6:$H$2005,"&lt;&gt;Разминка",Тренировки!$E$6:$E$2005,"&gt;0")=0,NA(),_xlfn.MAXIFS(Тренировки!$E$6:$E$2005,Тренировки!$C$6:$C$2005,F$105,Тренировки!$A$6:$A$2005,"&gt;="&amp;$A119,Тренировки!$A$6:$A$2005,"&lt;"&amp;$A119+7,Тренировки!$H$6:$H$2005,"&lt;&gt;Разминка",Тренировки!$E$6:$E$2005,"&gt;0"))</f>
        <v>#N/A</v>
      </c>
    </row>
    <row r="120" customFormat="false" ht="15" hidden="false" customHeight="true" outlineLevel="0" collapsed="false">
      <c r="A120" s="61" t="n">
        <f aca="false">A119+7</f>
        <v>46392</v>
      </c>
      <c r="B120" s="62" t="e">
        <f aca="false">IF(COUNTIFS(Тренировки!$C$6:$C$2005,B$105,Тренировки!$A$6:$A$2005,"&gt;="&amp;$A120,Тренировки!$A$6:$A$2005,"&lt;"&amp;$A120+7,Тренировки!$H$6:$H$2005,"&lt;&gt;Разминка",Тренировки!$E$6:$E$2005,"&gt;0")=0,NA(),_xlfn.MAXIFS(Тренировки!$E$6:$E$2005,Тренировки!$C$6:$C$2005,B$105,Тренировки!$A$6:$A$2005,"&gt;="&amp;$A120,Тренировки!$A$6:$A$2005,"&lt;"&amp;$A120+7,Тренировки!$H$6:$H$2005,"&lt;&gt;Разминка",Тренировки!$E$6:$E$2005,"&gt;0"))</f>
        <v>#N/A</v>
      </c>
      <c r="C120" s="62" t="e">
        <f aca="false">IF(COUNTIFS(Тренировки!$C$6:$C$2005,C$105,Тренировки!$A$6:$A$2005,"&gt;="&amp;$A120,Тренировки!$A$6:$A$2005,"&lt;"&amp;$A120+7,Тренировки!$H$6:$H$2005,"&lt;&gt;Разминка",Тренировки!$E$6:$E$2005,"&gt;0")=0,NA(),_xlfn.MAXIFS(Тренировки!$E$6:$E$2005,Тренировки!$C$6:$C$2005,C$105,Тренировки!$A$6:$A$2005,"&gt;="&amp;$A120,Тренировки!$A$6:$A$2005,"&lt;"&amp;$A120+7,Тренировки!$H$6:$H$2005,"&lt;&gt;Разминка",Тренировки!$E$6:$E$2005,"&gt;0"))</f>
        <v>#N/A</v>
      </c>
      <c r="D120" s="62" t="e">
        <f aca="false">IF(COUNTIFS(Тренировки!$C$6:$C$2005,D$105,Тренировки!$A$6:$A$2005,"&gt;="&amp;$A120,Тренировки!$A$6:$A$2005,"&lt;"&amp;$A120+7,Тренировки!$H$6:$H$2005,"&lt;&gt;Разминка",Тренировки!$E$6:$E$2005,"&gt;0")=0,NA(),_xlfn.MAXIFS(Тренировки!$E$6:$E$2005,Тренировки!$C$6:$C$2005,D$105,Тренировки!$A$6:$A$2005,"&gt;="&amp;$A120,Тренировки!$A$6:$A$2005,"&lt;"&amp;$A120+7,Тренировки!$H$6:$H$2005,"&lt;&gt;Разминка",Тренировки!$E$6:$E$2005,"&gt;0"))</f>
        <v>#N/A</v>
      </c>
      <c r="E120" s="62" t="e">
        <f aca="false">IF(COUNTIFS(Тренировки!$C$6:$C$2005,E$105,Тренировки!$A$6:$A$2005,"&gt;="&amp;$A120,Тренировки!$A$6:$A$2005,"&lt;"&amp;$A120+7,Тренировки!$H$6:$H$2005,"&lt;&gt;Разминка",Тренировки!$E$6:$E$2005,"&gt;0")=0,NA(),_xlfn.MAXIFS(Тренировки!$E$6:$E$2005,Тренировки!$C$6:$C$2005,E$105,Тренировки!$A$6:$A$2005,"&gt;="&amp;$A120,Тренировки!$A$6:$A$2005,"&lt;"&amp;$A120+7,Тренировки!$H$6:$H$2005,"&lt;&gt;Разминка",Тренировки!$E$6:$E$2005,"&gt;0"))</f>
        <v>#N/A</v>
      </c>
      <c r="F120" s="62" t="e">
        <f aca="false">IF(COUNTIFS(Тренировки!$C$6:$C$2005,F$105,Тренировки!$A$6:$A$2005,"&gt;="&amp;$A120,Тренировки!$A$6:$A$2005,"&lt;"&amp;$A120+7,Тренировки!$H$6:$H$2005,"&lt;&gt;Разминка",Тренировки!$E$6:$E$2005,"&gt;0")=0,NA(),_xlfn.MAXIFS(Тренировки!$E$6:$E$2005,Тренировки!$C$6:$C$2005,F$105,Тренировки!$A$6:$A$2005,"&gt;="&amp;$A120,Тренировки!$A$6:$A$2005,"&lt;"&amp;$A120+7,Тренировки!$H$6:$H$2005,"&lt;&gt;Разминка",Тренировки!$E$6:$E$2005,"&gt;0"))</f>
        <v>#N/A</v>
      </c>
    </row>
    <row r="121" customFormat="false" ht="15" hidden="false" customHeight="true" outlineLevel="0" collapsed="false">
      <c r="A121" s="61" t="n">
        <f aca="false">A120+7</f>
        <v>46399</v>
      </c>
      <c r="B121" s="62" t="e">
        <f aca="false">IF(COUNTIFS(Тренировки!$C$6:$C$2005,B$105,Тренировки!$A$6:$A$2005,"&gt;="&amp;$A121,Тренировки!$A$6:$A$2005,"&lt;"&amp;$A121+7,Тренировки!$H$6:$H$2005,"&lt;&gt;Разминка",Тренировки!$E$6:$E$2005,"&gt;0")=0,NA(),_xlfn.MAXIFS(Тренировки!$E$6:$E$2005,Тренировки!$C$6:$C$2005,B$105,Тренировки!$A$6:$A$2005,"&gt;="&amp;$A121,Тренировки!$A$6:$A$2005,"&lt;"&amp;$A121+7,Тренировки!$H$6:$H$2005,"&lt;&gt;Разминка",Тренировки!$E$6:$E$2005,"&gt;0"))</f>
        <v>#N/A</v>
      </c>
      <c r="C121" s="62" t="e">
        <f aca="false">IF(COUNTIFS(Тренировки!$C$6:$C$2005,C$105,Тренировки!$A$6:$A$2005,"&gt;="&amp;$A121,Тренировки!$A$6:$A$2005,"&lt;"&amp;$A121+7,Тренировки!$H$6:$H$2005,"&lt;&gt;Разминка",Тренировки!$E$6:$E$2005,"&gt;0")=0,NA(),_xlfn.MAXIFS(Тренировки!$E$6:$E$2005,Тренировки!$C$6:$C$2005,C$105,Тренировки!$A$6:$A$2005,"&gt;="&amp;$A121,Тренировки!$A$6:$A$2005,"&lt;"&amp;$A121+7,Тренировки!$H$6:$H$2005,"&lt;&gt;Разминка",Тренировки!$E$6:$E$2005,"&gt;0"))</f>
        <v>#N/A</v>
      </c>
      <c r="D121" s="62" t="e">
        <f aca="false">IF(COUNTIFS(Тренировки!$C$6:$C$2005,D$105,Тренировки!$A$6:$A$2005,"&gt;="&amp;$A121,Тренировки!$A$6:$A$2005,"&lt;"&amp;$A121+7,Тренировки!$H$6:$H$2005,"&lt;&gt;Разминка",Тренировки!$E$6:$E$2005,"&gt;0")=0,NA(),_xlfn.MAXIFS(Тренировки!$E$6:$E$2005,Тренировки!$C$6:$C$2005,D$105,Тренировки!$A$6:$A$2005,"&gt;="&amp;$A121,Тренировки!$A$6:$A$2005,"&lt;"&amp;$A121+7,Тренировки!$H$6:$H$2005,"&lt;&gt;Разминка",Тренировки!$E$6:$E$2005,"&gt;0"))</f>
        <v>#N/A</v>
      </c>
      <c r="E121" s="62" t="e">
        <f aca="false">IF(COUNTIFS(Тренировки!$C$6:$C$2005,E$105,Тренировки!$A$6:$A$2005,"&gt;="&amp;$A121,Тренировки!$A$6:$A$2005,"&lt;"&amp;$A121+7,Тренировки!$H$6:$H$2005,"&lt;&gt;Разминка",Тренировки!$E$6:$E$2005,"&gt;0")=0,NA(),_xlfn.MAXIFS(Тренировки!$E$6:$E$2005,Тренировки!$C$6:$C$2005,E$105,Тренировки!$A$6:$A$2005,"&gt;="&amp;$A121,Тренировки!$A$6:$A$2005,"&lt;"&amp;$A121+7,Тренировки!$H$6:$H$2005,"&lt;&gt;Разминка",Тренировки!$E$6:$E$2005,"&gt;0"))</f>
        <v>#N/A</v>
      </c>
      <c r="F121" s="62" t="e">
        <f aca="false">IF(COUNTIFS(Тренировки!$C$6:$C$2005,F$105,Тренировки!$A$6:$A$2005,"&gt;="&amp;$A121,Тренировки!$A$6:$A$2005,"&lt;"&amp;$A121+7,Тренировки!$H$6:$H$2005,"&lt;&gt;Разминка",Тренировки!$E$6:$E$2005,"&gt;0")=0,NA(),_xlfn.MAXIFS(Тренировки!$E$6:$E$2005,Тренировки!$C$6:$C$2005,F$105,Тренировки!$A$6:$A$2005,"&gt;="&amp;$A121,Тренировки!$A$6:$A$2005,"&lt;"&amp;$A121+7,Тренировки!$H$6:$H$2005,"&lt;&gt;Разминка",Тренировки!$E$6:$E$2005,"&gt;0"))</f>
        <v>#N/A</v>
      </c>
    </row>
    <row r="122" customFormat="false" ht="15" hidden="false" customHeight="true" outlineLevel="0" collapsed="false">
      <c r="A122" s="61" t="n">
        <f aca="false">A121+7</f>
        <v>46406</v>
      </c>
      <c r="B122" s="62" t="e">
        <f aca="false">IF(COUNTIFS(Тренировки!$C$6:$C$2005,B$105,Тренировки!$A$6:$A$2005,"&gt;="&amp;$A122,Тренировки!$A$6:$A$2005,"&lt;"&amp;$A122+7,Тренировки!$H$6:$H$2005,"&lt;&gt;Разминка",Тренировки!$E$6:$E$2005,"&gt;0")=0,NA(),_xlfn.MAXIFS(Тренировки!$E$6:$E$2005,Тренировки!$C$6:$C$2005,B$105,Тренировки!$A$6:$A$2005,"&gt;="&amp;$A122,Тренировки!$A$6:$A$2005,"&lt;"&amp;$A122+7,Тренировки!$H$6:$H$2005,"&lt;&gt;Разминка",Тренировки!$E$6:$E$2005,"&gt;0"))</f>
        <v>#N/A</v>
      </c>
      <c r="C122" s="62" t="e">
        <f aca="false">IF(COUNTIFS(Тренировки!$C$6:$C$2005,C$105,Тренировки!$A$6:$A$2005,"&gt;="&amp;$A122,Тренировки!$A$6:$A$2005,"&lt;"&amp;$A122+7,Тренировки!$H$6:$H$2005,"&lt;&gt;Разминка",Тренировки!$E$6:$E$2005,"&gt;0")=0,NA(),_xlfn.MAXIFS(Тренировки!$E$6:$E$2005,Тренировки!$C$6:$C$2005,C$105,Тренировки!$A$6:$A$2005,"&gt;="&amp;$A122,Тренировки!$A$6:$A$2005,"&lt;"&amp;$A122+7,Тренировки!$H$6:$H$2005,"&lt;&gt;Разминка",Тренировки!$E$6:$E$2005,"&gt;0"))</f>
        <v>#N/A</v>
      </c>
      <c r="D122" s="62" t="e">
        <f aca="false">IF(COUNTIFS(Тренировки!$C$6:$C$2005,D$105,Тренировки!$A$6:$A$2005,"&gt;="&amp;$A122,Тренировки!$A$6:$A$2005,"&lt;"&amp;$A122+7,Тренировки!$H$6:$H$2005,"&lt;&gt;Разминка",Тренировки!$E$6:$E$2005,"&gt;0")=0,NA(),_xlfn.MAXIFS(Тренировки!$E$6:$E$2005,Тренировки!$C$6:$C$2005,D$105,Тренировки!$A$6:$A$2005,"&gt;="&amp;$A122,Тренировки!$A$6:$A$2005,"&lt;"&amp;$A122+7,Тренировки!$H$6:$H$2005,"&lt;&gt;Разминка",Тренировки!$E$6:$E$2005,"&gt;0"))</f>
        <v>#N/A</v>
      </c>
      <c r="E122" s="62" t="e">
        <f aca="false">IF(COUNTIFS(Тренировки!$C$6:$C$2005,E$105,Тренировки!$A$6:$A$2005,"&gt;="&amp;$A122,Тренировки!$A$6:$A$2005,"&lt;"&amp;$A122+7,Тренировки!$H$6:$H$2005,"&lt;&gt;Разминка",Тренировки!$E$6:$E$2005,"&gt;0")=0,NA(),_xlfn.MAXIFS(Тренировки!$E$6:$E$2005,Тренировки!$C$6:$C$2005,E$105,Тренировки!$A$6:$A$2005,"&gt;="&amp;$A122,Тренировки!$A$6:$A$2005,"&lt;"&amp;$A122+7,Тренировки!$H$6:$H$2005,"&lt;&gt;Разминка",Тренировки!$E$6:$E$2005,"&gt;0"))</f>
        <v>#N/A</v>
      </c>
      <c r="F122" s="62" t="e">
        <f aca="false">IF(COUNTIFS(Тренировки!$C$6:$C$2005,F$105,Тренировки!$A$6:$A$2005,"&gt;="&amp;$A122,Тренировки!$A$6:$A$2005,"&lt;"&amp;$A122+7,Тренировки!$H$6:$H$2005,"&lt;&gt;Разминка",Тренировки!$E$6:$E$2005,"&gt;0")=0,NA(),_xlfn.MAXIFS(Тренировки!$E$6:$E$2005,Тренировки!$C$6:$C$2005,F$105,Тренировки!$A$6:$A$2005,"&gt;="&amp;$A122,Тренировки!$A$6:$A$2005,"&lt;"&amp;$A122+7,Тренировки!$H$6:$H$2005,"&lt;&gt;Разминка",Тренировки!$E$6:$E$2005,"&gt;0"))</f>
        <v>#N/A</v>
      </c>
    </row>
    <row r="123" customFormat="false" ht="15" hidden="false" customHeight="true" outlineLevel="0" collapsed="false">
      <c r="A123" s="61" t="n">
        <f aca="false">A122+7</f>
        <v>46413</v>
      </c>
      <c r="B123" s="62" t="e">
        <f aca="false">IF(COUNTIFS(Тренировки!$C$6:$C$2005,B$105,Тренировки!$A$6:$A$2005,"&gt;="&amp;$A123,Тренировки!$A$6:$A$2005,"&lt;"&amp;$A123+7,Тренировки!$H$6:$H$2005,"&lt;&gt;Разминка",Тренировки!$E$6:$E$2005,"&gt;0")=0,NA(),_xlfn.MAXIFS(Тренировки!$E$6:$E$2005,Тренировки!$C$6:$C$2005,B$105,Тренировки!$A$6:$A$2005,"&gt;="&amp;$A123,Тренировки!$A$6:$A$2005,"&lt;"&amp;$A123+7,Тренировки!$H$6:$H$2005,"&lt;&gt;Разминка",Тренировки!$E$6:$E$2005,"&gt;0"))</f>
        <v>#N/A</v>
      </c>
      <c r="C123" s="62" t="e">
        <f aca="false">IF(COUNTIFS(Тренировки!$C$6:$C$2005,C$105,Тренировки!$A$6:$A$2005,"&gt;="&amp;$A123,Тренировки!$A$6:$A$2005,"&lt;"&amp;$A123+7,Тренировки!$H$6:$H$2005,"&lt;&gt;Разминка",Тренировки!$E$6:$E$2005,"&gt;0")=0,NA(),_xlfn.MAXIFS(Тренировки!$E$6:$E$2005,Тренировки!$C$6:$C$2005,C$105,Тренировки!$A$6:$A$2005,"&gt;="&amp;$A123,Тренировки!$A$6:$A$2005,"&lt;"&amp;$A123+7,Тренировки!$H$6:$H$2005,"&lt;&gt;Разминка",Тренировки!$E$6:$E$2005,"&gt;0"))</f>
        <v>#N/A</v>
      </c>
      <c r="D123" s="62" t="e">
        <f aca="false">IF(COUNTIFS(Тренировки!$C$6:$C$2005,D$105,Тренировки!$A$6:$A$2005,"&gt;="&amp;$A123,Тренировки!$A$6:$A$2005,"&lt;"&amp;$A123+7,Тренировки!$H$6:$H$2005,"&lt;&gt;Разминка",Тренировки!$E$6:$E$2005,"&gt;0")=0,NA(),_xlfn.MAXIFS(Тренировки!$E$6:$E$2005,Тренировки!$C$6:$C$2005,D$105,Тренировки!$A$6:$A$2005,"&gt;="&amp;$A123,Тренировки!$A$6:$A$2005,"&lt;"&amp;$A123+7,Тренировки!$H$6:$H$2005,"&lt;&gt;Разминка",Тренировки!$E$6:$E$2005,"&gt;0"))</f>
        <v>#N/A</v>
      </c>
      <c r="E123" s="62" t="e">
        <f aca="false">IF(COUNTIFS(Тренировки!$C$6:$C$2005,E$105,Тренировки!$A$6:$A$2005,"&gt;="&amp;$A123,Тренировки!$A$6:$A$2005,"&lt;"&amp;$A123+7,Тренировки!$H$6:$H$2005,"&lt;&gt;Разминка",Тренировки!$E$6:$E$2005,"&gt;0")=0,NA(),_xlfn.MAXIFS(Тренировки!$E$6:$E$2005,Тренировки!$C$6:$C$2005,E$105,Тренировки!$A$6:$A$2005,"&gt;="&amp;$A123,Тренировки!$A$6:$A$2005,"&lt;"&amp;$A123+7,Тренировки!$H$6:$H$2005,"&lt;&gt;Разминка",Тренировки!$E$6:$E$2005,"&gt;0"))</f>
        <v>#N/A</v>
      </c>
      <c r="F123" s="62" t="e">
        <f aca="false">IF(COUNTIFS(Тренировки!$C$6:$C$2005,F$105,Тренировки!$A$6:$A$2005,"&gt;="&amp;$A123,Тренировки!$A$6:$A$2005,"&lt;"&amp;$A123+7,Тренировки!$H$6:$H$2005,"&lt;&gt;Разминка",Тренировки!$E$6:$E$2005,"&gt;0")=0,NA(),_xlfn.MAXIFS(Тренировки!$E$6:$E$2005,Тренировки!$C$6:$C$2005,F$105,Тренировки!$A$6:$A$2005,"&gt;="&amp;$A123,Тренировки!$A$6:$A$2005,"&lt;"&amp;$A123+7,Тренировки!$H$6:$H$2005,"&lt;&gt;Разминка",Тренировки!$E$6:$E$2005,"&gt;0"))</f>
        <v>#N/A</v>
      </c>
    </row>
    <row r="124" customFormat="false" ht="15" hidden="false" customHeight="true" outlineLevel="0" collapsed="false">
      <c r="A124" s="61" t="n">
        <f aca="false">A123+7</f>
        <v>46420</v>
      </c>
      <c r="B124" s="62" t="e">
        <f aca="false">IF(COUNTIFS(Тренировки!$C$6:$C$2005,B$105,Тренировки!$A$6:$A$2005,"&gt;="&amp;$A124,Тренировки!$A$6:$A$2005,"&lt;"&amp;$A124+7,Тренировки!$H$6:$H$2005,"&lt;&gt;Разминка",Тренировки!$E$6:$E$2005,"&gt;0")=0,NA(),_xlfn.MAXIFS(Тренировки!$E$6:$E$2005,Тренировки!$C$6:$C$2005,B$105,Тренировки!$A$6:$A$2005,"&gt;="&amp;$A124,Тренировки!$A$6:$A$2005,"&lt;"&amp;$A124+7,Тренировки!$H$6:$H$2005,"&lt;&gt;Разминка",Тренировки!$E$6:$E$2005,"&gt;0"))</f>
        <v>#N/A</v>
      </c>
      <c r="C124" s="62" t="e">
        <f aca="false">IF(COUNTIFS(Тренировки!$C$6:$C$2005,C$105,Тренировки!$A$6:$A$2005,"&gt;="&amp;$A124,Тренировки!$A$6:$A$2005,"&lt;"&amp;$A124+7,Тренировки!$H$6:$H$2005,"&lt;&gt;Разминка",Тренировки!$E$6:$E$2005,"&gt;0")=0,NA(),_xlfn.MAXIFS(Тренировки!$E$6:$E$2005,Тренировки!$C$6:$C$2005,C$105,Тренировки!$A$6:$A$2005,"&gt;="&amp;$A124,Тренировки!$A$6:$A$2005,"&lt;"&amp;$A124+7,Тренировки!$H$6:$H$2005,"&lt;&gt;Разминка",Тренировки!$E$6:$E$2005,"&gt;0"))</f>
        <v>#N/A</v>
      </c>
      <c r="D124" s="62" t="e">
        <f aca="false">IF(COUNTIFS(Тренировки!$C$6:$C$2005,D$105,Тренировки!$A$6:$A$2005,"&gt;="&amp;$A124,Тренировки!$A$6:$A$2005,"&lt;"&amp;$A124+7,Тренировки!$H$6:$H$2005,"&lt;&gt;Разминка",Тренировки!$E$6:$E$2005,"&gt;0")=0,NA(),_xlfn.MAXIFS(Тренировки!$E$6:$E$2005,Тренировки!$C$6:$C$2005,D$105,Тренировки!$A$6:$A$2005,"&gt;="&amp;$A124,Тренировки!$A$6:$A$2005,"&lt;"&amp;$A124+7,Тренировки!$H$6:$H$2005,"&lt;&gt;Разминка",Тренировки!$E$6:$E$2005,"&gt;0"))</f>
        <v>#N/A</v>
      </c>
      <c r="E124" s="62" t="e">
        <f aca="false">IF(COUNTIFS(Тренировки!$C$6:$C$2005,E$105,Тренировки!$A$6:$A$2005,"&gt;="&amp;$A124,Тренировки!$A$6:$A$2005,"&lt;"&amp;$A124+7,Тренировки!$H$6:$H$2005,"&lt;&gt;Разминка",Тренировки!$E$6:$E$2005,"&gt;0")=0,NA(),_xlfn.MAXIFS(Тренировки!$E$6:$E$2005,Тренировки!$C$6:$C$2005,E$105,Тренировки!$A$6:$A$2005,"&gt;="&amp;$A124,Тренировки!$A$6:$A$2005,"&lt;"&amp;$A124+7,Тренировки!$H$6:$H$2005,"&lt;&gt;Разминка",Тренировки!$E$6:$E$2005,"&gt;0"))</f>
        <v>#N/A</v>
      </c>
      <c r="F124" s="62" t="e">
        <f aca="false">IF(COUNTIFS(Тренировки!$C$6:$C$2005,F$105,Тренировки!$A$6:$A$2005,"&gt;="&amp;$A124,Тренировки!$A$6:$A$2005,"&lt;"&amp;$A124+7,Тренировки!$H$6:$H$2005,"&lt;&gt;Разминка",Тренировки!$E$6:$E$2005,"&gt;0")=0,NA(),_xlfn.MAXIFS(Тренировки!$E$6:$E$2005,Тренировки!$C$6:$C$2005,F$105,Тренировки!$A$6:$A$2005,"&gt;="&amp;$A124,Тренировки!$A$6:$A$2005,"&lt;"&amp;$A124+7,Тренировки!$H$6:$H$2005,"&lt;&gt;Разминка",Тренировки!$E$6:$E$2005,"&gt;0"))</f>
        <v>#N/A</v>
      </c>
    </row>
    <row r="125" customFormat="false" ht="15" hidden="false" customHeight="true" outlineLevel="0" collapsed="false">
      <c r="A125" s="61" t="n">
        <f aca="false">A124+7</f>
        <v>46427</v>
      </c>
      <c r="B125" s="62" t="e">
        <f aca="false">IF(COUNTIFS(Тренировки!$C$6:$C$2005,B$105,Тренировки!$A$6:$A$2005,"&gt;="&amp;$A125,Тренировки!$A$6:$A$2005,"&lt;"&amp;$A125+7,Тренировки!$H$6:$H$2005,"&lt;&gt;Разминка",Тренировки!$E$6:$E$2005,"&gt;0")=0,NA(),_xlfn.MAXIFS(Тренировки!$E$6:$E$2005,Тренировки!$C$6:$C$2005,B$105,Тренировки!$A$6:$A$2005,"&gt;="&amp;$A125,Тренировки!$A$6:$A$2005,"&lt;"&amp;$A125+7,Тренировки!$H$6:$H$2005,"&lt;&gt;Разминка",Тренировки!$E$6:$E$2005,"&gt;0"))</f>
        <v>#N/A</v>
      </c>
      <c r="C125" s="62" t="e">
        <f aca="false">IF(COUNTIFS(Тренировки!$C$6:$C$2005,C$105,Тренировки!$A$6:$A$2005,"&gt;="&amp;$A125,Тренировки!$A$6:$A$2005,"&lt;"&amp;$A125+7,Тренировки!$H$6:$H$2005,"&lt;&gt;Разминка",Тренировки!$E$6:$E$2005,"&gt;0")=0,NA(),_xlfn.MAXIFS(Тренировки!$E$6:$E$2005,Тренировки!$C$6:$C$2005,C$105,Тренировки!$A$6:$A$2005,"&gt;="&amp;$A125,Тренировки!$A$6:$A$2005,"&lt;"&amp;$A125+7,Тренировки!$H$6:$H$2005,"&lt;&gt;Разминка",Тренировки!$E$6:$E$2005,"&gt;0"))</f>
        <v>#N/A</v>
      </c>
      <c r="D125" s="62" t="e">
        <f aca="false">IF(COUNTIFS(Тренировки!$C$6:$C$2005,D$105,Тренировки!$A$6:$A$2005,"&gt;="&amp;$A125,Тренировки!$A$6:$A$2005,"&lt;"&amp;$A125+7,Тренировки!$H$6:$H$2005,"&lt;&gt;Разминка",Тренировки!$E$6:$E$2005,"&gt;0")=0,NA(),_xlfn.MAXIFS(Тренировки!$E$6:$E$2005,Тренировки!$C$6:$C$2005,D$105,Тренировки!$A$6:$A$2005,"&gt;="&amp;$A125,Тренировки!$A$6:$A$2005,"&lt;"&amp;$A125+7,Тренировки!$H$6:$H$2005,"&lt;&gt;Разминка",Тренировки!$E$6:$E$2005,"&gt;0"))</f>
        <v>#N/A</v>
      </c>
      <c r="E125" s="62" t="e">
        <f aca="false">IF(COUNTIFS(Тренировки!$C$6:$C$2005,E$105,Тренировки!$A$6:$A$2005,"&gt;="&amp;$A125,Тренировки!$A$6:$A$2005,"&lt;"&amp;$A125+7,Тренировки!$H$6:$H$2005,"&lt;&gt;Разминка",Тренировки!$E$6:$E$2005,"&gt;0")=0,NA(),_xlfn.MAXIFS(Тренировки!$E$6:$E$2005,Тренировки!$C$6:$C$2005,E$105,Тренировки!$A$6:$A$2005,"&gt;="&amp;$A125,Тренировки!$A$6:$A$2005,"&lt;"&amp;$A125+7,Тренировки!$H$6:$H$2005,"&lt;&gt;Разминка",Тренировки!$E$6:$E$2005,"&gt;0"))</f>
        <v>#N/A</v>
      </c>
      <c r="F125" s="62" t="e">
        <f aca="false">IF(COUNTIFS(Тренировки!$C$6:$C$2005,F$105,Тренировки!$A$6:$A$2005,"&gt;="&amp;$A125,Тренировки!$A$6:$A$2005,"&lt;"&amp;$A125+7,Тренировки!$H$6:$H$2005,"&lt;&gt;Разминка",Тренировки!$E$6:$E$2005,"&gt;0")=0,NA(),_xlfn.MAXIFS(Тренировки!$E$6:$E$2005,Тренировки!$C$6:$C$2005,F$105,Тренировки!$A$6:$A$2005,"&gt;="&amp;$A125,Тренировки!$A$6:$A$2005,"&lt;"&amp;$A125+7,Тренировки!$H$6:$H$2005,"&lt;&gt;Разминка",Тренировки!$E$6:$E$2005,"&gt;0"))</f>
        <v>#N/A</v>
      </c>
    </row>
  </sheetData>
  <sheetProtection sheet="true" formatCells="false" formatColumns="false" formatRows="false" sort="false" autoFilter="false"/>
  <mergeCells count="1">
    <mergeCell ref="A2:J2"/>
  </mergeCells>
  <conditionalFormatting sqref="B11:H100">
    <cfRule type="expression" priority="2" aboveAverage="0" equalAverage="0" bottom="0" percent="0" rank="0" text="" dxfId="13">
      <formula>ISNA(B11)</formula>
    </cfRule>
  </conditionalFormatting>
  <conditionalFormatting sqref="B106:F125">
    <cfRule type="expression" priority="3" aboveAverage="0" equalAverage="0" bottom="0" percent="0" rank="0" text="" dxfId="13">
      <formula>ISNA(B106)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2026-09-29T20:26:22Z</dcterms:created>
  <dc:creator>openpyxl</dc:creator>
  <dc:description/>
  <dc:language>en-US</dc:language>
  <cp:lastModifiedBy/>
  <dcterms:modified xsi:type="dcterms:W3CDTF">2026-10-03T17:03:08Z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